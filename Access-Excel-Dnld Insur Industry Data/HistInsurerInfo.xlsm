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4300" windowHeight="12660" activeTab="2"/>
  </bookViews>
  <sheets>
    <sheet name="ASS" sheetId="81" r:id="rId1"/>
    <sheet name="LIA" sheetId="80" r:id="rId2"/>
    <sheet name="InsurerInfo" sheetId="1" r:id="rId3"/>
    <sheet name="Locations" sheetId="54" r:id="rId4"/>
  </sheets>
  <functionGroups builtInGroupCount="17"/>
  <definedNames>
    <definedName name="_xlnm._FilterDatabase" localSheetId="2" hidden="1">InsurerInfo!$AF$1:$AF$4558</definedName>
    <definedName name="_xlnm.Criteria" localSheetId="2">InsurerInfo!$AG$1:$AG$2</definedName>
    <definedName name="_xlnm.Extract" localSheetId="2">InsurerInfo!$AF$4</definedName>
  </definedNames>
  <calcPr calcId="145621"/>
</workbook>
</file>

<file path=xl/calcChain.xml><?xml version="1.0" encoding="utf-8"?>
<calcChain xmlns="http://schemas.openxmlformats.org/spreadsheetml/2006/main">
  <c r="AN3" i="81" l="1"/>
  <c r="AN4" i="81"/>
  <c r="AN5" i="81"/>
  <c r="AN6" i="81"/>
  <c r="AO3" i="81"/>
  <c r="AP3" i="81"/>
  <c r="AO4" i="81"/>
  <c r="AP4" i="81"/>
  <c r="AO5" i="81"/>
  <c r="AP5" i="81"/>
  <c r="AO6" i="81"/>
  <c r="AP6" i="81"/>
  <c r="AP2" i="81"/>
  <c r="AO2" i="81"/>
  <c r="AN2" i="81"/>
  <c r="AO7" i="81" l="1"/>
  <c r="AO8" i="81" s="1"/>
  <c r="AP7" i="81"/>
  <c r="AP8" i="81" s="1"/>
  <c r="AN7" i="81"/>
  <c r="AN8" i="81" s="1"/>
  <c r="Z6" i="54" l="1"/>
  <c r="X6" i="54"/>
  <c r="V6" i="54"/>
  <c r="T6" i="54"/>
  <c r="R6" i="54"/>
  <c r="P6" i="54"/>
  <c r="N6" i="54"/>
  <c r="M3" i="54"/>
  <c r="N3" i="54"/>
  <c r="O3" i="54"/>
  <c r="J9" i="54"/>
  <c r="AM3" i="80"/>
  <c r="AM4" i="80"/>
  <c r="AM5" i="80"/>
  <c r="AM6" i="80"/>
  <c r="AM2" i="80"/>
  <c r="AM3" i="81"/>
  <c r="AM4" i="81"/>
  <c r="AM5" i="81"/>
  <c r="AM6" i="81"/>
  <c r="AM2" i="81"/>
  <c r="AM1" i="80"/>
  <c r="L3" i="54"/>
  <c r="AM1" i="81"/>
  <c r="J4" i="54" s="1"/>
  <c r="O10" i="54"/>
  <c r="N15" i="54"/>
  <c r="S11" i="54"/>
  <c r="M20" i="54"/>
  <c r="N13" i="54"/>
  <c r="T10" i="54"/>
  <c r="Y11" i="54"/>
  <c r="N12" i="54"/>
  <c r="M18" i="54"/>
  <c r="J3" i="54"/>
  <c r="J13" i="54"/>
  <c r="M11" i="54"/>
  <c r="N16" i="54"/>
  <c r="U11" i="54"/>
  <c r="U10" i="54"/>
  <c r="K3" i="54"/>
  <c r="N20" i="54"/>
  <c r="J10" i="54"/>
  <c r="S10" i="54"/>
  <c r="Q10" i="54"/>
  <c r="M17" i="54"/>
  <c r="J12" i="54"/>
  <c r="V10" i="54"/>
  <c r="T11" i="54"/>
  <c r="Q11" i="54"/>
  <c r="M14" i="54"/>
  <c r="J19" i="54"/>
  <c r="J16" i="54"/>
  <c r="P10" i="54"/>
  <c r="N10" i="54"/>
  <c r="M12" i="54"/>
  <c r="M15" i="54"/>
  <c r="N18" i="54"/>
  <c r="O11" i="54"/>
  <c r="R10" i="54"/>
  <c r="J15" i="54"/>
  <c r="N11" i="54"/>
  <c r="N17" i="54"/>
  <c r="N19" i="54"/>
  <c r="M10" i="54"/>
  <c r="M16" i="54"/>
  <c r="R11" i="54"/>
  <c r="M13" i="54"/>
  <c r="V11" i="54"/>
  <c r="J18" i="54"/>
  <c r="J11" i="54"/>
  <c r="J20" i="54"/>
  <c r="X11" i="54"/>
  <c r="N14" i="54"/>
  <c r="W11" i="54"/>
  <c r="J14" i="54"/>
  <c r="W10" i="54"/>
  <c r="P11" i="54"/>
  <c r="J17" i="54"/>
  <c r="M19" i="54"/>
  <c r="X10" i="54"/>
  <c r="AM7" i="80" l="1"/>
  <c r="AM8" i="80" s="1"/>
  <c r="AM7" i="81"/>
  <c r="AM8" i="81" s="1"/>
  <c r="Y10" i="54"/>
  <c r="Z10" i="54"/>
  <c r="C2" i="80" l="1"/>
  <c r="B2" i="80"/>
  <c r="A2" i="80"/>
  <c r="F2" i="80"/>
  <c r="K5326" i="81"/>
  <c r="K5325" i="81"/>
  <c r="K5324" i="81"/>
  <c r="K5323" i="81"/>
  <c r="K5322" i="81"/>
  <c r="K5321" i="81"/>
  <c r="K5320" i="81"/>
  <c r="K5319" i="81"/>
  <c r="K5318" i="81"/>
  <c r="K5317" i="81"/>
  <c r="K5316" i="81"/>
  <c r="K5315" i="81"/>
  <c r="K5314" i="81"/>
  <c r="K5313" i="81"/>
  <c r="K5312" i="81"/>
  <c r="K5311" i="81"/>
  <c r="K5310" i="81"/>
  <c r="K5309" i="81"/>
  <c r="K5308" i="81"/>
  <c r="K5307" i="81"/>
  <c r="K5306" i="81"/>
  <c r="K5305" i="81"/>
  <c r="K5304" i="81"/>
  <c r="K5303" i="81"/>
  <c r="K5302" i="81"/>
  <c r="K5301" i="81"/>
  <c r="K5300" i="81"/>
  <c r="K5299" i="81"/>
  <c r="K5298" i="81"/>
  <c r="K5297" i="81"/>
  <c r="K5296" i="81"/>
  <c r="K5295" i="81"/>
  <c r="K5294" i="81"/>
  <c r="K5293" i="81"/>
  <c r="K5292" i="81"/>
  <c r="K5291" i="81"/>
  <c r="K5290" i="81"/>
  <c r="K5289" i="81"/>
  <c r="K5288" i="81"/>
  <c r="K5287" i="81"/>
  <c r="K5286" i="81"/>
  <c r="K5285" i="81"/>
  <c r="K5284" i="81"/>
  <c r="K5283" i="81"/>
  <c r="K5282" i="81"/>
  <c r="K5281" i="81"/>
  <c r="K5280" i="81"/>
  <c r="K5279" i="81"/>
  <c r="K5278" i="81"/>
  <c r="K5277" i="81"/>
  <c r="K5276" i="81"/>
  <c r="K5275" i="81"/>
  <c r="K5274" i="81"/>
  <c r="K5273" i="81"/>
  <c r="K5272" i="81"/>
  <c r="K5271" i="81"/>
  <c r="K5270" i="81"/>
  <c r="K5269" i="81"/>
  <c r="K5268" i="81"/>
  <c r="K5267" i="81"/>
  <c r="K5266" i="81"/>
  <c r="K5265" i="81"/>
  <c r="K5264" i="81"/>
  <c r="K5263" i="81"/>
  <c r="K5262" i="81"/>
  <c r="K5261" i="81"/>
  <c r="K5260" i="81"/>
  <c r="K5259" i="81"/>
  <c r="K5258" i="81"/>
  <c r="K5257" i="81"/>
  <c r="K5256" i="81"/>
  <c r="K5255" i="81"/>
  <c r="K5254" i="81"/>
  <c r="K5253" i="81"/>
  <c r="K5252" i="81"/>
  <c r="K5251" i="81"/>
  <c r="K5250" i="81"/>
  <c r="K5249" i="81"/>
  <c r="K5248" i="81"/>
  <c r="K5247" i="81"/>
  <c r="K5246" i="81"/>
  <c r="K5245" i="81"/>
  <c r="K5244" i="81"/>
  <c r="K5243" i="81"/>
  <c r="K5242" i="81"/>
  <c r="K5241" i="81"/>
  <c r="K5240" i="81"/>
  <c r="K5239" i="81"/>
  <c r="K5238" i="81"/>
  <c r="K5237" i="81"/>
  <c r="K5236" i="81"/>
  <c r="K5235" i="81"/>
  <c r="K5234" i="81"/>
  <c r="K5233" i="81"/>
  <c r="K5232" i="81"/>
  <c r="K5231" i="81"/>
  <c r="K5230" i="81"/>
  <c r="K5229" i="81"/>
  <c r="K5228" i="81"/>
  <c r="K5227" i="81"/>
  <c r="K5226" i="81"/>
  <c r="K5225" i="81"/>
  <c r="K5224" i="81"/>
  <c r="K5223" i="81"/>
  <c r="K5222" i="81"/>
  <c r="K5221" i="81"/>
  <c r="K5220" i="81"/>
  <c r="K5219" i="81"/>
  <c r="K5218" i="81"/>
  <c r="K5217" i="81"/>
  <c r="K5216" i="81"/>
  <c r="K5215" i="81"/>
  <c r="K5214" i="81"/>
  <c r="K5213" i="81"/>
  <c r="K5212" i="81"/>
  <c r="K5211" i="81"/>
  <c r="K5210" i="81"/>
  <c r="K5209" i="81"/>
  <c r="K5208" i="81"/>
  <c r="K5207" i="81"/>
  <c r="K5206" i="81"/>
  <c r="K5205" i="81"/>
  <c r="K5204" i="81"/>
  <c r="K5203" i="81"/>
  <c r="K5202" i="81"/>
  <c r="K5201" i="81"/>
  <c r="K5200" i="81"/>
  <c r="K5199" i="81"/>
  <c r="K5198" i="81"/>
  <c r="K5197" i="81"/>
  <c r="K5196" i="81"/>
  <c r="K5195" i="81"/>
  <c r="K5194" i="81"/>
  <c r="K5193" i="81"/>
  <c r="K5192" i="81"/>
  <c r="K5191" i="81"/>
  <c r="K5190" i="81"/>
  <c r="K5189" i="81"/>
  <c r="K5188" i="81"/>
  <c r="K5187" i="81"/>
  <c r="K5186" i="81"/>
  <c r="K5185" i="81"/>
  <c r="K5184" i="81"/>
  <c r="K5183" i="81"/>
  <c r="K5182" i="81"/>
  <c r="K5181" i="81"/>
  <c r="K5180" i="81"/>
  <c r="K5179" i="81"/>
  <c r="K5178" i="81"/>
  <c r="K5177" i="81"/>
  <c r="K5176" i="81"/>
  <c r="K5175" i="81"/>
  <c r="K5174" i="81"/>
  <c r="K5173" i="81"/>
  <c r="K5172" i="81"/>
  <c r="K5171" i="81"/>
  <c r="K5170" i="81"/>
  <c r="K5169" i="81"/>
  <c r="K5168" i="81"/>
  <c r="K5167" i="81"/>
  <c r="K5166" i="81"/>
  <c r="K5165" i="81"/>
  <c r="K5164" i="81"/>
  <c r="K5163" i="81"/>
  <c r="K5162" i="81"/>
  <c r="K5161" i="81"/>
  <c r="K5160" i="81"/>
  <c r="K5159" i="81"/>
  <c r="K5158" i="81"/>
  <c r="K5157" i="81"/>
  <c r="K5156" i="81"/>
  <c r="K5155" i="81"/>
  <c r="K5154" i="81"/>
  <c r="K5153" i="81"/>
  <c r="K5152" i="81"/>
  <c r="K5151" i="81"/>
  <c r="K5150" i="81"/>
  <c r="K5149" i="81"/>
  <c r="K5148" i="81"/>
  <c r="K5147" i="81"/>
  <c r="K5146" i="81"/>
  <c r="K5145" i="81"/>
  <c r="K5144" i="81"/>
  <c r="K5143" i="81"/>
  <c r="K5142" i="81"/>
  <c r="K5141" i="81"/>
  <c r="K5140" i="81"/>
  <c r="K5139" i="81"/>
  <c r="K5138" i="81"/>
  <c r="K5137" i="81"/>
  <c r="K5136" i="81"/>
  <c r="K5135" i="81"/>
  <c r="K5134" i="81"/>
  <c r="K5133" i="81"/>
  <c r="K5132" i="81"/>
  <c r="K5131" i="81"/>
  <c r="K5130" i="81"/>
  <c r="K5129" i="81"/>
  <c r="K5128" i="81"/>
  <c r="K5127" i="81"/>
  <c r="K5126" i="81"/>
  <c r="K5125" i="81"/>
  <c r="K5124" i="81"/>
  <c r="K5123" i="81"/>
  <c r="K5122" i="81"/>
  <c r="K5121" i="81"/>
  <c r="K5120" i="81"/>
  <c r="K5119" i="81"/>
  <c r="K5118" i="81"/>
  <c r="K5117" i="81"/>
  <c r="K5116" i="81"/>
  <c r="K5115" i="81"/>
  <c r="K5114" i="81"/>
  <c r="K5113" i="81"/>
  <c r="K5112" i="81"/>
  <c r="K5111" i="81"/>
  <c r="K5110" i="81"/>
  <c r="K5109" i="81"/>
  <c r="K5108" i="81"/>
  <c r="K5107" i="81"/>
  <c r="K5106" i="81"/>
  <c r="K5105" i="81"/>
  <c r="K5104" i="81"/>
  <c r="K5103" i="81"/>
  <c r="K5102" i="81"/>
  <c r="K5101" i="81"/>
  <c r="K5100" i="81"/>
  <c r="K5099" i="81"/>
  <c r="K5098" i="81"/>
  <c r="K5097" i="81"/>
  <c r="K5096" i="81"/>
  <c r="K5095" i="81"/>
  <c r="K5094" i="81"/>
  <c r="K5093" i="81"/>
  <c r="K5092" i="81"/>
  <c r="K5091" i="81"/>
  <c r="K5090" i="81"/>
  <c r="K5089" i="81"/>
  <c r="K5088" i="81"/>
  <c r="K5087" i="81"/>
  <c r="K5086" i="81"/>
  <c r="K5085" i="81"/>
  <c r="K5084" i="81"/>
  <c r="K5083" i="81"/>
  <c r="K5082" i="81"/>
  <c r="K5081" i="81"/>
  <c r="K5080" i="81"/>
  <c r="K5079" i="81"/>
  <c r="K5078" i="81"/>
  <c r="K5077" i="81"/>
  <c r="K5076" i="81"/>
  <c r="K5075" i="81"/>
  <c r="K5074" i="81"/>
  <c r="K5073" i="81"/>
  <c r="K5072" i="81"/>
  <c r="K5071" i="81"/>
  <c r="K5070" i="81"/>
  <c r="K5069" i="81"/>
  <c r="K5068" i="81"/>
  <c r="K5067" i="81"/>
  <c r="K5066" i="81"/>
  <c r="K5065" i="81"/>
  <c r="K5064" i="81"/>
  <c r="K5063" i="81"/>
  <c r="K5062" i="81"/>
  <c r="K5061" i="81"/>
  <c r="K5060" i="81"/>
  <c r="K5059" i="81"/>
  <c r="K5058" i="81"/>
  <c r="K5057" i="81"/>
  <c r="K5056" i="81"/>
  <c r="K5055" i="81"/>
  <c r="K5054" i="81"/>
  <c r="K5053" i="81"/>
  <c r="K5052" i="81"/>
  <c r="K5051" i="81"/>
  <c r="K5050" i="81"/>
  <c r="K5049" i="81"/>
  <c r="K5048" i="81"/>
  <c r="K5047" i="81"/>
  <c r="K5046" i="81"/>
  <c r="K5045" i="81"/>
  <c r="K5044" i="81"/>
  <c r="K5043" i="81"/>
  <c r="K5042" i="81"/>
  <c r="K5041" i="81"/>
  <c r="K5040" i="81"/>
  <c r="K5039" i="81"/>
  <c r="K5038" i="81"/>
  <c r="K5037" i="81"/>
  <c r="K5036" i="81"/>
  <c r="K5035" i="81"/>
  <c r="K5034" i="81"/>
  <c r="K5033" i="81"/>
  <c r="K5032" i="81"/>
  <c r="K5031" i="81"/>
  <c r="K5030" i="81"/>
  <c r="K5029" i="81"/>
  <c r="K5028" i="81"/>
  <c r="K5027" i="81"/>
  <c r="K5026" i="81"/>
  <c r="K5025" i="81"/>
  <c r="K5024" i="81"/>
  <c r="K5023" i="81"/>
  <c r="K5022" i="81"/>
  <c r="K5021" i="81"/>
  <c r="K5020" i="81"/>
  <c r="K5019" i="81"/>
  <c r="K5018" i="81"/>
  <c r="K5017" i="81"/>
  <c r="K5016" i="81"/>
  <c r="K5015" i="81"/>
  <c r="K5014" i="81"/>
  <c r="K5013" i="81"/>
  <c r="K5012" i="81"/>
  <c r="K5011" i="81"/>
  <c r="K5010" i="81"/>
  <c r="K5009" i="81"/>
  <c r="K5008" i="81"/>
  <c r="K5007" i="81"/>
  <c r="K5006" i="81"/>
  <c r="K5005" i="81"/>
  <c r="K5004" i="81"/>
  <c r="K5003" i="81"/>
  <c r="K5002" i="81"/>
  <c r="K5001" i="8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M7" i="1"/>
  <c r="AP7" i="1"/>
  <c r="AQ7" i="1"/>
  <c r="AP3" i="1"/>
  <c r="AQ3" i="1"/>
  <c r="AP4" i="1"/>
  <c r="AQ4" i="1"/>
  <c r="AP5" i="1"/>
  <c r="AQ5" i="1"/>
  <c r="AP6" i="1"/>
  <c r="AQ6" i="1"/>
  <c r="AQ2" i="1"/>
  <c r="AP2" i="1"/>
  <c r="AM3" i="1"/>
  <c r="AM4" i="1"/>
  <c r="AM5" i="1"/>
  <c r="AM6" i="1"/>
  <c r="AM2" i="1"/>
  <c r="AR6" i="1"/>
  <c r="AR4" i="1"/>
  <c r="AR7" i="1"/>
  <c r="AR3" i="1"/>
  <c r="AN1" i="1"/>
  <c r="AM17" i="1"/>
  <c r="AO36" i="1"/>
  <c r="AN21" i="1"/>
  <c r="AM25" i="1"/>
  <c r="AO28" i="1"/>
  <c r="AO19" i="1"/>
  <c r="AP20" i="1"/>
  <c r="AN15" i="1"/>
  <c r="AL29" i="1"/>
  <c r="AI29" i="1" s="1"/>
  <c r="AL18" i="1"/>
  <c r="AP27" i="1"/>
  <c r="AL26" i="1"/>
  <c r="AI26" i="1" s="1"/>
  <c r="AO24" i="1"/>
  <c r="AP36" i="1"/>
  <c r="AO25" i="1"/>
  <c r="AO14" i="1"/>
  <c r="AP17" i="1"/>
  <c r="AO15" i="1"/>
  <c r="AP24" i="1"/>
  <c r="AN16" i="1"/>
  <c r="AN14" i="1"/>
  <c r="AN24" i="1"/>
  <c r="AP16" i="1"/>
  <c r="AM13" i="1"/>
  <c r="AP21" i="1"/>
  <c r="AO22" i="1"/>
  <c r="AM23" i="1"/>
  <c r="AO21" i="1"/>
  <c r="AP15" i="1"/>
  <c r="AO29" i="1"/>
  <c r="AN19" i="1"/>
  <c r="AL22" i="1"/>
  <c r="AI22" i="1" s="1"/>
  <c r="AM24" i="1"/>
  <c r="AM14" i="1"/>
  <c r="AT23" i="1" s="1"/>
  <c r="AM19" i="1"/>
  <c r="AL24" i="1"/>
  <c r="AI24" i="1" s="1"/>
  <c r="AN17" i="1"/>
  <c r="AU15" i="1" s="1"/>
  <c r="AL15" i="1"/>
  <c r="AI15" i="1" s="1"/>
  <c r="AO23" i="1"/>
  <c r="AP13" i="1"/>
  <c r="AS4" i="1"/>
  <c r="AO18" i="1"/>
  <c r="AM27" i="1"/>
  <c r="AP26" i="1"/>
  <c r="AN27" i="1"/>
  <c r="AP22" i="1"/>
  <c r="AN26" i="1"/>
  <c r="AO20" i="1"/>
  <c r="AS5" i="1"/>
  <c r="AM16" i="1"/>
  <c r="AT14" i="1" s="1"/>
  <c r="AL19" i="1"/>
  <c r="AI19" i="1" s="1"/>
  <c r="AL21" i="1"/>
  <c r="AI21" i="1" s="1"/>
  <c r="AL16" i="1"/>
  <c r="AI16" i="1" s="1"/>
  <c r="AM18" i="1"/>
  <c r="AL27" i="1"/>
  <c r="AI27" i="1" s="1"/>
  <c r="AM26" i="1"/>
  <c r="AO13" i="1"/>
  <c r="AM29" i="1"/>
  <c r="AP19" i="1"/>
  <c r="AO16" i="1"/>
  <c r="AV14" i="1" s="1"/>
  <c r="AL13" i="1"/>
  <c r="AI13" i="1" s="1"/>
  <c r="AN13" i="1"/>
  <c r="AM15" i="1"/>
  <c r="AS3" i="1"/>
  <c r="AN36" i="1"/>
  <c r="AN29" i="1"/>
  <c r="AN18" i="1"/>
  <c r="AN23" i="1"/>
  <c r="AM21" i="1"/>
  <c r="AN20" i="1"/>
  <c r="AP29" i="1"/>
  <c r="AN28" i="1"/>
  <c r="AL25" i="1"/>
  <c r="AI25" i="1" s="1"/>
  <c r="AM22" i="1"/>
  <c r="AO17" i="1"/>
  <c r="AN22" i="1"/>
  <c r="AM28" i="1"/>
  <c r="AP25" i="1"/>
  <c r="AS2" i="1"/>
  <c r="AS7" i="1" s="1"/>
  <c r="AS8" i="1" s="1"/>
  <c r="AP23" i="1"/>
  <c r="AO26" i="1"/>
  <c r="AL23" i="1"/>
  <c r="AI23" i="1" s="1"/>
  <c r="AN25" i="1"/>
  <c r="AM36" i="1"/>
  <c r="AN35" i="1" s="1"/>
  <c r="AM20" i="1"/>
  <c r="AQ36" i="1"/>
  <c r="AP18" i="1"/>
  <c r="AL14" i="1"/>
  <c r="AS6" i="1"/>
  <c r="AL28" i="1"/>
  <c r="AI28" i="1" s="1"/>
  <c r="AO27" i="1"/>
  <c r="AP28" i="1"/>
  <c r="AL20" i="1"/>
  <c r="AL17" i="1"/>
  <c r="AI17" i="1" s="1"/>
  <c r="AP14" i="1"/>
  <c r="AN6" i="1"/>
  <c r="AO6" i="1"/>
  <c r="AN3" i="1"/>
  <c r="AO3" i="1"/>
  <c r="AN2" i="1"/>
  <c r="AO2" i="1"/>
  <c r="AN4" i="1"/>
  <c r="AO4" i="1"/>
  <c r="AR2" i="1"/>
  <c r="AR5" i="1"/>
  <c r="AC353" i="1"/>
  <c r="AC483" i="1"/>
  <c r="AC3306" i="1"/>
  <c r="AC2231" i="1"/>
  <c r="AC2886" i="1"/>
  <c r="AC2318" i="1"/>
  <c r="AC4182" i="1"/>
  <c r="AC1593" i="1"/>
  <c r="AC3885" i="1"/>
  <c r="AC2420" i="1"/>
  <c r="AC3498" i="1"/>
  <c r="AC395" i="1"/>
  <c r="AC4531" i="1"/>
  <c r="AC1719" i="1"/>
  <c r="AC1180" i="1"/>
  <c r="AC269" i="1"/>
  <c r="AC3275" i="1"/>
  <c r="AC2828" i="1"/>
  <c r="AC2272" i="1"/>
  <c r="AC4086" i="1"/>
  <c r="AC1380" i="1"/>
  <c r="AC3604" i="1"/>
  <c r="AC65" i="1"/>
  <c r="AC3291" i="1"/>
  <c r="AC338" i="1"/>
  <c r="AC1356" i="1"/>
  <c r="AC386" i="1"/>
  <c r="AC727" i="1"/>
  <c r="AC2410" i="1"/>
  <c r="AC3512" i="1"/>
  <c r="AC4304" i="1"/>
  <c r="AC2690" i="1"/>
  <c r="AC89" i="1"/>
  <c r="AC4177" i="1"/>
  <c r="AC460" i="1"/>
  <c r="AC2360" i="1"/>
  <c r="AC3660" i="1"/>
  <c r="AC273" i="1"/>
  <c r="AC217" i="1"/>
  <c r="AC3297" i="1"/>
  <c r="AC583" i="1"/>
  <c r="AC4208" i="1"/>
  <c r="AC1863" i="1"/>
  <c r="AC3355" i="1"/>
  <c r="AC1722" i="1"/>
  <c r="AC4094" i="1"/>
  <c r="AC4323" i="1"/>
  <c r="AC4537" i="1"/>
  <c r="AC852" i="1"/>
  <c r="AC3624" i="1"/>
  <c r="AC4315" i="1"/>
  <c r="AC4445" i="1"/>
  <c r="AC2440" i="1"/>
  <c r="AC3878" i="1"/>
  <c r="AC3948" i="1"/>
  <c r="AC2380" i="1"/>
  <c r="AC2313" i="1"/>
  <c r="AC1681" i="1"/>
  <c r="AC4134" i="1"/>
  <c r="AC2611" i="1"/>
  <c r="AC1247" i="1"/>
  <c r="AC3956" i="1"/>
  <c r="AC3805" i="1"/>
  <c r="AC3698" i="1"/>
  <c r="AC328" i="1"/>
  <c r="AC2639" i="1"/>
  <c r="AC3867" i="1"/>
  <c r="AC4509" i="1"/>
  <c r="AC445" i="1"/>
  <c r="AC3315" i="1"/>
  <c r="AC3573" i="1"/>
  <c r="AC3684" i="1"/>
  <c r="AC4455" i="1"/>
  <c r="AC3094" i="1"/>
  <c r="AC4252" i="1"/>
  <c r="AC676" i="1"/>
  <c r="AC4542" i="1"/>
  <c r="AC3772" i="1"/>
  <c r="AC4176" i="1"/>
  <c r="AC3381" i="1"/>
  <c r="AC306" i="1"/>
  <c r="AC2310" i="1"/>
  <c r="AC1788" i="1"/>
  <c r="AC1273" i="1"/>
  <c r="AC296" i="1"/>
  <c r="AC2295" i="1"/>
  <c r="AC3559" i="1"/>
  <c r="AC1448" i="1"/>
  <c r="AC1213" i="1"/>
  <c r="AC4336" i="1"/>
  <c r="AC55" i="1"/>
  <c r="AC3748" i="1"/>
  <c r="AC4066" i="1"/>
  <c r="AC170" i="1"/>
  <c r="AC3922" i="1"/>
  <c r="AC4528" i="1"/>
  <c r="AC2909" i="1"/>
  <c r="AC3596" i="1"/>
  <c r="AC3019" i="1"/>
  <c r="AC4374" i="1"/>
  <c r="AC454" i="1"/>
  <c r="AC3680" i="1"/>
  <c r="AC3835" i="1"/>
  <c r="AC3777" i="1"/>
  <c r="AC2951" i="1"/>
  <c r="AC186" i="1"/>
  <c r="AC1023" i="1"/>
  <c r="AC298" i="1"/>
  <c r="AC1640" i="1"/>
  <c r="AC3725" i="1"/>
  <c r="AC1947" i="1"/>
  <c r="AC1536" i="1"/>
  <c r="AC3531" i="1"/>
  <c r="AC3118" i="1"/>
  <c r="AC4299" i="1"/>
  <c r="AC2426" i="1"/>
  <c r="AC1749" i="1"/>
  <c r="AC288" i="1"/>
  <c r="AC1943" i="1"/>
  <c r="AC982" i="1"/>
  <c r="AC2243" i="1"/>
  <c r="AC3224" i="1"/>
  <c r="AC108" i="1"/>
  <c r="AC1990" i="1"/>
  <c r="AC2368" i="1"/>
  <c r="AC2353" i="1"/>
  <c r="AC268" i="1"/>
  <c r="AC3080" i="1"/>
  <c r="AC3822" i="1"/>
  <c r="AC2339" i="1"/>
  <c r="AC1884" i="1"/>
  <c r="AC4482" i="1"/>
  <c r="AC2737" i="1"/>
  <c r="AC4286" i="1"/>
  <c r="AC3059" i="1"/>
  <c r="AC206" i="1"/>
  <c r="AC2760" i="1"/>
  <c r="AC172" i="1"/>
  <c r="AC4521" i="1"/>
  <c r="AC4129" i="1"/>
  <c r="AC3299" i="1"/>
  <c r="AC4067" i="1"/>
  <c r="AC4359" i="1"/>
  <c r="AC222" i="1"/>
  <c r="AC4328" i="1"/>
  <c r="AC2811" i="1"/>
  <c r="AC35" i="1"/>
  <c r="AC2218" i="1"/>
  <c r="AC4105" i="1"/>
  <c r="AC3320" i="1"/>
  <c r="AC4036" i="1"/>
  <c r="AC174" i="1"/>
  <c r="AC2976" i="1"/>
  <c r="AC697" i="1"/>
  <c r="AC1586" i="1"/>
  <c r="AC3836" i="1"/>
  <c r="AC200" i="1"/>
  <c r="AC893" i="1"/>
  <c r="AC977" i="1"/>
  <c r="AC924" i="1"/>
  <c r="AC3351" i="1"/>
  <c r="AC4452" i="1"/>
  <c r="AC1625" i="1"/>
  <c r="AC169" i="1"/>
  <c r="AC2935" i="1"/>
  <c r="AC1916" i="1"/>
  <c r="AC3097" i="1"/>
  <c r="AC2316" i="1"/>
  <c r="AC4476" i="1"/>
  <c r="AC4467" i="1"/>
  <c r="AC2775" i="1"/>
  <c r="AC3670" i="1"/>
  <c r="AC2524" i="1"/>
  <c r="AC4081" i="1"/>
  <c r="AC4326" i="1"/>
  <c r="AC2958" i="1"/>
  <c r="AC2572" i="1"/>
  <c r="AC3701" i="1"/>
  <c r="AC203" i="1"/>
  <c r="AC4376" i="1"/>
  <c r="AC3864" i="1"/>
  <c r="AC1562" i="1"/>
  <c r="AC3464" i="1"/>
  <c r="AC1571" i="1"/>
  <c r="AC1354" i="1"/>
  <c r="AC486" i="1"/>
  <c r="AC4532" i="1"/>
  <c r="AC2026" i="1"/>
  <c r="AC823" i="1"/>
  <c r="AC1845" i="1"/>
  <c r="AC2979" i="1"/>
  <c r="AC4457" i="1"/>
  <c r="AC2952" i="1"/>
  <c r="AC2663" i="1"/>
  <c r="AC1123" i="1"/>
  <c r="AC312" i="1"/>
  <c r="AC4489" i="1"/>
  <c r="AC1967" i="1"/>
  <c r="AC4358" i="1"/>
  <c r="AC4526" i="1"/>
  <c r="AC3035" i="1"/>
  <c r="AC3057" i="1"/>
  <c r="AC1110" i="1"/>
  <c r="AC4302" i="1"/>
  <c r="AC639" i="1"/>
  <c r="AC3747" i="1"/>
  <c r="AC537" i="1"/>
  <c r="AC1870" i="1"/>
  <c r="AC348" i="1"/>
  <c r="AC4515" i="1"/>
  <c r="AC446" i="1"/>
  <c r="AC4274" i="1"/>
  <c r="AC884" i="1"/>
  <c r="AC2586" i="1"/>
  <c r="AC4291" i="1"/>
  <c r="AC4257" i="1"/>
  <c r="AC766" i="1"/>
  <c r="AC4030" i="1"/>
  <c r="AC2385" i="1"/>
  <c r="AC1931" i="1"/>
  <c r="AC1517" i="1"/>
  <c r="AC130" i="1"/>
  <c r="AC3270" i="1"/>
  <c r="AC3879" i="1"/>
  <c r="AC3302" i="1"/>
  <c r="AC2118" i="1"/>
  <c r="AC3669" i="1"/>
  <c r="AC3217" i="1"/>
  <c r="AC2987" i="1"/>
  <c r="AC1642" i="1"/>
  <c r="AC4209" i="1"/>
  <c r="AC861" i="1"/>
  <c r="AC259" i="1"/>
  <c r="AC3682" i="1"/>
  <c r="AC4197" i="1"/>
  <c r="AC720" i="1"/>
  <c r="AC3383" i="1"/>
  <c r="AC213" i="1"/>
  <c r="AC3448" i="1"/>
  <c r="AC3574" i="1"/>
  <c r="AC3370" i="1"/>
  <c r="AC220" i="1"/>
  <c r="AC3298" i="1"/>
  <c r="AC2409" i="1"/>
  <c r="AC2630" i="1"/>
  <c r="AC754" i="1"/>
  <c r="AC2430" i="1"/>
  <c r="AC646" i="1"/>
  <c r="AC3530" i="1"/>
  <c r="AC1662" i="1"/>
  <c r="AC4527" i="1"/>
  <c r="AC480" i="1"/>
  <c r="AC4236" i="1"/>
  <c r="AC3870" i="1"/>
  <c r="AC3195" i="1"/>
  <c r="AC202" i="1"/>
  <c r="AC2956" i="1"/>
  <c r="AC2403" i="1"/>
  <c r="AC3629" i="1"/>
  <c r="AC3260" i="1"/>
  <c r="AC98" i="1"/>
  <c r="AC79" i="1"/>
  <c r="AC1248" i="1"/>
  <c r="AC3886" i="1"/>
  <c r="AC1372" i="1"/>
  <c r="AC2702" i="1"/>
  <c r="AC3825" i="1"/>
  <c r="AC2134" i="1"/>
  <c r="AC1454" i="1"/>
  <c r="AC1658" i="1"/>
  <c r="AC1386" i="1"/>
  <c r="AC4510" i="1"/>
  <c r="AC176" i="1"/>
  <c r="AC2743" i="1"/>
  <c r="AC3683" i="1"/>
  <c r="AC3981" i="1"/>
  <c r="AC2438" i="1"/>
  <c r="AC251" i="1"/>
  <c r="AC2428" i="1"/>
  <c r="AC3093" i="1"/>
  <c r="AC1196" i="1"/>
  <c r="AC72" i="1"/>
  <c r="AC2300" i="1"/>
  <c r="AC2399" i="1"/>
  <c r="AC1565" i="1"/>
  <c r="AC417" i="1"/>
  <c r="AC1921" i="1"/>
  <c r="AC2530" i="1"/>
  <c r="AC3283" i="1"/>
  <c r="AC3859" i="1"/>
  <c r="AC64" i="1"/>
  <c r="AC365" i="1"/>
  <c r="AC1258" i="1"/>
  <c r="AC1559" i="1"/>
  <c r="AC4366" i="1"/>
  <c r="AC888" i="1"/>
  <c r="AC491" i="1"/>
  <c r="AC1531" i="1"/>
  <c r="AC4118" i="1"/>
  <c r="AC3704" i="1"/>
  <c r="AC4289" i="1"/>
  <c r="AC4164" i="1"/>
  <c r="AC3736" i="1"/>
  <c r="AC1664" i="1"/>
  <c r="AC1279" i="1"/>
  <c r="AC3960" i="1"/>
  <c r="AC3918" i="1"/>
  <c r="AC723" i="1"/>
  <c r="AC856" i="1"/>
  <c r="AC1059" i="1"/>
  <c r="AC4439" i="1"/>
  <c r="AC505" i="1"/>
  <c r="AC4338" i="1"/>
  <c r="AC3569" i="1"/>
  <c r="AC4003" i="1"/>
  <c r="AC3862" i="1"/>
  <c r="AC2155" i="1"/>
  <c r="AC2661" i="1"/>
  <c r="AC412" i="1"/>
  <c r="AC1914" i="1"/>
  <c r="AC3579" i="1"/>
  <c r="AC4364" i="1"/>
  <c r="AC2471" i="1"/>
  <c r="AC2140" i="1"/>
  <c r="AC2144" i="1"/>
  <c r="AC2247" i="1"/>
  <c r="AC1257" i="1"/>
  <c r="AC3563" i="1"/>
  <c r="AC2396" i="1"/>
  <c r="AC4350" i="1"/>
  <c r="AC1673" i="1"/>
  <c r="AC3520" i="1"/>
  <c r="AC75" i="1"/>
  <c r="AC1807" i="1"/>
  <c r="AC4275" i="1"/>
  <c r="AC81" i="1"/>
  <c r="AC275" i="1"/>
  <c r="AC2375" i="1"/>
  <c r="AC214" i="1"/>
  <c r="AC3399" i="1"/>
  <c r="AC3734" i="1"/>
  <c r="AC4473" i="1"/>
  <c r="AC3679" i="1"/>
  <c r="AC2325" i="1"/>
  <c r="AC954" i="1"/>
  <c r="AC3459" i="1"/>
  <c r="AC4179" i="1"/>
  <c r="AC3788" i="1"/>
  <c r="AC157" i="1"/>
  <c r="AC4159" i="1"/>
  <c r="AC3425" i="1"/>
  <c r="AC2849" i="1"/>
  <c r="AC2246" i="1"/>
  <c r="AC3593" i="1"/>
  <c r="AC3899" i="1"/>
  <c r="AC4268" i="1"/>
  <c r="AC3699" i="1"/>
  <c r="AC1716" i="1"/>
  <c r="AC4089" i="1"/>
  <c r="AC3023" i="1"/>
  <c r="AC2219" i="1"/>
  <c r="AC3838" i="1"/>
  <c r="AC2012" i="1"/>
  <c r="AC3820" i="1"/>
  <c r="AC644" i="1"/>
  <c r="AC2298" i="1"/>
  <c r="AC2391" i="1"/>
  <c r="AC3720" i="1"/>
  <c r="AC2211" i="1"/>
  <c r="AC2595" i="1"/>
  <c r="AC3259" i="1"/>
  <c r="AC1418" i="1"/>
  <c r="AC1090" i="1"/>
  <c r="AC1153" i="1"/>
  <c r="AC3039" i="1"/>
  <c r="AC427" i="1"/>
  <c r="AC2531" i="1"/>
  <c r="AC3319" i="1"/>
  <c r="AC3180" i="1"/>
  <c r="AC2762" i="1"/>
  <c r="AC425" i="1"/>
  <c r="AC4235" i="1"/>
  <c r="AC2497" i="1"/>
  <c r="AC4006" i="1"/>
  <c r="AC3884" i="1"/>
  <c r="AC2407" i="1"/>
  <c r="AC4013" i="1"/>
  <c r="AC3915" i="1"/>
  <c r="AC2561" i="1"/>
  <c r="AC3845" i="1"/>
  <c r="AC1134" i="1"/>
  <c r="AC199" i="1"/>
  <c r="AC3115" i="1"/>
  <c r="AC2222" i="1"/>
  <c r="AC1994" i="1"/>
  <c r="AC4024" i="1"/>
  <c r="AC3816" i="1"/>
  <c r="AC4241" i="1"/>
  <c r="AC3488" i="1"/>
  <c r="AC1632" i="1"/>
  <c r="AC4388" i="1"/>
  <c r="AC4099" i="1"/>
  <c r="AC2890" i="1"/>
  <c r="AC1084" i="1"/>
  <c r="AC1542" i="1"/>
  <c r="AC4124" i="1"/>
  <c r="AC4264" i="1"/>
  <c r="AC3558" i="1"/>
  <c r="AC4276" i="1"/>
  <c r="AC2319" i="1"/>
  <c r="AC1893" i="1"/>
  <c r="AC3548" i="1"/>
  <c r="AC2615" i="1"/>
  <c r="AC161" i="1"/>
  <c r="AC2810" i="1"/>
  <c r="AC1578" i="1"/>
  <c r="AC4438" i="1"/>
  <c r="AC2177" i="1"/>
  <c r="AC2790" i="1"/>
  <c r="AC3352" i="1"/>
  <c r="AC2311" i="1"/>
  <c r="AC3622" i="1"/>
  <c r="AC3401" i="1"/>
  <c r="AC2359" i="1"/>
  <c r="AC2680" i="1"/>
  <c r="AC4265" i="1"/>
  <c r="AC477" i="1"/>
  <c r="AC2819" i="1"/>
  <c r="AC2581" i="1"/>
  <c r="AC3714" i="1"/>
  <c r="AC1546" i="1"/>
  <c r="AC51" i="1"/>
  <c r="AC3914" i="1"/>
  <c r="AC1816" i="1"/>
  <c r="AC4450" i="1"/>
  <c r="AC1815" i="1"/>
  <c r="AC4217" i="1"/>
  <c r="AC963" i="1"/>
  <c r="AC3484" i="1"/>
  <c r="AC3228" i="1"/>
  <c r="AC3435" i="1"/>
  <c r="AC936" i="1"/>
  <c r="AC1242" i="1"/>
  <c r="AC3543" i="1"/>
  <c r="AC4331" i="1"/>
  <c r="AC2517" i="1"/>
  <c r="AC3436" i="1"/>
  <c r="AC2379" i="1"/>
  <c r="AC4398" i="1"/>
  <c r="AC2891" i="1"/>
  <c r="AC2376" i="1"/>
  <c r="AC4203" i="1"/>
  <c r="AC4373" i="1"/>
  <c r="AC3463" i="1"/>
  <c r="AC3891" i="1"/>
  <c r="AC424" i="1"/>
  <c r="AC2596" i="1"/>
  <c r="AC4502" i="1"/>
  <c r="AC4348" i="1"/>
  <c r="AC3532" i="1"/>
  <c r="AC3031" i="1"/>
  <c r="AC1603" i="1"/>
  <c r="AC2250" i="1"/>
  <c r="AC2875" i="1"/>
  <c r="AC3688" i="1"/>
  <c r="AC810" i="1"/>
  <c r="AC1651" i="1"/>
  <c r="AC1391" i="1"/>
  <c r="AC3993" i="1"/>
  <c r="AC4230" i="1"/>
  <c r="AC3976" i="1"/>
  <c r="AC3806" i="1"/>
  <c r="AC3580" i="1"/>
  <c r="AC3729" i="1"/>
  <c r="AC3681" i="1"/>
  <c r="AC2764" i="1"/>
  <c r="AC3158" i="1"/>
  <c r="AC334" i="1"/>
  <c r="AC26" i="1"/>
  <c r="AC4058" i="1"/>
  <c r="AC850" i="1"/>
  <c r="AC2928" i="1"/>
  <c r="AC905" i="1"/>
  <c r="AC2468" i="1"/>
  <c r="AC226" i="1"/>
  <c r="AC1402" i="1"/>
  <c r="AC1268" i="1"/>
  <c r="AC2244" i="1"/>
  <c r="AC1327" i="1"/>
  <c r="AC3888" i="1"/>
  <c r="AC714" i="1"/>
  <c r="AC1241" i="1"/>
  <c r="AC3151" i="1"/>
  <c r="AC1392" i="1"/>
  <c r="AC2191" i="1"/>
  <c r="AC2434" i="1"/>
  <c r="AC4143" i="1"/>
  <c r="AC985" i="1"/>
  <c r="AC657" i="1"/>
  <c r="AC1623" i="1"/>
  <c r="AC2216" i="1"/>
  <c r="AC2880" i="1"/>
  <c r="AC3842" i="1"/>
  <c r="AC4122" i="1"/>
  <c r="AC1238" i="1"/>
  <c r="AC3469" i="1"/>
  <c r="AC2126" i="1"/>
  <c r="AC1591" i="1"/>
  <c r="AC258" i="1"/>
  <c r="AC1330" i="1"/>
  <c r="AC2180" i="1"/>
  <c r="AC495" i="1"/>
  <c r="AC3055" i="1"/>
  <c r="AC241" i="1"/>
  <c r="AC3690" i="1"/>
  <c r="AC2623" i="1"/>
  <c r="AC135" i="1"/>
  <c r="AC193" i="1"/>
  <c r="AC2333" i="1"/>
  <c r="AC943" i="1"/>
  <c r="AC2941" i="1"/>
  <c r="AC1545" i="1"/>
  <c r="AC3196" i="1"/>
  <c r="AC1535" i="1"/>
  <c r="AC3384" i="1"/>
  <c r="AC3426" i="1"/>
  <c r="AC2178" i="1"/>
  <c r="AC525" i="1"/>
  <c r="AC3385" i="1"/>
  <c r="AC1812" i="1"/>
  <c r="AC376" i="1"/>
  <c r="AC3391" i="1"/>
  <c r="AC2366" i="1"/>
  <c r="AC564" i="1"/>
  <c r="AC1080" i="1"/>
  <c r="AC114" i="1"/>
  <c r="AC2589" i="1"/>
  <c r="AC3246" i="1"/>
  <c r="AC506" i="1"/>
  <c r="AC1060" i="1"/>
  <c r="AC465" i="1"/>
  <c r="AC71" i="1"/>
  <c r="AC2929" i="1"/>
  <c r="AC2514" i="1"/>
  <c r="AC2142" i="1"/>
  <c r="AC2852" i="1"/>
  <c r="AC2923" i="1"/>
  <c r="AC3526" i="1"/>
  <c r="AC4308" i="1"/>
  <c r="AC4386" i="1"/>
  <c r="AC3994" i="1"/>
  <c r="AC3437" i="1"/>
  <c r="AC3311" i="1"/>
  <c r="AC990" i="1"/>
  <c r="AC3012" i="1"/>
  <c r="AC3044" i="1"/>
  <c r="AC3674" i="1"/>
  <c r="AC3350" i="1"/>
  <c r="AC1720" i="1"/>
  <c r="AC2086" i="1"/>
  <c r="AC3216" i="1"/>
  <c r="AC1794" i="1"/>
  <c r="AC1195" i="1"/>
  <c r="AC4384" i="1"/>
  <c r="AC3626" i="1"/>
  <c r="AC21" i="1"/>
  <c r="AC4271" i="1"/>
  <c r="AC2256" i="1"/>
  <c r="AC4444" i="1"/>
  <c r="AC333" i="1"/>
  <c r="AC1227" i="1"/>
  <c r="AC2320" i="1"/>
  <c r="AC58" i="1"/>
  <c r="AC1976" i="1"/>
  <c r="AC2050" i="1"/>
  <c r="AC4138" i="1"/>
  <c r="AC3048" i="1"/>
  <c r="AC1187" i="1"/>
  <c r="AC2637" i="1"/>
  <c r="AC4032" i="1"/>
  <c r="AC343" i="1"/>
  <c r="AC3343" i="1"/>
  <c r="AC1550" i="1"/>
  <c r="AC1805" i="1"/>
  <c r="AC1563" i="1"/>
  <c r="AC1429" i="1"/>
  <c r="AC300" i="1"/>
  <c r="AC4132" i="1"/>
  <c r="AC3186" i="1"/>
  <c r="AC118" i="1"/>
  <c r="AC3108" i="1"/>
  <c r="AC4210" i="1"/>
  <c r="AC3373" i="1"/>
  <c r="AC689" i="1"/>
  <c r="AC2738" i="1"/>
  <c r="AC3378" i="1"/>
  <c r="AC1231" i="1"/>
  <c r="AC1680" i="1"/>
  <c r="AC606" i="1"/>
  <c r="AC2677" i="1"/>
  <c r="AC70" i="1"/>
  <c r="AC3325" i="1"/>
  <c r="AC2836" i="1"/>
  <c r="AC3271" i="1"/>
  <c r="AC2193" i="1"/>
  <c r="AC1114" i="1"/>
  <c r="AC4519" i="1"/>
  <c r="AC1313" i="1"/>
  <c r="AC587" i="1"/>
  <c r="AC3706" i="1"/>
  <c r="AC787" i="1"/>
  <c r="AC4322" i="1"/>
  <c r="AC3471" i="1"/>
  <c r="AC4039" i="1"/>
  <c r="AC1367" i="1"/>
  <c r="AC763" i="1"/>
  <c r="AC627" i="1"/>
  <c r="AC1616" i="1"/>
  <c r="AC3818" i="1"/>
  <c r="AC2548" i="1"/>
  <c r="AC1112" i="1"/>
  <c r="AC552" i="1"/>
  <c r="AC734" i="1"/>
  <c r="AC3024" i="1"/>
  <c r="AC1148" i="1"/>
  <c r="AC2166" i="1"/>
  <c r="AC1357" i="1"/>
  <c r="AC1312" i="1"/>
  <c r="AC2224" i="1"/>
  <c r="AC2079" i="1"/>
  <c r="AC560" i="1"/>
  <c r="AC3658" i="1"/>
  <c r="AC556" i="1"/>
  <c r="AC709" i="1"/>
  <c r="AC3038" i="1"/>
  <c r="AC3337" i="1"/>
  <c r="AC3344" i="1"/>
  <c r="AC707" i="1"/>
  <c r="AC3358" i="1"/>
  <c r="AC3146" i="1"/>
  <c r="AC551" i="1"/>
  <c r="AC1892" i="1"/>
  <c r="AC1836" i="1"/>
  <c r="AC4135" i="1"/>
  <c r="AC3295" i="1"/>
  <c r="AC3121" i="1"/>
  <c r="AC4207" i="1"/>
  <c r="AC3900" i="1"/>
  <c r="AC3450" i="1"/>
  <c r="AC3449" i="1"/>
  <c r="AC2479" i="1"/>
  <c r="AC3566" i="1"/>
  <c r="AC325" i="1"/>
  <c r="AC650" i="1"/>
  <c r="AC502" i="1"/>
  <c r="AC2920" i="1"/>
  <c r="AC1746" i="1"/>
  <c r="AC1163" i="1"/>
  <c r="AC741" i="1"/>
  <c r="AC1271" i="1"/>
  <c r="AC1886" i="1"/>
  <c r="AC3078" i="1"/>
  <c r="AC443" i="1"/>
  <c r="AC4071" i="1"/>
  <c r="AC3519" i="1"/>
  <c r="AC3895" i="1"/>
  <c r="AC2966" i="1"/>
  <c r="AC2258" i="1"/>
  <c r="AC1620" i="1"/>
  <c r="AC615" i="1"/>
  <c r="AC1108" i="1"/>
  <c r="AC544" i="1"/>
  <c r="AC1840" i="1"/>
  <c r="AC2769" i="1"/>
  <c r="AC2010" i="1"/>
  <c r="AC2959" i="1"/>
  <c r="AC857" i="1"/>
  <c r="AC768" i="1"/>
  <c r="AC1064" i="1"/>
  <c r="AC2981" i="1"/>
  <c r="AC739" i="1"/>
  <c r="AC3958" i="1"/>
  <c r="AC933" i="1"/>
  <c r="AC69" i="1"/>
  <c r="AC3171" i="1"/>
  <c r="AC1415" i="1"/>
  <c r="AC2985" i="1"/>
  <c r="AC1671" i="1"/>
  <c r="AC4239" i="1"/>
  <c r="AC651" i="1"/>
  <c r="AC3538" i="1"/>
  <c r="AC423" i="1"/>
  <c r="AC4447" i="1"/>
  <c r="AC3149" i="1"/>
  <c r="AC935" i="1"/>
  <c r="AC2870" i="1"/>
  <c r="AC1692" i="1"/>
  <c r="AC3694" i="1"/>
  <c r="AC246" i="1"/>
  <c r="AC1164" i="1"/>
  <c r="AC753" i="1"/>
  <c r="AC1355" i="1"/>
  <c r="AC859" i="1"/>
  <c r="AC1255" i="1"/>
  <c r="AC2281" i="1"/>
  <c r="AC1512" i="1"/>
  <c r="AC2000" i="1"/>
  <c r="AC393" i="1"/>
  <c r="AC327" i="1"/>
  <c r="AC872" i="1"/>
  <c r="AC840" i="1"/>
  <c r="AC1822" i="1"/>
  <c r="AC1178" i="1"/>
  <c r="AC797" i="1"/>
  <c r="AC3183" i="1"/>
  <c r="AC1810" i="1"/>
  <c r="AC517" i="1"/>
  <c r="AC1077" i="1"/>
  <c r="AC1639" i="1"/>
  <c r="AC3456" i="1"/>
  <c r="AC143" i="1"/>
  <c r="AC942" i="1"/>
  <c r="AC1874" i="1"/>
  <c r="AC3294" i="1"/>
  <c r="AC2100" i="1"/>
  <c r="AC3231" i="1"/>
  <c r="AC826" i="1"/>
  <c r="AC3556" i="1"/>
  <c r="AC1826" i="1"/>
  <c r="AC2467" i="1"/>
  <c r="AC154" i="1"/>
  <c r="AC3719" i="1"/>
  <c r="AC1166" i="1"/>
  <c r="AC1875" i="1"/>
  <c r="AC3485" i="1"/>
  <c r="AC256" i="1"/>
  <c r="AC2322" i="1"/>
  <c r="AC581" i="1"/>
  <c r="AC1962" i="1"/>
  <c r="AC379" i="1"/>
  <c r="AC456" i="1"/>
  <c r="AC2031" i="1"/>
  <c r="AC572" i="1"/>
  <c r="AC1523" i="1"/>
  <c r="AC2199" i="1"/>
  <c r="AC4101" i="1"/>
  <c r="AC602" i="1"/>
  <c r="AC1907" i="1"/>
  <c r="AC3689" i="1"/>
  <c r="AC3749" i="1"/>
  <c r="AC1065" i="1"/>
  <c r="AC4414" i="1"/>
  <c r="AC2549" i="1"/>
  <c r="AC3166" i="1"/>
  <c r="AC2715" i="1"/>
  <c r="AC1422" i="1"/>
  <c r="AC573" i="1"/>
  <c r="AC711" i="1"/>
  <c r="AC3954" i="1"/>
  <c r="AC2278" i="1"/>
  <c r="AC2723" i="1"/>
  <c r="AC3132" i="1"/>
  <c r="AC3074" i="1"/>
  <c r="AC609" i="1"/>
  <c r="AC289" i="1"/>
  <c r="AC1569" i="1"/>
  <c r="AC2945" i="1"/>
  <c r="AC3892" i="1"/>
  <c r="AC1403" i="1"/>
  <c r="AC1539" i="1"/>
  <c r="AC54" i="1"/>
  <c r="AC4312" i="1"/>
  <c r="AC2820" i="1"/>
  <c r="AC3333" i="1"/>
  <c r="AC2899" i="1"/>
  <c r="AC553" i="1"/>
  <c r="AC3924" i="1"/>
  <c r="AC598" i="1"/>
  <c r="AC490" i="1"/>
  <c r="AC1900" i="1"/>
  <c r="AC733" i="1"/>
  <c r="AC3506" i="1"/>
  <c r="AC3175" i="1"/>
  <c r="AC1160" i="1"/>
  <c r="AC1601" i="1"/>
  <c r="AC293" i="1"/>
  <c r="AC4446" i="1"/>
  <c r="AC61" i="1"/>
  <c r="AC2135" i="1"/>
  <c r="AC3397" i="1"/>
  <c r="AC3846" i="1"/>
  <c r="AC3557" i="1"/>
  <c r="AC633" i="1"/>
  <c r="AC1573" i="1"/>
  <c r="AC4435" i="1"/>
  <c r="AC3369" i="1"/>
  <c r="AC4076" i="1"/>
  <c r="AC1653" i="1"/>
  <c r="AC481" i="1"/>
  <c r="AC2331" i="1"/>
  <c r="AC2821" i="1"/>
  <c r="AC4174" i="1"/>
  <c r="AC1155" i="1"/>
  <c r="AC3599" i="1"/>
  <c r="AC2201" i="1"/>
  <c r="AC4556" i="1"/>
  <c r="AC588" i="1"/>
  <c r="AC637" i="1"/>
  <c r="AC762" i="1"/>
  <c r="AC4545" i="1"/>
  <c r="AC3585" i="1"/>
  <c r="AC3380" i="1"/>
  <c r="AC1958" i="1"/>
  <c r="AC2618" i="1"/>
  <c r="AC2772" i="1"/>
  <c r="AC1349" i="1"/>
  <c r="AC660" i="1"/>
  <c r="AC3173" i="1"/>
  <c r="AC3148" i="1"/>
  <c r="AC3052" i="1"/>
  <c r="AC2962" i="1"/>
  <c r="AC4429" i="1"/>
  <c r="AC661" i="1"/>
  <c r="AC1320" i="1"/>
  <c r="AC4087" i="1"/>
  <c r="AC459" i="1"/>
  <c r="AC404" i="1"/>
  <c r="AC373" i="1"/>
  <c r="AC2512" i="1"/>
  <c r="AC4213" i="1"/>
  <c r="AC2236" i="1"/>
  <c r="AC1895" i="1"/>
  <c r="AC3514" i="1"/>
  <c r="AC3583" i="1"/>
  <c r="AC4082" i="1"/>
  <c r="AC1538" i="1"/>
  <c r="AC2605" i="1"/>
  <c r="AC4401" i="1"/>
  <c r="AC2373" i="1"/>
  <c r="AC4277" i="1"/>
  <c r="AC191" i="1"/>
  <c r="AC4462" i="1"/>
  <c r="AC3412" i="1"/>
  <c r="AC599" i="1"/>
  <c r="AC4106" i="1"/>
  <c r="AC1303" i="1"/>
  <c r="AC1928" i="1"/>
  <c r="AC1896" i="1"/>
  <c r="AC2466" i="1"/>
  <c r="AC2390" i="1"/>
  <c r="AC1289" i="1"/>
  <c r="AC1695" i="1"/>
  <c r="AC1404" i="1"/>
  <c r="AC1522" i="1"/>
  <c r="AC2953" i="1"/>
  <c r="AC3476" i="1"/>
  <c r="AC134" i="1"/>
  <c r="AC3911" i="1"/>
  <c r="AC4524" i="1"/>
  <c r="AC2703" i="1"/>
  <c r="AC955" i="1"/>
  <c r="AC4050" i="1"/>
  <c r="AC2761" i="1"/>
  <c r="AC212" i="1"/>
  <c r="AC2234" i="1"/>
  <c r="AC3478" i="1"/>
  <c r="AC38" i="1"/>
  <c r="AC3288" i="1"/>
  <c r="AC3240" i="1"/>
  <c r="AC4468" i="1"/>
  <c r="AC4327" i="1"/>
  <c r="AC2999" i="1"/>
  <c r="AC1579" i="1"/>
  <c r="AC1723" i="1"/>
  <c r="AC1818" i="1"/>
  <c r="AC779" i="1"/>
  <c r="AC1443" i="1"/>
  <c r="AC1194" i="1"/>
  <c r="AC1416" i="1"/>
  <c r="AC728" i="1"/>
  <c r="AC1932" i="1"/>
  <c r="AC1447" i="1"/>
  <c r="AC3095" i="1"/>
  <c r="AC655" i="1"/>
  <c r="AC4529" i="1"/>
  <c r="AC2536" i="1"/>
  <c r="AC2857" i="1"/>
  <c r="AC3389" i="1"/>
  <c r="AC2567" i="1"/>
  <c r="AC1533" i="1"/>
  <c r="AC698" i="1"/>
  <c r="AC4512" i="1"/>
  <c r="AC2583" i="1"/>
  <c r="AC3651" i="1"/>
  <c r="AC3710" i="1"/>
  <c r="AC2027" i="1"/>
  <c r="AC123" i="1"/>
  <c r="AC584" i="1"/>
  <c r="AC4313" i="1"/>
  <c r="AC2808" i="1"/>
  <c r="AC2016" i="1"/>
  <c r="AC2861" i="1"/>
  <c r="AC4167" i="1"/>
  <c r="AC3935" i="1"/>
  <c r="AC1585" i="1"/>
  <c r="AC3215" i="1"/>
  <c r="AC1750" i="1"/>
  <c r="AC3985" i="1"/>
  <c r="AC4494" i="1"/>
  <c r="AC3547" i="1"/>
  <c r="AC1980" i="1"/>
  <c r="AC4349" i="1"/>
  <c r="AC972" i="1"/>
  <c r="AC1125" i="1"/>
  <c r="AC594" i="1"/>
  <c r="AC2129" i="1"/>
  <c r="AC632" i="1"/>
  <c r="AC99" i="1"/>
  <c r="AC2682" i="1"/>
  <c r="AC14" i="1"/>
  <c r="AC1877" i="1"/>
  <c r="AC194" i="1"/>
  <c r="AC2457" i="1"/>
  <c r="AC1679" i="1"/>
  <c r="AC1226" i="1"/>
  <c r="AC101" i="1"/>
  <c r="AC2673" i="1"/>
  <c r="AC1005" i="1"/>
  <c r="AC4184" i="1"/>
  <c r="AC3703" i="1"/>
  <c r="AC570" i="1"/>
  <c r="AC3207" i="1"/>
  <c r="AC409" i="1"/>
  <c r="AC3135" i="1"/>
  <c r="AC4047" i="1"/>
  <c r="AC1270" i="1"/>
  <c r="AC2823" i="1"/>
  <c r="AC3293" i="1"/>
  <c r="AC4508" i="1"/>
  <c r="AC3831" i="1"/>
  <c r="AC3928" i="1"/>
  <c r="AC2018" i="1"/>
  <c r="AC706" i="1"/>
  <c r="AC286" i="1"/>
  <c r="AC874" i="1"/>
  <c r="AC3205" i="1"/>
  <c r="AC719" i="1"/>
  <c r="AC903" i="1"/>
  <c r="AC2982" i="1"/>
  <c r="AC233" i="1"/>
  <c r="AC3407" i="1"/>
  <c r="AC4360" i="1"/>
  <c r="AC2386" i="1"/>
  <c r="AC2301" i="1"/>
  <c r="AC1208" i="1"/>
  <c r="AC249" i="1"/>
  <c r="AC1700" i="1"/>
  <c r="AC2719" i="1"/>
  <c r="AC2996" i="1"/>
  <c r="AC1230" i="1"/>
  <c r="AC1304" i="1"/>
  <c r="AC1305" i="1"/>
  <c r="AC540" i="1"/>
  <c r="AC3522" i="1"/>
  <c r="AC4463" i="1"/>
  <c r="AC1560" i="1"/>
  <c r="AC2777" i="1"/>
  <c r="AC4261" i="1"/>
  <c r="AC1363" i="1"/>
  <c r="AC2535" i="1"/>
  <c r="AC474" i="1"/>
  <c r="AC2094" i="1"/>
  <c r="AC4148" i="1"/>
  <c r="AC529" i="1"/>
  <c r="AC1793" i="1"/>
  <c r="AC192" i="1"/>
  <c r="AC2662" i="1"/>
  <c r="AC354" i="1"/>
  <c r="AC2042" i="1"/>
  <c r="AC944" i="1"/>
  <c r="AC1197" i="1"/>
  <c r="AC1497" i="1"/>
  <c r="AC2825" i="1"/>
  <c r="AC9" i="1"/>
  <c r="AC1882" i="1"/>
  <c r="AC1414" i="1"/>
  <c r="AC2585" i="1"/>
  <c r="AC562" i="1"/>
  <c r="AC1250" i="1"/>
  <c r="AC1635" i="1"/>
  <c r="AC710" i="1"/>
  <c r="AC726" i="1"/>
  <c r="AC1641" i="1"/>
  <c r="AC2059" i="1"/>
  <c r="AC1697" i="1"/>
  <c r="AC1424" i="1"/>
  <c r="AC1088" i="1"/>
  <c r="AC346" i="1"/>
  <c r="AC4165" i="1"/>
  <c r="AC512" i="1"/>
  <c r="AC152" i="1"/>
  <c r="AC4131" i="1"/>
  <c r="AC4407" i="1"/>
  <c r="AC815" i="1"/>
  <c r="AC1455" i="1"/>
  <c r="AC3814" i="1"/>
  <c r="AC3883" i="1"/>
  <c r="AC4042" i="1"/>
  <c r="AC1243" i="1"/>
  <c r="AC3004" i="1"/>
  <c r="AC2511" i="1"/>
  <c r="AC1489" i="1"/>
  <c r="AC2635" i="1"/>
  <c r="AC3497" i="1"/>
  <c r="AC1957" i="1"/>
  <c r="AC1649" i="1"/>
  <c r="AC1302" i="1"/>
  <c r="AC2096" i="1"/>
  <c r="AC4080" i="1"/>
  <c r="AC2354" i="1"/>
  <c r="AC1847" i="1"/>
  <c r="AC3995" i="1"/>
  <c r="AC532" i="1"/>
  <c r="AC4301" i="1"/>
  <c r="AC3847" i="1"/>
  <c r="AC1786" i="1"/>
  <c r="AC619" i="1"/>
  <c r="AC1269" i="1"/>
  <c r="AC1945" i="1"/>
  <c r="AC2986" i="1"/>
  <c r="AC535" i="1"/>
  <c r="AC3367" i="1"/>
  <c r="AC2442" i="1"/>
  <c r="AC1970" i="1"/>
  <c r="AC3909" i="1"/>
  <c r="AC3769" i="1"/>
  <c r="AC3349" i="1"/>
  <c r="AC1652" i="1"/>
  <c r="AC1715" i="1"/>
  <c r="AC2712" i="1"/>
  <c r="AC1266" i="1"/>
  <c r="AC3595" i="1"/>
  <c r="AC4454" i="1"/>
  <c r="AC1761" i="1"/>
  <c r="AC3950" i="1"/>
  <c r="AC2326" i="1"/>
  <c r="AC838" i="1"/>
  <c r="AC2753" i="1"/>
  <c r="AC18" i="1"/>
  <c r="AC1086" i="1"/>
  <c r="AC235" i="1"/>
  <c r="AC1772" i="1"/>
  <c r="AC592" i="1"/>
  <c r="AC596" i="1"/>
  <c r="AC1224" i="1"/>
  <c r="AC1338" i="1"/>
  <c r="AC2705" i="1"/>
  <c r="AC2882" i="1"/>
  <c r="AC975" i="1"/>
  <c r="AC737" i="1"/>
  <c r="AC1876" i="1"/>
  <c r="AC4183" i="1"/>
  <c r="AC1856" i="1"/>
  <c r="AC4540" i="1"/>
  <c r="AC4354" i="1"/>
  <c r="AC1576" i="1"/>
  <c r="AC1702" i="1"/>
  <c r="AC1630" i="1"/>
  <c r="AC413" i="1"/>
  <c r="AC2165" i="1"/>
  <c r="AC4075" i="1"/>
  <c r="AC784" i="1"/>
  <c r="AC1934" i="1"/>
  <c r="AC1553" i="1"/>
  <c r="AC1441" i="1"/>
  <c r="AC1024" i="1"/>
  <c r="AC3641" i="1"/>
  <c r="AC3578" i="1"/>
  <c r="AC3969" i="1"/>
  <c r="AC4037" i="1"/>
  <c r="AC1026" i="1"/>
  <c r="AC2627" i="1"/>
  <c r="AC2606" i="1"/>
  <c r="AC2378" i="1"/>
  <c r="AC2988" i="1"/>
  <c r="AC1297" i="1"/>
  <c r="AC3318" i="1"/>
  <c r="AC3475" i="1"/>
  <c r="AC4222" i="1"/>
  <c r="AC1007" i="1"/>
  <c r="AC1743" i="1"/>
  <c r="AC2793" i="1"/>
  <c r="AC1335" i="1"/>
  <c r="AC4161" i="1"/>
  <c r="AC3979" i="1"/>
  <c r="AC927" i="1"/>
  <c r="AC1321" i="1"/>
  <c r="AC3301" i="1"/>
  <c r="AC4507" i="1"/>
  <c r="AC1857" i="1"/>
  <c r="AC1252" i="1"/>
  <c r="AC375" i="1"/>
  <c r="AC3930" i="1"/>
  <c r="AC1277" i="1"/>
  <c r="AC2830" i="1"/>
  <c r="AC4245" i="1"/>
  <c r="AC419" i="1"/>
  <c r="AC2182" i="1"/>
  <c r="AC4403" i="1"/>
  <c r="AC3605" i="1"/>
  <c r="AC2641" i="1"/>
  <c r="AC1935" i="1"/>
  <c r="AC2417" i="1"/>
  <c r="AC291" i="1"/>
  <c r="AC545" i="1"/>
  <c r="AC793" i="1"/>
  <c r="AC1930" i="1"/>
  <c r="AC2708" i="1"/>
  <c r="AC318" i="1"/>
  <c r="AC1508" i="1"/>
  <c r="AC1387" i="1"/>
  <c r="AC3991" i="1"/>
  <c r="AC4496" i="1"/>
  <c r="AC2284" i="1"/>
  <c r="AC1055" i="1"/>
  <c r="AC475" i="1"/>
  <c r="AC3010" i="1"/>
  <c r="AC2192" i="1"/>
  <c r="AC2783" i="1"/>
  <c r="AC736" i="1"/>
  <c r="AC617" i="1"/>
  <c r="AC4550" i="1"/>
  <c r="AC2960" i="1"/>
  <c r="AC3655" i="1"/>
  <c r="AC2756" i="1"/>
  <c r="AC1439" i="1"/>
  <c r="AC1838" i="1"/>
  <c r="AC3943" i="1"/>
  <c r="AC1801" i="1"/>
  <c r="AC2513" i="1"/>
  <c r="AC2691" i="1"/>
  <c r="AC2296" i="1"/>
  <c r="AC2787" i="1"/>
  <c r="AC2668" i="1"/>
  <c r="AC3841" i="1"/>
  <c r="AC4120" i="1"/>
  <c r="AC783" i="1"/>
  <c r="AC2306" i="1"/>
  <c r="AC4344" i="1"/>
  <c r="AC1142" i="1"/>
  <c r="AC1676" i="1"/>
  <c r="AC3638" i="1"/>
  <c r="AC969" i="1"/>
  <c r="AC3063" i="1"/>
  <c r="AC2008" i="1"/>
  <c r="AC278" i="1"/>
  <c r="AC4223" i="1"/>
  <c r="AC2543" i="1"/>
  <c r="AC3687" i="1"/>
  <c r="AC160" i="1"/>
  <c r="AC2556" i="1"/>
  <c r="AC1748" i="1"/>
  <c r="AC1017" i="1"/>
  <c r="AC2392" i="1"/>
  <c r="AC699" i="1"/>
  <c r="AC2726" i="1"/>
  <c r="AC4342" i="1"/>
  <c r="AC2592" i="1"/>
  <c r="AC1648" i="1"/>
  <c r="AC1677" i="1"/>
  <c r="AC3774" i="1"/>
  <c r="AC4365" i="1"/>
  <c r="AC1295" i="1"/>
  <c r="AC684" i="1"/>
  <c r="AC3501" i="1"/>
  <c r="AC3032" i="1"/>
  <c r="AC2876" i="1"/>
  <c r="AC770" i="1"/>
  <c r="AC1147" i="1"/>
  <c r="AC1478" i="1"/>
  <c r="AC1028" i="1"/>
  <c r="AC1237" i="1"/>
  <c r="AC382" i="1"/>
  <c r="AC3759" i="1"/>
  <c r="AC3041" i="1"/>
  <c r="AC3598" i="1"/>
  <c r="AC3782" i="1"/>
  <c r="AC3191" i="1"/>
  <c r="AC3757" i="1"/>
  <c r="AC4292" i="1"/>
  <c r="AC1814" i="1"/>
  <c r="AC3110" i="1"/>
  <c r="AC848" i="1"/>
  <c r="AC1066" i="1"/>
  <c r="AC1085" i="1"/>
  <c r="AC3411" i="1"/>
  <c r="AC816" i="1"/>
  <c r="AC1395" i="1"/>
  <c r="AC3630" i="1"/>
  <c r="AC2286" i="1"/>
  <c r="AC3727" i="1"/>
  <c r="AC3731" i="1"/>
  <c r="AC2038" i="1"/>
  <c r="AC744" i="1"/>
  <c r="AC139" i="1"/>
  <c r="AC2283" i="1"/>
  <c r="AC1809" i="1"/>
  <c r="AC956" i="1"/>
  <c r="AC1124" i="1"/>
  <c r="AC2365" i="1"/>
  <c r="AC1607" i="1"/>
  <c r="AC2776" i="1"/>
  <c r="AC2718" i="1"/>
  <c r="AC4023" i="1"/>
  <c r="AC1665" i="1"/>
  <c r="AC310" i="1"/>
  <c r="AC2729" i="1"/>
  <c r="AC1018" i="1"/>
  <c r="AC4335" i="1"/>
  <c r="AC521" i="1"/>
  <c r="AC4248" i="1"/>
  <c r="AC1027" i="1"/>
  <c r="AC78" i="1"/>
  <c r="AC3791" i="1"/>
  <c r="AC3881" i="1"/>
  <c r="AC2445" i="1"/>
  <c r="AC2065" i="1"/>
  <c r="AC1423" i="1"/>
  <c r="AC4325" i="1"/>
  <c r="AC3120" i="1"/>
  <c r="AC1621" i="1"/>
  <c r="AC1366" i="1"/>
  <c r="AC1328" i="1"/>
  <c r="AC388" i="1"/>
  <c r="AC2225" i="1"/>
  <c r="AC3025" i="1"/>
  <c r="AC834" i="1"/>
  <c r="AC1789" i="1"/>
  <c r="AC2124" i="1"/>
  <c r="AC1075" i="1"/>
  <c r="AC2646" i="1"/>
  <c r="AC4073" i="1"/>
  <c r="AC34" i="1"/>
  <c r="AC4121" i="1"/>
  <c r="AC3273" i="1"/>
  <c r="AC566" i="1"/>
  <c r="AC52" i="1"/>
  <c r="AC708" i="1"/>
  <c r="AC2997" i="1"/>
  <c r="AC3713" i="1"/>
  <c r="AC530" i="1"/>
  <c r="AC2946" i="1"/>
  <c r="AC2525" i="1"/>
  <c r="AC669" i="1"/>
  <c r="AC718" i="1"/>
  <c r="AC951" i="1"/>
  <c r="AC772" i="1"/>
  <c r="AC2818" i="1"/>
  <c r="AC19" i="1"/>
  <c r="AC1865" i="1"/>
  <c r="AC3416" i="1"/>
  <c r="AC1861" i="1"/>
  <c r="AC4284" i="1"/>
  <c r="AC3980" i="1"/>
  <c r="AC3619" i="1"/>
  <c r="AC1711" i="1"/>
  <c r="AC2116" i="1"/>
  <c r="AC1493" i="1"/>
  <c r="AC3617" i="1"/>
  <c r="AC253" i="1"/>
  <c r="AC1315" i="1"/>
  <c r="AC3076" i="1"/>
  <c r="AC1599" i="1"/>
  <c r="AC1768" i="1"/>
  <c r="AC2408" i="1"/>
  <c r="AC2649" i="1"/>
  <c r="AC947" i="1"/>
  <c r="AC1437" i="1"/>
  <c r="AC1672" i="1"/>
  <c r="AC1770" i="1"/>
  <c r="AC4486" i="1"/>
  <c r="AC238" i="1"/>
  <c r="AC3654" i="1"/>
  <c r="AC3123" i="1"/>
  <c r="AC2607" i="1"/>
  <c r="AC2415" i="1"/>
  <c r="AC1532" i="1"/>
  <c r="AC771" i="1"/>
  <c r="AC2347" i="1"/>
  <c r="AC1003" i="1"/>
  <c r="AC1740" i="1"/>
  <c r="AC2194" i="1"/>
  <c r="AC1888" i="1"/>
  <c r="AC3921" i="1"/>
  <c r="AC2972" i="1"/>
  <c r="AC1992" i="1"/>
  <c r="AC3398" i="1"/>
  <c r="AC408" i="1"/>
  <c r="AC3849" i="1"/>
  <c r="AC4238" i="1"/>
  <c r="AC1069" i="1"/>
  <c r="AC4242" i="1"/>
  <c r="AC2355" i="1"/>
  <c r="AC1232" i="1"/>
  <c r="AC1684" i="1"/>
  <c r="AC175" i="1"/>
  <c r="AC2147" i="1"/>
  <c r="AC1996" i="1"/>
  <c r="AC4004" i="1"/>
  <c r="AC1459" i="1"/>
  <c r="AC555" i="1"/>
  <c r="AC3951" i="1"/>
  <c r="AC3941" i="1"/>
  <c r="AC428" i="1"/>
  <c r="AC2240" i="1"/>
  <c r="AC2948" i="1"/>
  <c r="AC1094" i="1"/>
  <c r="AC547" i="1"/>
  <c r="AC961" i="1"/>
  <c r="AC91" i="1"/>
  <c r="AC264" i="1"/>
  <c r="AC10" i="1"/>
  <c r="AC1103" i="1"/>
  <c r="AC153" i="1"/>
  <c r="AC2361" i="1"/>
  <c r="AC1982" i="1"/>
  <c r="AC2262" i="1"/>
  <c r="AC204" i="1"/>
  <c r="AC3812" i="1"/>
  <c r="AC2411" i="1"/>
  <c r="AC536" i="1"/>
  <c r="AC3606" i="1"/>
  <c r="AC4018" i="1"/>
  <c r="AC3967" i="1"/>
  <c r="AC3504" i="1"/>
  <c r="AC2029" i="1"/>
  <c r="AC1738" i="1"/>
  <c r="AC2584" i="1"/>
  <c r="AC4084" i="1"/>
  <c r="AC1506" i="1"/>
  <c r="AC2486" i="1"/>
  <c r="AC1111" i="1"/>
  <c r="AC989" i="1"/>
  <c r="AC4281" i="1"/>
  <c r="AC1013" i="1"/>
  <c r="AC1524" i="1"/>
  <c r="AC329" i="1"/>
  <c r="AC4555" i="1"/>
  <c r="AC3064" i="1"/>
  <c r="AC437" i="1"/>
  <c r="AC168" i="1"/>
  <c r="AC1881" i="1"/>
  <c r="AC1206" i="1"/>
  <c r="AC4405" i="1"/>
  <c r="AC1566" i="1"/>
  <c r="AC3656" i="1"/>
  <c r="AC3893" i="1"/>
  <c r="AC4045" i="1"/>
  <c r="AC2658" i="1"/>
  <c r="AC1588" i="1"/>
  <c r="AC3406" i="1"/>
  <c r="AC3127" i="1"/>
  <c r="AC2308" i="1"/>
  <c r="AC1072" i="1"/>
  <c r="AC461" i="1"/>
  <c r="AC2939" i="1"/>
  <c r="AC385" i="1"/>
  <c r="AC4015" i="1"/>
  <c r="AC56" i="1"/>
  <c r="AC1483" i="1"/>
  <c r="AC1739" i="1"/>
  <c r="AC1745" i="1"/>
  <c r="AC3872" i="1"/>
  <c r="AC49" i="1"/>
  <c r="AC3103" i="1"/>
  <c r="AC1484" i="1"/>
  <c r="AC2034" i="1"/>
  <c r="AC4503" i="1"/>
  <c r="AC3357" i="1"/>
  <c r="AC3013" i="1"/>
  <c r="AC1708" i="1"/>
  <c r="AC904" i="1"/>
  <c r="AC991" i="1"/>
  <c r="AC681" i="1"/>
  <c r="AC4379" i="1"/>
  <c r="AC4552" i="1"/>
  <c r="AC4114" i="1"/>
  <c r="AC3927" i="1"/>
  <c r="AC3645" i="1"/>
  <c r="AC3348" i="1"/>
  <c r="AC2181" i="1"/>
  <c r="AC4478" i="1"/>
  <c r="AC997" i="1"/>
  <c r="AC2186" i="1"/>
  <c r="AC330" i="1"/>
  <c r="AC3882" i="1"/>
  <c r="AC1558" i="1"/>
  <c r="AC4346" i="1"/>
  <c r="AC3639" i="1"/>
  <c r="AC3754" i="1"/>
  <c r="AC59" i="1"/>
  <c r="AC4190" i="1"/>
  <c r="AC3256" i="1"/>
  <c r="AC1687" i="1"/>
  <c r="AC3934" i="1"/>
  <c r="AC928" i="1"/>
  <c r="AC12" i="1"/>
  <c r="AC82" i="1"/>
  <c r="AC565" i="1"/>
  <c r="AC913" i="1"/>
  <c r="AC337" i="1"/>
  <c r="AC3947" i="1"/>
  <c r="AC3465" i="1"/>
  <c r="AC501" i="1"/>
  <c r="AC1107" i="1"/>
  <c r="AC1089" i="1"/>
  <c r="AC3181" i="1"/>
  <c r="AC702" i="1"/>
  <c r="AC1217" i="1"/>
  <c r="AC1165" i="1"/>
  <c r="AC3584" i="1"/>
  <c r="AC3844" i="1"/>
  <c r="AC1122" i="1"/>
  <c r="AC2056" i="1"/>
  <c r="AC1796" i="1"/>
  <c r="AC3446" i="1"/>
  <c r="AC974" i="1"/>
  <c r="AC4324" i="1"/>
  <c r="AC260" i="1"/>
  <c r="AC1215" i="1"/>
  <c r="AC1253" i="1"/>
  <c r="AC415" i="1"/>
  <c r="AC934" i="1"/>
  <c r="AC308" i="1"/>
  <c r="AC2931" i="1"/>
  <c r="AC2650" i="1"/>
  <c r="AC4523" i="1"/>
  <c r="AC3220" i="1"/>
  <c r="AC1906" i="1"/>
  <c r="AC3536" i="1"/>
  <c r="AC2173" i="1"/>
  <c r="AC3936" i="1"/>
  <c r="AC2614" i="1"/>
  <c r="AC1505" i="1"/>
  <c r="AC3428" i="1"/>
  <c r="AC907" i="1"/>
  <c r="AC2007" i="1"/>
  <c r="AC3036" i="1"/>
  <c r="AC1244" i="1"/>
  <c r="AC3723" i="1"/>
  <c r="AC5" i="1"/>
  <c r="AC2624" i="1"/>
  <c r="AC2107" i="1"/>
  <c r="AC920" i="1"/>
  <c r="AC2496" i="1"/>
  <c r="AC1525" i="1"/>
  <c r="AC1398" i="1"/>
  <c r="AC1171" i="1"/>
  <c r="AC1199" i="1"/>
  <c r="AC1185" i="1"/>
  <c r="AC2571" i="1"/>
  <c r="AC2335" i="1"/>
  <c r="AC3591" i="1"/>
  <c r="AC2686" i="1"/>
  <c r="AC3030" i="1"/>
  <c r="AC3959" i="1"/>
  <c r="AC725" i="1"/>
  <c r="AC479" i="1"/>
  <c r="AC1650" i="1"/>
  <c r="AC3984" i="1"/>
  <c r="AC3443" i="1"/>
  <c r="AC2968" i="1"/>
  <c r="AC809" i="1"/>
  <c r="AC677" i="1"/>
  <c r="AC1336" i="1"/>
  <c r="AC195" i="1"/>
  <c r="AC2744" i="1"/>
  <c r="AC2351" i="1"/>
  <c r="AC453" i="1"/>
  <c r="AC47" i="1"/>
  <c r="AC1988" i="1"/>
  <c r="AC605" i="1"/>
  <c r="AC833" i="1"/>
  <c r="AC2348" i="1"/>
  <c r="AC4305" i="1"/>
  <c r="AC1296" i="1"/>
  <c r="AC4288" i="1"/>
  <c r="AC2580" i="1"/>
  <c r="AC1150" i="1"/>
  <c r="AC3182" i="1"/>
  <c r="AC265" i="1"/>
  <c r="AC4055" i="1"/>
  <c r="AC2716" i="1"/>
  <c r="AC2767" i="1"/>
  <c r="AC1879" i="1"/>
  <c r="AC2492" i="1"/>
  <c r="AC2994" i="1"/>
  <c r="AC1755" i="1"/>
  <c r="AC3072" i="1"/>
  <c r="AC3321" i="1"/>
  <c r="AC2480" i="1"/>
  <c r="AC813" i="1"/>
  <c r="AC1453" i="1"/>
  <c r="AC2253" i="1"/>
  <c r="AC2922" i="1"/>
  <c r="AC1097" i="1"/>
  <c r="AC3049" i="1"/>
  <c r="AC2930" i="1"/>
  <c r="AC740" i="1"/>
  <c r="AC2190" i="1"/>
  <c r="AC3840" i="1"/>
  <c r="AC1637" i="1"/>
  <c r="AC2003" i="1"/>
  <c r="AC2532" i="1"/>
  <c r="AC4140" i="1"/>
  <c r="AC1427" i="1"/>
  <c r="AC2402" i="1"/>
  <c r="AC3422" i="1"/>
  <c r="AC4028" i="1"/>
  <c r="AC1781" i="1"/>
  <c r="AC2908" i="1"/>
  <c r="AC2023" i="1"/>
  <c r="AC2660" i="1"/>
  <c r="AC125" i="1"/>
  <c r="AC1977" i="1"/>
  <c r="AC1636" i="1"/>
  <c r="AC2189" i="1"/>
  <c r="AC1234" i="1"/>
  <c r="AC188" i="1"/>
  <c r="AC792" i="1"/>
  <c r="AC2241" i="1"/>
  <c r="AC1470" i="1"/>
  <c r="AC4181" i="1"/>
  <c r="AC2006" i="1"/>
  <c r="AC399" i="1"/>
  <c r="AC1115" i="1"/>
  <c r="AC3266" i="1"/>
  <c r="AC1128" i="1"/>
  <c r="AC1570" i="1"/>
  <c r="AC559" i="1"/>
  <c r="AC1210" i="1"/>
  <c r="AC2937" i="1"/>
  <c r="AC2151" i="1"/>
  <c r="AC896" i="1"/>
  <c r="AC1894" i="1"/>
  <c r="AC3184" i="1"/>
  <c r="AC620" i="1"/>
  <c r="AC2575" i="1"/>
  <c r="AC2537" i="1"/>
  <c r="AC1602" i="1"/>
  <c r="AC1595" i="1"/>
  <c r="AC3940" i="1"/>
  <c r="AC3250" i="1"/>
  <c r="AC662" i="1"/>
  <c r="AC1360" i="1"/>
  <c r="AC1322" i="1"/>
  <c r="AC999" i="1"/>
  <c r="AC1547" i="1"/>
  <c r="AC652" i="1"/>
  <c r="AC2864" i="1"/>
  <c r="AC1656" i="1"/>
  <c r="AC1036" i="1"/>
  <c r="AC960" i="1"/>
  <c r="AC1939" i="1"/>
  <c r="AC30" i="1"/>
  <c r="AC156" i="1"/>
  <c r="AC441" i="1"/>
  <c r="AC673" i="1"/>
  <c r="AC980" i="1"/>
  <c r="AC4314" i="1"/>
  <c r="AC2302" i="1"/>
  <c r="AC2062" i="1"/>
  <c r="AC431" i="1"/>
  <c r="AC2695" i="1"/>
  <c r="AC1964" i="1"/>
  <c r="AC1821" i="1"/>
  <c r="AC4432" i="1"/>
  <c r="AC2949" i="1"/>
  <c r="AC2035" i="1"/>
  <c r="AC3829" i="1"/>
  <c r="AC274" i="1"/>
  <c r="AC4109" i="1"/>
  <c r="AC1926" i="1"/>
  <c r="AC4147" i="1"/>
  <c r="AC3667" i="1"/>
  <c r="AC3868" i="1"/>
  <c r="AC1000" i="1"/>
  <c r="AC1281" i="1"/>
  <c r="AC1917" i="1"/>
  <c r="AC1973" i="1"/>
  <c r="AC2299" i="1"/>
  <c r="AC109" i="1"/>
  <c r="AC4126" i="1"/>
  <c r="AC4043" i="1"/>
  <c r="AC121" i="1"/>
  <c r="AC3908" i="1"/>
  <c r="AC4481" i="1"/>
  <c r="AC691" i="1"/>
  <c r="AC1500" i="1"/>
  <c r="AC311" i="1"/>
  <c r="AC3989" i="1"/>
  <c r="AC3116" i="1"/>
  <c r="AC3453" i="1"/>
  <c r="AC1872" i="1"/>
  <c r="AC2047" i="1"/>
  <c r="AC950" i="1"/>
  <c r="AC1762" i="1"/>
  <c r="AC1096" i="1"/>
  <c r="AC3513" i="1"/>
  <c r="AC2846" i="1"/>
  <c r="AC2195" i="1"/>
  <c r="AC541" i="1"/>
  <c r="AC593" i="1"/>
  <c r="AC508" i="1"/>
  <c r="AC159" i="1"/>
  <c r="AC715" i="1"/>
  <c r="AC3607" i="1"/>
  <c r="AC4100" i="1"/>
  <c r="AC1919" i="1"/>
  <c r="AC742" i="1"/>
  <c r="AC2232" i="1"/>
  <c r="AC1183" i="1"/>
  <c r="AC313" i="1"/>
  <c r="AC117" i="1"/>
  <c r="AC4170" i="1"/>
  <c r="AC478" i="1"/>
  <c r="AC4409" i="1"/>
  <c r="AC3799" i="1"/>
  <c r="AC2993" i="1"/>
  <c r="AC2462" i="1"/>
  <c r="AC3060" i="1"/>
  <c r="AC1528" i="1"/>
  <c r="AC2499" i="1"/>
  <c r="AC1612" i="1"/>
  <c r="AC625" i="1"/>
  <c r="AC987" i="1"/>
  <c r="AC2342" i="1"/>
  <c r="AC614" i="1"/>
  <c r="AC2269" i="1"/>
  <c r="AC516" i="1"/>
  <c r="AC2696" i="1"/>
  <c r="AC467" i="1"/>
  <c r="AC1033" i="1"/>
  <c r="AC3131" i="1"/>
  <c r="AC4453" i="1"/>
  <c r="AC345" i="1"/>
  <c r="AC2601" i="1"/>
  <c r="AC2907" i="1"/>
  <c r="AC414" i="1"/>
  <c r="AC2824" i="1"/>
  <c r="AC2113" i="1"/>
  <c r="AC3612" i="1"/>
  <c r="AC1978" i="1"/>
  <c r="AC2382" i="1"/>
  <c r="AC962" i="1"/>
  <c r="AC4255" i="1"/>
  <c r="AC3223" i="1"/>
  <c r="AC3830" i="1"/>
  <c r="AC1314" i="1"/>
  <c r="AC2145" i="1"/>
  <c r="AC966" i="1"/>
  <c r="AC1324" i="1"/>
  <c r="AC3026" i="1"/>
  <c r="AC2533" i="1"/>
  <c r="AC207" i="1"/>
  <c r="AC1048" i="1"/>
  <c r="AC939" i="1"/>
  <c r="AC1741" i="1"/>
  <c r="AC3430" i="1"/>
  <c r="AC3697" i="1"/>
  <c r="AC4044" i="1"/>
  <c r="AC148" i="1"/>
  <c r="AC2625" i="1"/>
  <c r="AC2048" i="1"/>
  <c r="AC1839" i="1"/>
  <c r="AC1079" i="1"/>
  <c r="AC3264" i="1"/>
  <c r="AC557" i="1"/>
  <c r="AC3902" i="1"/>
  <c r="AC2383" i="1"/>
  <c r="AC224" i="1"/>
  <c r="AC4225" i="1"/>
  <c r="AC1480" i="1"/>
  <c r="AC887" i="1"/>
  <c r="AC3062" i="1"/>
  <c r="AC2645" i="1"/>
  <c r="AC3329" i="1"/>
  <c r="AC2954" i="1"/>
  <c r="AC455" i="1"/>
  <c r="AC122" i="1"/>
  <c r="AC522" i="1"/>
  <c r="AC2076" i="1"/>
  <c r="AC3253" i="1"/>
  <c r="AC1627" i="1"/>
  <c r="AC2546" i="1"/>
  <c r="AC2842" i="1"/>
  <c r="AC349" i="1"/>
  <c r="AC3898" i="1"/>
  <c r="AC1624" i="1"/>
  <c r="AC1352" i="1"/>
  <c r="AC2834" i="1"/>
  <c r="AC1507" i="1"/>
  <c r="AC4343" i="1"/>
  <c r="AC612" i="1"/>
  <c r="AC247" i="1"/>
  <c r="AC1713" i="1"/>
  <c r="AC2460" i="1"/>
  <c r="AC2569" i="1"/>
  <c r="AC1222" i="1"/>
  <c r="AC4090" i="1"/>
  <c r="AC1019" i="1"/>
  <c r="AC2043" i="1"/>
  <c r="AC3009" i="1"/>
  <c r="AC4378" i="1"/>
  <c r="AC1729" i="1"/>
  <c r="AC1691" i="1"/>
  <c r="AC799" i="1"/>
  <c r="AC1172" i="1"/>
  <c r="AC1113" i="1"/>
  <c r="AC124" i="1"/>
  <c r="AC777" i="1"/>
  <c r="AC2563" i="1"/>
  <c r="AC2156" i="1"/>
  <c r="AC886" i="1"/>
  <c r="AC1667" i="1"/>
  <c r="AC3258" i="1"/>
  <c r="AC4168" i="1"/>
  <c r="AC230" i="1"/>
  <c r="AC4156" i="1"/>
  <c r="AC218" i="1"/>
  <c r="AC2099" i="1"/>
  <c r="AC4144" i="1"/>
  <c r="AC2904" i="1"/>
  <c r="AC1091" i="1"/>
  <c r="AC2773" i="1"/>
  <c r="AC2070" i="1"/>
  <c r="AC2307" i="1"/>
  <c r="AC3762" i="1"/>
  <c r="AC4019" i="1"/>
  <c r="AC1381" i="1"/>
  <c r="AC364" i="1"/>
  <c r="AC2098" i="1"/>
  <c r="AC1704" i="1"/>
  <c r="AC3481" i="1"/>
  <c r="AC2058" i="1"/>
  <c r="AC3193" i="1"/>
  <c r="AC2264" i="1"/>
  <c r="AC102" i="1"/>
  <c r="AC3167" i="1"/>
  <c r="AC3170" i="1"/>
  <c r="AC4546" i="1"/>
  <c r="AC2839" i="1"/>
  <c r="AC1082" i="1"/>
  <c r="AC237" i="1"/>
  <c r="AC2183" i="1"/>
  <c r="AC1032" i="1"/>
  <c r="AC3279" i="1"/>
  <c r="AC2111" i="1"/>
  <c r="AC1548" i="1"/>
  <c r="AC3117" i="1"/>
  <c r="AC1699" i="1"/>
  <c r="AC3289" i="1"/>
  <c r="AC1668" i="1"/>
  <c r="AC180" i="1"/>
  <c r="AC2309" i="1"/>
  <c r="AC2148" i="1"/>
  <c r="AC1371" i="1"/>
  <c r="AC4472" i="1"/>
  <c r="AC4290" i="1"/>
  <c r="AC713" i="1"/>
  <c r="AC4418" i="1"/>
  <c r="AC2671" i="1"/>
  <c r="AC3917" i="1"/>
  <c r="AC941" i="1"/>
  <c r="AC2233" i="1"/>
  <c r="AC3672" i="1"/>
  <c r="AC2745" i="1"/>
  <c r="AC2024" i="1"/>
  <c r="AC4475" i="1"/>
  <c r="AC2064" i="1"/>
  <c r="AC1039" i="1"/>
  <c r="AC929" i="1"/>
  <c r="AC2796" i="1"/>
  <c r="AC1265" i="1"/>
  <c r="AC3631" i="1"/>
  <c r="AC2541" i="1"/>
  <c r="AC2481" i="1"/>
  <c r="AC3726" i="1"/>
  <c r="AC2950" i="1"/>
  <c r="AC2334" i="1"/>
  <c r="AC1293" i="1"/>
  <c r="AC2711" i="1"/>
  <c r="AC4185" i="1"/>
  <c r="AC239" i="1"/>
  <c r="AC1311" i="1"/>
  <c r="AC1703" i="1"/>
  <c r="AC3894" i="1"/>
  <c r="AC663" i="1"/>
  <c r="AC2724" i="1"/>
  <c r="AC3237" i="1"/>
  <c r="AC4175" i="1"/>
  <c r="AC2797" i="1"/>
  <c r="AC1611" i="1"/>
  <c r="AC2158" i="1"/>
  <c r="AC1698" i="1"/>
  <c r="AC894" i="1"/>
  <c r="AC3058" i="1"/>
  <c r="AC447" i="1"/>
  <c r="AC2061" i="1"/>
  <c r="AC90" i="1"/>
  <c r="AC2025" i="1"/>
  <c r="AC1984" i="1"/>
  <c r="AC558" i="1"/>
  <c r="AC1782" i="1"/>
  <c r="AC2905" i="1"/>
  <c r="AC863" i="1"/>
  <c r="AC301" i="1"/>
  <c r="AC3743" i="1"/>
  <c r="AC2212" i="1"/>
  <c r="AC1376" i="1"/>
  <c r="AC4372" i="1"/>
  <c r="AC1717" i="1"/>
  <c r="AC821" i="1"/>
  <c r="AC3876" i="1"/>
  <c r="AC3460" i="1"/>
  <c r="AC1362" i="1"/>
  <c r="AC2287" i="1"/>
  <c r="AC1960" i="1"/>
  <c r="AC140" i="1"/>
  <c r="AC3099" i="1"/>
  <c r="AC1799" i="1"/>
  <c r="AC1472" i="1"/>
  <c r="AC1397" i="1"/>
  <c r="AC1724" i="1"/>
  <c r="AC2239" i="1"/>
  <c r="AC807" i="1"/>
  <c r="AC2406" i="1"/>
  <c r="AC3904" i="1"/>
  <c r="AC4442" i="1"/>
  <c r="AC1481" i="1"/>
  <c r="AC3685" i="1"/>
  <c r="AC1834" i="1"/>
  <c r="AC3695" i="1"/>
  <c r="AC3342" i="1"/>
  <c r="AC1433" i="1"/>
  <c r="AC1038" i="1"/>
  <c r="AC4117" i="1"/>
  <c r="AC3659" i="1"/>
  <c r="AC1617" i="1"/>
  <c r="AC142" i="1"/>
  <c r="AC672" i="1"/>
  <c r="AC1824" i="1"/>
  <c r="AC1820" i="1"/>
  <c r="AC1193" i="1"/>
  <c r="AC626" i="1"/>
  <c r="AC3737" i="1"/>
  <c r="AC103" i="1"/>
  <c r="AC1379" i="1"/>
  <c r="AC3187" i="1"/>
  <c r="AC3455" i="1"/>
  <c r="AC4534" i="1"/>
  <c r="AC2973" i="1"/>
  <c r="AC1109" i="1"/>
  <c r="AC4194" i="1"/>
  <c r="AC4146" i="1"/>
  <c r="AC2071" i="1"/>
  <c r="AC2721" i="1"/>
  <c r="AC1987" i="1"/>
  <c r="AC422" i="1"/>
  <c r="AC519" i="1"/>
  <c r="AC1092" i="1"/>
  <c r="AC3808" i="1"/>
  <c r="AC3949" i="1"/>
  <c r="AC1389" i="1"/>
  <c r="AC1133" i="1"/>
  <c r="AC4464" i="1"/>
  <c r="AC3549" i="1"/>
  <c r="AC1177" i="1"/>
  <c r="AC1477" i="1"/>
  <c r="AC473" i="1"/>
  <c r="AC53" i="1"/>
  <c r="AC3686" i="1"/>
  <c r="AC2515" i="1"/>
  <c r="AC3551" i="1"/>
  <c r="AC4471" i="1"/>
  <c r="AC4092" i="1"/>
  <c r="AC43" i="1"/>
  <c r="AC653" i="1"/>
  <c r="AC970" i="1"/>
  <c r="AC120" i="1"/>
  <c r="AC3442" i="1"/>
  <c r="AC3420" i="1"/>
  <c r="AC2879" i="1"/>
  <c r="AC2634" i="1"/>
  <c r="AC613" i="1"/>
  <c r="AC3408" i="1"/>
  <c r="AC1518" i="1"/>
  <c r="AC150" i="1"/>
  <c r="AC3313" i="1"/>
  <c r="AC302" i="1"/>
  <c r="AC3500" i="1"/>
  <c r="AC2992" i="1"/>
  <c r="AC877" i="1"/>
  <c r="AC3413" i="1"/>
  <c r="AC4038" i="1"/>
  <c r="AC1747" i="1"/>
  <c r="AC4293" i="1"/>
  <c r="AC922" i="1"/>
  <c r="AC2990" i="1"/>
  <c r="AC1008" i="1"/>
  <c r="AC1851" i="1"/>
  <c r="AC781" i="1"/>
  <c r="AC3241" i="1"/>
  <c r="AC701" i="1"/>
  <c r="AC1220" i="1"/>
  <c r="AC1598" i="1"/>
  <c r="AC4022" i="1"/>
  <c r="AC3986" i="1"/>
  <c r="AC4520" i="1"/>
  <c r="AC3620" i="1"/>
  <c r="AC2559" i="1"/>
  <c r="AC3491" i="1"/>
  <c r="AC2204" i="1"/>
  <c r="AC266" i="1"/>
  <c r="AC3766" i="1"/>
  <c r="AC1259" i="1"/>
  <c r="AC978" i="1"/>
  <c r="AC1581" i="1"/>
  <c r="AC2916" i="1"/>
  <c r="AC844" i="1"/>
  <c r="AC4169" i="1"/>
  <c r="AC92" i="1"/>
  <c r="AC4048" i="1"/>
  <c r="AC1499" i="1"/>
  <c r="AC2196" i="1"/>
  <c r="AC2328" i="1"/>
  <c r="AC3377" i="1"/>
  <c r="AC1435" i="1"/>
  <c r="AC1341" i="1"/>
  <c r="AC1575" i="1"/>
  <c r="AC3230" i="1"/>
  <c r="AC196" i="1"/>
  <c r="AC3139" i="1"/>
  <c r="AC3101" i="1"/>
  <c r="AC23" i="1"/>
  <c r="AC3194" i="1"/>
  <c r="AC4187" i="1"/>
  <c r="AC1364" i="1"/>
  <c r="AC3800" i="1"/>
  <c r="AC2477" i="1"/>
  <c r="AC2478" i="1"/>
  <c r="AC4351" i="1"/>
  <c r="AC2774" i="1"/>
  <c r="AC574" i="1"/>
  <c r="AC2707" i="1"/>
  <c r="AC4400" i="1"/>
  <c r="AC1001" i="1"/>
  <c r="AC3552" i="1"/>
  <c r="AC1308" i="1"/>
  <c r="AC3249" i="1"/>
  <c r="AC3244" i="1"/>
  <c r="AC2459" i="1"/>
  <c r="AC4186" i="1"/>
  <c r="AC3088" i="1"/>
  <c r="AC3755" i="1"/>
  <c r="AC2084" i="1"/>
  <c r="AC879" i="1"/>
  <c r="AC2461" i="1"/>
  <c r="AC400" i="1"/>
  <c r="AC3332" i="1"/>
  <c r="AC1953" i="1"/>
  <c r="AC1721" i="1"/>
  <c r="AC695" i="1"/>
  <c r="AC964" i="1"/>
  <c r="AC1927" i="1"/>
  <c r="AC847" i="1"/>
  <c r="AC3744" i="1"/>
  <c r="AC967" i="1"/>
  <c r="AC654" i="1"/>
  <c r="AC743" i="1"/>
  <c r="AC3447" i="1"/>
  <c r="AC3586" i="1"/>
  <c r="AC2963" i="1"/>
  <c r="AC2433" i="1"/>
  <c r="AC2498" i="1"/>
  <c r="AC1174" i="1"/>
  <c r="AC4511" i="1"/>
  <c r="AC2903" i="1"/>
  <c r="AC287" i="1"/>
  <c r="AC1022" i="1"/>
  <c r="AC132" i="1"/>
  <c r="AC548" i="1"/>
  <c r="AC2784" i="1"/>
  <c r="AC429" i="1"/>
  <c r="AC1682" i="1"/>
  <c r="AC2015" i="1"/>
  <c r="AC1409" i="1"/>
  <c r="AC396" i="1"/>
  <c r="AC1643" i="1"/>
  <c r="AC4389" i="1"/>
  <c r="AC2734" i="1"/>
  <c r="AC1903" i="1"/>
  <c r="AC2214" i="1"/>
  <c r="AC1462" i="1"/>
  <c r="AC2001" i="1"/>
  <c r="AC3590" i="1"/>
  <c r="AC3741" i="1"/>
  <c r="AC3022" i="1"/>
  <c r="AC895" i="1"/>
  <c r="AC4005" i="1"/>
  <c r="AC3577" i="1"/>
  <c r="AC2938" i="1"/>
  <c r="AC1971" i="1"/>
  <c r="AC2701" i="1"/>
  <c r="AC2804" i="1"/>
  <c r="AC145" i="1"/>
  <c r="AC42" i="1"/>
  <c r="AC280" i="1"/>
  <c r="AC2338" i="1"/>
  <c r="AC244" i="1"/>
  <c r="AC2169" i="1"/>
  <c r="AC3361" i="1"/>
  <c r="AC2519" i="1"/>
  <c r="AC2422" i="1"/>
  <c r="AC2054" i="1"/>
  <c r="AC2485" i="1"/>
  <c r="AC2822" i="1"/>
  <c r="AC4016" i="1"/>
  <c r="AC85" i="1"/>
  <c r="AC36" i="1"/>
  <c r="AC2030" i="1"/>
  <c r="AC4215" i="1"/>
  <c r="AC2676" i="1"/>
  <c r="AC2722" i="1"/>
  <c r="AC2223" i="1"/>
  <c r="AC4487" i="1"/>
  <c r="AC2841" i="1"/>
  <c r="AC3462" i="1"/>
  <c r="AC885" i="1"/>
  <c r="AC3071" i="1"/>
  <c r="AC3142" i="1"/>
  <c r="AC1329" i="1"/>
  <c r="AC171" i="1"/>
  <c r="AC986" i="1"/>
  <c r="AC257" i="1"/>
  <c r="AC3239" i="1"/>
  <c r="AC3040" i="1"/>
  <c r="AC3742" i="1"/>
  <c r="AC930" i="1"/>
  <c r="AC1790" i="1"/>
  <c r="AC1622" i="1"/>
  <c r="AC998" i="1"/>
  <c r="AC1659" i="1"/>
  <c r="AC33" i="1"/>
  <c r="AC2115" i="1"/>
  <c r="AC3657" i="1"/>
  <c r="AC1479" i="1"/>
  <c r="AC1144" i="1"/>
  <c r="AC4000" i="1"/>
  <c r="AC434" i="1"/>
  <c r="AC1537" i="1"/>
  <c r="AC636" i="1"/>
  <c r="AC183" i="1"/>
  <c r="AC322" i="1"/>
  <c r="AC4456" i="1"/>
  <c r="AC4266" i="1"/>
  <c r="AC3567" i="1"/>
  <c r="AC3813" i="1"/>
  <c r="AC3493" i="1"/>
  <c r="AC2205" i="1"/>
  <c r="AC824" i="1"/>
  <c r="AC2011" i="1"/>
  <c r="AC1074" i="1"/>
  <c r="AC3129" i="1"/>
  <c r="AC640" i="1"/>
  <c r="AC2412" i="1"/>
  <c r="AC141" i="1"/>
  <c r="AC2566" i="1"/>
  <c r="AC2439" i="1"/>
  <c r="AC2503" i="1"/>
  <c r="AC1509" i="1"/>
  <c r="AC1504" i="1"/>
  <c r="AC2367" i="1"/>
  <c r="AC1701" i="1"/>
  <c r="AC4361" i="1"/>
  <c r="AC1850" i="1"/>
  <c r="AC80" i="1"/>
  <c r="AC4011" i="1"/>
  <c r="AC4093" i="1"/>
  <c r="AC926" i="1"/>
  <c r="AC2755" i="1"/>
  <c r="AC1948" i="1"/>
  <c r="AC2474" i="1"/>
  <c r="AC973" i="1"/>
  <c r="AC234" i="1"/>
  <c r="AC3546" i="1"/>
  <c r="AC4226" i="1"/>
  <c r="AC2510" i="1"/>
  <c r="AC3124" i="1"/>
  <c r="AC2652" i="1"/>
  <c r="AC3473" i="1"/>
  <c r="AC866" i="1"/>
  <c r="AC2472" i="1"/>
  <c r="AC3562" i="1"/>
  <c r="AC284" i="1"/>
  <c r="AC3592" i="1"/>
  <c r="AC3379" i="1"/>
  <c r="AC4272" i="1"/>
  <c r="AC3765" i="1"/>
  <c r="AC1520" i="1"/>
  <c r="AC1808" i="1"/>
  <c r="AC576" i="1"/>
  <c r="AC1127" i="1"/>
  <c r="AC868" i="1"/>
  <c r="AC1961" i="1"/>
  <c r="AC1661" i="1"/>
  <c r="AC3616" i="1"/>
  <c r="AC2275" i="1"/>
  <c r="AC1301" i="1"/>
  <c r="AC842" i="1"/>
  <c r="AC1283" i="1"/>
  <c r="AC3647" i="1"/>
  <c r="AC3125" i="1"/>
  <c r="AC3837" i="1"/>
  <c r="AC406" i="1"/>
  <c r="AC2341" i="1"/>
  <c r="AC2005" i="1"/>
  <c r="AC2854" i="1"/>
  <c r="AC1712" i="1"/>
  <c r="AC442" i="1"/>
  <c r="AC3767" i="1"/>
  <c r="AC841" i="1"/>
  <c r="AC1485" i="1"/>
  <c r="AC1006" i="1"/>
  <c r="AC2032" i="1"/>
  <c r="AC1432" i="1"/>
  <c r="AC1425" i="1"/>
  <c r="AC2487" i="1"/>
  <c r="AC2847" i="1"/>
  <c r="AC1806" i="1"/>
  <c r="AC39" i="1"/>
  <c r="AC3735" i="1"/>
  <c r="AC1370" i="1"/>
  <c r="AC2052" i="1"/>
  <c r="AC1411" i="1"/>
  <c r="AC2137" i="1"/>
  <c r="AC1214" i="1"/>
  <c r="AC1678" i="1"/>
  <c r="AC774" i="1"/>
  <c r="AC1159" i="1"/>
  <c r="AC1572" i="1"/>
  <c r="AC3027" i="1"/>
  <c r="AC1207" i="1"/>
  <c r="AC209" i="1"/>
  <c r="AC1002" i="1"/>
  <c r="AC571" i="1"/>
  <c r="AC4483" i="1"/>
  <c r="AC3843" i="1"/>
  <c r="AC946" i="1"/>
  <c r="AC3353" i="1"/>
  <c r="AC2055" i="1"/>
  <c r="AC832" i="1"/>
  <c r="AC2813" i="1"/>
  <c r="AC4479" i="1"/>
  <c r="AC2896" i="1"/>
  <c r="AC1913" i="1"/>
  <c r="AC1709" i="1"/>
  <c r="AC1685" i="1"/>
  <c r="AC1827" i="1"/>
  <c r="AC2259" i="1"/>
  <c r="AC1396" i="1"/>
  <c r="AC996" i="1"/>
  <c r="AC2172" i="1"/>
  <c r="AC765" i="1"/>
  <c r="AC4500" i="1"/>
  <c r="AC790" i="1"/>
  <c r="AC1564" i="1"/>
  <c r="AC1975" i="1"/>
  <c r="AC1631" i="1"/>
  <c r="AC3328" i="1"/>
  <c r="AC764" i="1"/>
  <c r="AC1182" i="1"/>
  <c r="AC2664" i="1"/>
  <c r="AC3648" i="1"/>
  <c r="AC4333" i="1"/>
  <c r="AC2509" i="1"/>
  <c r="AC4166" i="1"/>
  <c r="AC1184" i="1"/>
  <c r="AC1052" i="1"/>
  <c r="AC1050" i="1"/>
  <c r="AC3087" i="1"/>
  <c r="AC1777" i="1"/>
  <c r="AC2252" i="1"/>
  <c r="AC875" i="1"/>
  <c r="AC3042" i="1"/>
  <c r="AC2629" i="1"/>
  <c r="AC2863" i="1"/>
  <c r="AC671" i="1"/>
  <c r="AC2786" i="1"/>
  <c r="AC2358" i="1"/>
  <c r="AC839" i="1"/>
  <c r="AC4139" i="1"/>
  <c r="AC2297" i="1"/>
  <c r="AC216" i="1"/>
  <c r="AC4320" i="1"/>
  <c r="AC3890" i="1"/>
  <c r="AC2552" i="1"/>
  <c r="AC1908" i="1"/>
  <c r="AC3092" i="1"/>
  <c r="AC4548" i="1"/>
  <c r="AC1031" i="1"/>
  <c r="AC679" i="1"/>
  <c r="AC3082" i="1"/>
  <c r="AC2087" i="1"/>
  <c r="AC387" i="1"/>
  <c r="AC3188" i="1"/>
  <c r="AC4188" i="1"/>
  <c r="AC4330" i="1"/>
  <c r="AC4490" i="1"/>
  <c r="AC2735" i="1"/>
  <c r="AC819" i="1"/>
  <c r="AC493" i="1"/>
  <c r="AC2470" i="1"/>
  <c r="AC563" i="1"/>
  <c r="AC2568" i="1"/>
  <c r="AC2809" i="1"/>
  <c r="AC2526" i="1"/>
  <c r="AC2159" i="1"/>
  <c r="AC1557" i="1"/>
  <c r="AC3390" i="1"/>
  <c r="AC1600" i="1"/>
  <c r="AC225" i="1"/>
  <c r="AC500" i="1"/>
  <c r="AC4256" i="1"/>
  <c r="AC2594" i="1"/>
  <c r="AC1574" i="1"/>
  <c r="AC27" i="1"/>
  <c r="AC2964" i="1"/>
  <c r="AC3866" i="1"/>
  <c r="AC1264" i="1"/>
  <c r="AC2781" i="1"/>
  <c r="AC4127" i="1"/>
  <c r="AC2608" i="1"/>
  <c r="AC1969" i="1"/>
  <c r="AC3550" i="1"/>
  <c r="AC2628" i="1"/>
  <c r="AC2770" i="1"/>
  <c r="AC1619" i="1"/>
  <c r="AC1854" i="1"/>
  <c r="AC2356" i="1"/>
  <c r="AC2877" i="1"/>
  <c r="AC1819" i="1"/>
  <c r="AC2754" i="1"/>
  <c r="AC4303" i="1"/>
  <c r="AC3423" i="1"/>
  <c r="AC2669" i="1"/>
  <c r="AC568" i="1"/>
  <c r="AC198" i="1"/>
  <c r="AC3521" i="1"/>
  <c r="AC367" i="1"/>
  <c r="AC2788" i="1"/>
  <c r="AC357" i="1"/>
  <c r="AC3486" i="1"/>
  <c r="AC1759" i="1"/>
  <c r="AC561" i="1"/>
  <c r="AC2221" i="1"/>
  <c r="AC1842" i="1"/>
  <c r="AC2130" i="1"/>
  <c r="AC656" i="1"/>
  <c r="AC897" i="1"/>
  <c r="AC865" i="1"/>
  <c r="AC3005" i="1"/>
  <c r="AC4448" i="1"/>
  <c r="AC1170" i="1"/>
  <c r="AC1765" i="1"/>
  <c r="AC1334" i="1"/>
  <c r="AC2210" i="1"/>
  <c r="AC137" i="1"/>
  <c r="AC862" i="1"/>
  <c r="AC1527" i="1"/>
  <c r="AC2957" i="1"/>
  <c r="AC2441" i="1"/>
  <c r="AC3070" i="1"/>
  <c r="AC381" i="1"/>
  <c r="AC582" i="1"/>
  <c r="AC780" i="1"/>
  <c r="AC2209" i="1"/>
  <c r="AC731" i="1"/>
  <c r="AC2288" i="1"/>
  <c r="AC403" i="1"/>
  <c r="AC2644" i="1"/>
  <c r="AC2640" i="1"/>
  <c r="AC3338" i="1"/>
  <c r="AC369" i="1"/>
  <c r="AC111" i="1"/>
  <c r="AC1951" i="1"/>
  <c r="AC1383" i="1"/>
  <c r="AC2685" i="1"/>
  <c r="AC1609" i="1"/>
  <c r="AC3517" i="1"/>
  <c r="AC925" i="1"/>
  <c r="AC3113" i="1"/>
  <c r="AC3119" i="1"/>
  <c r="AC3474" i="1"/>
  <c r="AC1287" i="1"/>
  <c r="AC3662" i="1"/>
  <c r="AC2163" i="1"/>
  <c r="AC1858" i="1"/>
  <c r="AC1817" i="1"/>
  <c r="AC2771" i="1"/>
  <c r="AC526" i="1"/>
  <c r="AC1742" i="1"/>
  <c r="AC712" i="1"/>
  <c r="AC1054" i="1"/>
  <c r="AC4321" i="1"/>
  <c r="AC2910" i="1"/>
  <c r="AC1137" i="1"/>
  <c r="AC215" i="1"/>
  <c r="AC2227" i="1"/>
  <c r="AC3172" i="1"/>
  <c r="AC2418" i="1"/>
  <c r="AC2936" i="1"/>
  <c r="AC3085" i="1"/>
  <c r="AC3144" i="1"/>
  <c r="AC2089" i="1"/>
  <c r="AC1046" i="1"/>
  <c r="AC2312" i="1"/>
  <c r="AC4151" i="1"/>
  <c r="AC3140" i="1"/>
  <c r="AC800" i="1"/>
  <c r="AC3458" i="1"/>
  <c r="AC1337" i="1"/>
  <c r="AC476" i="1"/>
  <c r="AC822" i="1"/>
  <c r="AC2447" i="1"/>
  <c r="AC3007" i="1"/>
  <c r="AC2179" i="1"/>
  <c r="AC3802" i="1"/>
  <c r="AC2226" i="1"/>
  <c r="AC1358" i="1"/>
  <c r="AC452" i="1"/>
  <c r="AC4431" i="1"/>
  <c r="AC3261" i="1"/>
  <c r="AC1020" i="1"/>
  <c r="AC1446" i="1"/>
  <c r="AC2713" i="1"/>
  <c r="AC1035" i="1"/>
  <c r="AC1608" i="1"/>
  <c r="AC1582" i="1"/>
  <c r="AC2336" i="1"/>
  <c r="AC2215" i="1"/>
  <c r="AC1189" i="1"/>
  <c r="AC610" i="1"/>
  <c r="AC686" i="1"/>
  <c r="AC2372" i="1"/>
  <c r="AC2255" i="1"/>
  <c r="AC17" i="1"/>
  <c r="AC323" i="1"/>
  <c r="AC1883" i="1"/>
  <c r="AC2260" i="1"/>
  <c r="AC3944" i="1"/>
  <c r="AC2674" i="1"/>
  <c r="AC1567" i="1"/>
  <c r="AC2902" i="1"/>
  <c r="AC1146" i="1"/>
  <c r="AC2393" i="1"/>
  <c r="AC15" i="1"/>
  <c r="AC2280" i="1"/>
  <c r="AC539" i="1"/>
  <c r="AC675" i="1"/>
  <c r="AC643" i="1"/>
  <c r="AC3368" i="1"/>
  <c r="AC295" i="1"/>
  <c r="AC3366" i="1"/>
  <c r="AC1797" i="1"/>
  <c r="AC2636" i="1"/>
  <c r="AC900" i="1"/>
  <c r="AC1909" i="1"/>
  <c r="AC2237" i="1"/>
  <c r="AC1511" i="1"/>
  <c r="AC2780" i="1"/>
  <c r="AC4419" i="1"/>
  <c r="AC2554" i="1"/>
  <c r="AC2381" i="1"/>
  <c r="AC2371" i="1"/>
  <c r="AC1476" i="1"/>
  <c r="AC3096" i="1"/>
  <c r="AC1490" i="1"/>
  <c r="AC3923" i="1"/>
  <c r="AC4247" i="1"/>
  <c r="AC1688" i="1"/>
  <c r="AC683" i="1"/>
  <c r="AC436" i="1"/>
  <c r="AC538" i="1"/>
  <c r="AC435" i="1"/>
  <c r="AC789" i="1"/>
  <c r="AC1494" i="1"/>
  <c r="AC4246" i="1"/>
  <c r="AC2900" i="1"/>
  <c r="AC2789" i="1"/>
  <c r="AC1261" i="1"/>
  <c r="AC3278" i="1"/>
  <c r="AC3234" i="1"/>
  <c r="AC1132" i="1"/>
  <c r="AC953" i="1"/>
  <c r="AC2049" i="1"/>
  <c r="AC2578" i="1"/>
  <c r="AC2036" i="1"/>
  <c r="AC1373" i="1"/>
  <c r="AC4352" i="1"/>
  <c r="AC3529" i="1"/>
  <c r="AC3492" i="1"/>
  <c r="AC1428" i="1"/>
  <c r="AC138" i="1"/>
  <c r="AC870" i="1"/>
  <c r="AC2838" i="1"/>
  <c r="AC2897" i="1"/>
  <c r="AC1959" i="1"/>
  <c r="AC2520" i="1"/>
  <c r="AC3801" i="1"/>
  <c r="AC1467" i="1"/>
  <c r="AC1319" i="1"/>
  <c r="AC96" i="1"/>
  <c r="AC4160" i="1"/>
  <c r="AC3776" i="1"/>
  <c r="AC468" i="1"/>
  <c r="AC2419" i="1"/>
  <c r="AC1871" i="1"/>
  <c r="AC3668" i="1"/>
  <c r="AC2582" i="1"/>
  <c r="AC786" i="1"/>
  <c r="AC1592" i="1"/>
  <c r="AC497" i="1"/>
  <c r="AC1753" i="1"/>
  <c r="AC2490" i="1"/>
  <c r="AC921" i="1"/>
  <c r="AC231" i="1"/>
  <c r="AC1209" i="1"/>
  <c r="AC747" i="1"/>
  <c r="AC2388" i="1"/>
  <c r="AC4469" i="1"/>
  <c r="AC2323" i="1"/>
  <c r="AC3247" i="1"/>
  <c r="AC3310" i="1"/>
  <c r="AC3502" i="1"/>
  <c r="AC3037" i="1"/>
  <c r="AC1670" i="1"/>
  <c r="AC1584" i="1"/>
  <c r="AC407" i="1"/>
  <c r="AC776" i="1"/>
  <c r="AC1521" i="1"/>
  <c r="AC3286" i="1"/>
  <c r="AC2574" i="1"/>
  <c r="AC4493" i="1"/>
  <c r="AC1188" i="1"/>
  <c r="AC685" i="1"/>
  <c r="AC3869" i="1"/>
  <c r="AC3185" i="1"/>
  <c r="AC1999" i="1"/>
  <c r="AC2013" i="1"/>
  <c r="AC4368" i="1"/>
  <c r="AC3863" i="1"/>
  <c r="AC801" i="1"/>
  <c r="AC420" i="1"/>
  <c r="AC3507" i="1"/>
  <c r="AC3305" i="1"/>
  <c r="AC1325" i="1"/>
  <c r="AC1933" i="1"/>
  <c r="AC3112" i="1"/>
  <c r="AC3644" i="1"/>
  <c r="AC331" i="1"/>
  <c r="AC4381" i="1"/>
  <c r="AC3402" i="1"/>
  <c r="AC1344" i="1"/>
  <c r="AC2892" i="1"/>
  <c r="AC668" i="1"/>
  <c r="AC2450" i="1"/>
  <c r="AC3145" i="1"/>
  <c r="AC1179" i="1"/>
  <c r="AC3533" i="1"/>
  <c r="AC2706" i="1"/>
  <c r="AC1633" i="1"/>
  <c r="AC1501" i="1"/>
  <c r="AC1844" i="1"/>
  <c r="AC658" i="1"/>
  <c r="AC4220" i="1"/>
  <c r="AC3982" i="1"/>
  <c r="AC1774" i="1"/>
  <c r="AC3817" i="1"/>
  <c r="AC210" i="1"/>
  <c r="AC1452" i="1"/>
  <c r="AC3089" i="1"/>
  <c r="AC3122" i="1"/>
  <c r="AC3077" i="1"/>
  <c r="AC938" i="1"/>
  <c r="AC3372" i="1"/>
  <c r="AC724" i="1"/>
  <c r="AC1186" i="1"/>
  <c r="AC1660" i="1"/>
  <c r="AC1869" i="1"/>
  <c r="AC3975" i="1"/>
  <c r="AC1492" i="1"/>
  <c r="AC430" i="1"/>
  <c r="AC811" i="1"/>
  <c r="AC1780" i="1"/>
  <c r="AC952" i="1"/>
  <c r="AC3090" i="1"/>
  <c r="AC3330" i="1"/>
  <c r="AC3177" i="1"/>
  <c r="AC3251" i="1"/>
  <c r="AC1473" i="1"/>
  <c r="AC2128" i="1"/>
  <c r="AC106" i="1"/>
  <c r="AC1278" i="1"/>
  <c r="AC3309" i="1"/>
  <c r="AC2717" i="1"/>
  <c r="AC3850" i="1"/>
  <c r="AC642" i="1"/>
  <c r="AC1779" i="1"/>
  <c r="AC2463" i="1"/>
  <c r="AC4064" i="1"/>
  <c r="AC2831" i="1"/>
  <c r="AC3968" i="1"/>
  <c r="AC449" i="1"/>
  <c r="AC4319" i="1"/>
  <c r="AC3394" i="1"/>
  <c r="AC1291" i="1"/>
  <c r="AC107" i="1"/>
  <c r="AC1686" i="1"/>
  <c r="AC3696" i="1"/>
  <c r="AC2429" i="1"/>
  <c r="AC1905" i="1"/>
  <c r="AC390" i="1"/>
  <c r="AC116" i="1"/>
  <c r="AC1776" i="1"/>
  <c r="AC1306" i="1"/>
  <c r="AC700" i="1"/>
  <c r="AC3268" i="1"/>
  <c r="AC3539" i="1"/>
  <c r="AC3965" i="1"/>
  <c r="AC2097" i="1"/>
  <c r="AC1778" i="1"/>
  <c r="AC949" i="1"/>
  <c r="AC339" i="1"/>
  <c r="AC2978" i="1"/>
  <c r="AC4010" i="1"/>
  <c r="AC1249" i="1"/>
  <c r="AC1101" i="1"/>
  <c r="AC4474" i="1"/>
  <c r="AC509" i="1"/>
  <c r="AC1663" i="1"/>
  <c r="AC855" i="1"/>
  <c r="AC864" i="1"/>
  <c r="AC2041" i="1"/>
  <c r="AC3137" i="1"/>
  <c r="AC1070" i="1"/>
  <c r="AC2235" i="1"/>
  <c r="AC2553" i="1"/>
  <c r="AC1263" i="1"/>
  <c r="AC1276" i="1"/>
  <c r="AC2733" i="1"/>
  <c r="AC3206" i="1"/>
  <c r="AC3554" i="1"/>
  <c r="AC1544" i="1"/>
  <c r="AC3803" i="1"/>
  <c r="AC2073" i="1"/>
  <c r="AC647" i="1"/>
  <c r="AC3280" i="1"/>
  <c r="AC3282" i="1"/>
  <c r="AC3678" i="1"/>
  <c r="AC3165" i="1"/>
  <c r="AC2868" i="1"/>
  <c r="AC984" i="1"/>
  <c r="AC889" i="1"/>
  <c r="AC814" i="1"/>
  <c r="AC1140" i="1"/>
  <c r="AC2160" i="1"/>
  <c r="AC2489" i="1"/>
  <c r="AC2431" i="1"/>
  <c r="AC1203" i="1"/>
  <c r="AC2484" i="1"/>
  <c r="AC2132" i="1"/>
  <c r="AC3601" i="1"/>
  <c r="AC342" i="1"/>
  <c r="AC696" i="1"/>
  <c r="AC2152" i="1"/>
  <c r="AC1076" i="1"/>
  <c r="AC680" i="1"/>
  <c r="AC1093" i="1"/>
  <c r="AC3417" i="1"/>
  <c r="AC2558" i="1"/>
  <c r="AC2217" i="1"/>
  <c r="AC1030" i="1"/>
  <c r="AC4347" i="1"/>
  <c r="AC716" i="1"/>
  <c r="AC3265" i="1"/>
  <c r="AC3738" i="1"/>
  <c r="AC1587" i="1"/>
  <c r="AC882" i="1"/>
  <c r="AC2110" i="1"/>
  <c r="AC2815" i="1"/>
  <c r="AC1063" i="1"/>
  <c r="AC1590" i="1"/>
  <c r="AC825" i="1"/>
  <c r="AC748" i="1"/>
  <c r="AC1634" i="1"/>
  <c r="AC2681" i="1"/>
  <c r="AC3614" i="1"/>
  <c r="AC3610" i="1"/>
  <c r="AC995" i="1"/>
  <c r="AC1254" i="1"/>
  <c r="AC2914" i="1"/>
  <c r="AC3069" i="1"/>
  <c r="AC4543" i="1"/>
  <c r="AC426" i="1"/>
  <c r="AC319" i="1"/>
  <c r="AC3942" i="1"/>
  <c r="AC2416" i="1"/>
  <c r="AC622" i="1"/>
  <c r="AC1037" i="1"/>
  <c r="AC1205" i="1"/>
  <c r="AC1130" i="1"/>
  <c r="AC1589" i="1"/>
  <c r="AC252" i="1"/>
  <c r="AC1460" i="1"/>
  <c r="AC795" i="1"/>
  <c r="AC3466" i="1"/>
  <c r="AC1614" i="1"/>
  <c r="AC2672" i="1"/>
  <c r="AC4536" i="1"/>
  <c r="AC1410" i="1"/>
  <c r="AC2175" i="1"/>
  <c r="AC2039" i="1"/>
  <c r="AC1468" i="1"/>
  <c r="AC1051" i="1"/>
  <c r="AC1401" i="1"/>
  <c r="AC542" i="1"/>
  <c r="AC205" i="1"/>
  <c r="AC1954" i="1"/>
  <c r="AC3006" i="1"/>
  <c r="AC871" i="1"/>
  <c r="AC344" i="1"/>
  <c r="AC277" i="1"/>
  <c r="AC2270" i="1"/>
  <c r="AC2274" i="1"/>
  <c r="AC1260" i="1"/>
  <c r="AC2436" i="1"/>
  <c r="AC1710" i="1"/>
  <c r="AC1730" i="1"/>
  <c r="AC4410" i="1"/>
  <c r="AC392" i="1"/>
  <c r="AC1307" i="1"/>
  <c r="AC1445" i="1"/>
  <c r="AC510" i="1"/>
  <c r="AC1924" i="1"/>
  <c r="AC3760" i="1"/>
  <c r="AC1965" i="1"/>
  <c r="AC1073" i="1"/>
  <c r="AC1318" i="1"/>
  <c r="AC1394" i="1"/>
  <c r="AC2494" i="1"/>
  <c r="AC688" i="1"/>
  <c r="AC806" i="1"/>
  <c r="AC527" i="1"/>
  <c r="AC1860" i="1"/>
  <c r="AC4007" i="1"/>
  <c r="AC4192" i="1"/>
  <c r="AC3162" i="1"/>
  <c r="AC1918" i="1"/>
  <c r="AC4074" i="1"/>
  <c r="AC1618" i="1"/>
  <c r="AC2109" i="1"/>
  <c r="AC383" i="1"/>
  <c r="AC4227" i="1"/>
  <c r="AC1042" i="1"/>
  <c r="AC1332" i="1"/>
  <c r="AC808" i="1"/>
  <c r="AC3992" i="1"/>
  <c r="AC2176" i="1"/>
  <c r="AC1095" i="1"/>
  <c r="AC2746" i="1"/>
  <c r="AC3222" i="1"/>
  <c r="AC3786" i="1"/>
  <c r="AC2751" i="1"/>
  <c r="AC4049" i="1"/>
  <c r="AC1212" i="1"/>
  <c r="AC3487" i="1"/>
  <c r="AC1972" i="1"/>
  <c r="AC4224" i="1"/>
  <c r="AC489" i="1"/>
  <c r="AC3828" i="1"/>
  <c r="AC2768" i="1"/>
  <c r="AC910" i="1"/>
  <c r="AC2370" i="1"/>
  <c r="AC3098" i="1"/>
  <c r="AC1229" i="1"/>
  <c r="AC303" i="1"/>
  <c r="AC1938" i="1"/>
  <c r="AC2074" i="1"/>
  <c r="AC1235" i="1"/>
  <c r="AC2069" i="1"/>
  <c r="AC450" i="1"/>
  <c r="AC2136" i="1"/>
  <c r="AC853" i="1"/>
  <c r="AC881" i="1"/>
  <c r="AC1158" i="1"/>
  <c r="AC1654" i="1"/>
  <c r="AC3308" i="1"/>
  <c r="AC2643" i="1"/>
  <c r="AC4416" i="1"/>
  <c r="AC3623" i="1"/>
  <c r="AC2848" i="1"/>
  <c r="AC2921" i="1"/>
  <c r="AC2427" i="1"/>
  <c r="AC1828" i="1"/>
  <c r="AC1145" i="1"/>
  <c r="AC3034" i="1"/>
  <c r="AC1554" i="1"/>
  <c r="AC3732" i="1"/>
  <c r="AC487" i="1"/>
  <c r="AC2051" i="1"/>
  <c r="AC2248" i="1"/>
  <c r="AC2906" i="1"/>
  <c r="AC2424" i="1"/>
  <c r="AC2184" i="1"/>
  <c r="AC1734" i="1"/>
  <c r="AC4300" i="1"/>
  <c r="AC775" i="1"/>
  <c r="AC2612" i="1"/>
  <c r="AC4250" i="1"/>
  <c r="AC1399" i="1"/>
  <c r="AC4234" i="1"/>
  <c r="AC1853" i="1"/>
  <c r="AC3134" i="1"/>
  <c r="AC1758" i="1"/>
  <c r="AC2125" i="1"/>
  <c r="AC796" i="1"/>
  <c r="AC2045" i="1"/>
  <c r="AC1859" i="1"/>
  <c r="AC281" i="1"/>
  <c r="AC3671" i="1"/>
  <c r="AC4434" i="1"/>
  <c r="AC3854" i="1"/>
  <c r="AC3410" i="1"/>
  <c r="AC3783" i="1"/>
  <c r="AC3341" i="1"/>
  <c r="AC757" i="1"/>
  <c r="AC371" i="1"/>
  <c r="AC1274" i="1"/>
  <c r="AC4218" i="1"/>
  <c r="AC4370" i="1"/>
  <c r="AC4297" i="1"/>
  <c r="AC3440" i="1"/>
  <c r="AC2249" i="1"/>
  <c r="AC3594" i="1"/>
  <c r="AC2345" i="1"/>
  <c r="AC4112" i="1"/>
  <c r="AC1045" i="1"/>
  <c r="AC994" i="1"/>
  <c r="AC1256" i="1"/>
  <c r="AC2292" i="1"/>
  <c r="AC601" i="1"/>
  <c r="AC73" i="1"/>
  <c r="AC4535" i="1"/>
  <c r="AC3874" i="1"/>
  <c r="AC3472" i="1"/>
  <c r="AC1889" i="1"/>
  <c r="AC1139" i="1"/>
  <c r="AC1049" i="1"/>
  <c r="AC1221" i="1"/>
  <c r="AC2197" i="1"/>
  <c r="AC1486" i="1"/>
  <c r="AC1388" i="1"/>
  <c r="AC666" i="1"/>
  <c r="AC1300" i="1"/>
  <c r="AC1530" i="1"/>
  <c r="AC1766" i="1"/>
  <c r="AC3919" i="1"/>
  <c r="AC496" i="1"/>
  <c r="AC3393" i="1"/>
  <c r="AC166" i="1"/>
  <c r="AC3312" i="1"/>
  <c r="AC3248" i="1"/>
  <c r="AC1138" i="1"/>
  <c r="AC2590" i="1"/>
  <c r="AC3887" i="1"/>
  <c r="AC3952" i="1"/>
  <c r="AC579" i="1"/>
  <c r="AC2975" i="1"/>
  <c r="AC4367" i="1"/>
  <c r="AC745" i="1"/>
  <c r="AC2911" i="1"/>
  <c r="AC2102" i="1"/>
  <c r="AC4415" i="1"/>
  <c r="AC2642" i="1"/>
  <c r="AC778" i="1"/>
  <c r="AC2622" i="1"/>
  <c r="AC3168" i="1"/>
  <c r="AC2927" i="1"/>
  <c r="AC3053" i="1"/>
  <c r="AC4258" i="1"/>
  <c r="AC3716" i="1"/>
  <c r="AC4282" i="1"/>
  <c r="AC3359" i="1"/>
  <c r="AC3197" i="1"/>
  <c r="AC3198" i="1"/>
  <c r="AC50" i="1"/>
  <c r="AC2303" i="1"/>
  <c r="AC3277" i="1"/>
  <c r="AC4202" i="1"/>
  <c r="AC4096" i="1"/>
  <c r="AC835" i="1"/>
  <c r="AC3300" i="1"/>
  <c r="AC604" i="1"/>
  <c r="AC113" i="1"/>
  <c r="AC3138" i="1"/>
  <c r="AC704" i="1"/>
  <c r="AC1764" i="1"/>
  <c r="AC3104" i="1"/>
  <c r="AC1835" i="1"/>
  <c r="AC397" i="1"/>
  <c r="AC2423" i="1"/>
  <c r="AC3787" i="1"/>
  <c r="AC2374" i="1"/>
  <c r="AC2493" i="1"/>
  <c r="AC794" i="1"/>
  <c r="AC1339" i="1"/>
  <c r="AC2465" i="1"/>
  <c r="AC2565" i="1"/>
  <c r="AC3374" i="1"/>
  <c r="AC2265" i="1"/>
  <c r="AC4458" i="1"/>
  <c r="AC1200" i="1"/>
  <c r="AC3434" i="1"/>
  <c r="AC1218" i="1"/>
  <c r="AC1733" i="1"/>
  <c r="AC2157" i="1"/>
  <c r="AC3304" i="1"/>
  <c r="AC182" i="1"/>
  <c r="AC717" i="1"/>
  <c r="AC2081" i="1"/>
  <c r="AC1813" i="1"/>
  <c r="AC3284" i="1"/>
  <c r="AC4279" i="1"/>
  <c r="AC1736" i="1"/>
  <c r="AC1350" i="1"/>
  <c r="AC1118" i="1"/>
  <c r="AC1728" i="1"/>
  <c r="AC4465" i="1"/>
  <c r="AC2829" i="1"/>
  <c r="AC3796" i="1"/>
  <c r="AC678" i="1"/>
  <c r="AC2448" i="1"/>
  <c r="AC3136" i="1"/>
  <c r="AC2878" i="1"/>
  <c r="AC1901" i="1"/>
  <c r="AC2817" i="1"/>
  <c r="AC2521" i="1"/>
  <c r="AC4311" i="1"/>
  <c r="AC2969" i="1"/>
  <c r="AC332" i="1"/>
  <c r="AC1331" i="1"/>
  <c r="AC1737" i="1"/>
  <c r="AC3056" i="1"/>
  <c r="AC3439" i="1"/>
  <c r="AC2198" i="1"/>
  <c r="AC4495" i="1"/>
  <c r="AC2895" i="1"/>
  <c r="AC1353" i="1"/>
  <c r="AC760" i="1"/>
  <c r="AC849" i="1"/>
  <c r="AC577" i="1"/>
  <c r="AC2888" i="1"/>
  <c r="AC1345" i="1"/>
  <c r="AC1181" i="1"/>
  <c r="AC915" i="1"/>
  <c r="AC1333" i="1"/>
  <c r="AC751" i="1"/>
  <c r="AC600" i="1"/>
  <c r="AC1529" i="1"/>
  <c r="AC2395" i="1"/>
  <c r="AC3102" i="1"/>
  <c r="AC1342" i="1"/>
  <c r="AC317" i="1"/>
  <c r="AC788" i="1"/>
  <c r="AC3565" i="1"/>
  <c r="AC590" i="1"/>
  <c r="AC2725" i="1"/>
  <c r="AC3632" i="1"/>
  <c r="AC3226" i="1"/>
  <c r="AC3494" i="1"/>
  <c r="AC1377" i="1"/>
  <c r="AC1498" i="1"/>
  <c r="AC411" i="1"/>
  <c r="AC2324" i="1"/>
  <c r="AC812" i="1"/>
  <c r="AC2290" i="1"/>
  <c r="AC3364" i="1"/>
  <c r="AC1802" i="1"/>
  <c r="AC1904" i="1"/>
  <c r="AC3433" i="1"/>
  <c r="AC84" i="1"/>
  <c r="AC1735" i="1"/>
  <c r="AC1944" i="1"/>
  <c r="AC3545" i="1"/>
  <c r="AC3130" i="1"/>
  <c r="AC2090" i="1"/>
  <c r="AC2518" i="1"/>
  <c r="AC2068" i="1"/>
  <c r="AC1868" i="1"/>
  <c r="AC355" i="1"/>
  <c r="AC63" i="1"/>
  <c r="AC1121" i="1"/>
  <c r="AC242" i="1"/>
  <c r="AC3106" i="1"/>
  <c r="AC608" i="1"/>
  <c r="AC1922" i="1"/>
  <c r="AC2932" i="1"/>
  <c r="AC2276" i="1"/>
  <c r="AC803" i="1"/>
  <c r="AC3204" i="1"/>
  <c r="AC4" i="1"/>
  <c r="AC554" i="1"/>
  <c r="AC4199" i="1"/>
  <c r="AC2516" i="1"/>
  <c r="AC3728" i="1"/>
  <c r="AC1099" i="1"/>
  <c r="AC3327" i="1"/>
  <c r="AC513" i="1"/>
  <c r="AC4240" i="1"/>
  <c r="AC3213" i="1"/>
  <c r="AC1343" i="1"/>
  <c r="AC2749" i="1"/>
  <c r="AC1714" i="1"/>
  <c r="AC2736" i="1"/>
  <c r="AC2119" i="1"/>
  <c r="AC1613" i="1"/>
  <c r="AC2352" i="1"/>
  <c r="AC3156" i="1"/>
  <c r="AC2349" i="1"/>
  <c r="AC4383" i="1"/>
  <c r="AC2238" i="1"/>
  <c r="AC2832" i="1"/>
  <c r="AC1628" i="1"/>
  <c r="AC3376" i="1"/>
  <c r="AC3758" i="1"/>
  <c r="AC1102" i="1"/>
  <c r="AC236" i="1"/>
  <c r="AC550" i="1"/>
  <c r="AC3770" i="1"/>
  <c r="AC3001" i="1"/>
  <c r="AC631" i="1"/>
  <c r="AC1800" i="1"/>
  <c r="AC3540" i="1"/>
  <c r="AC2040" i="1"/>
  <c r="AC60" i="1"/>
  <c r="AC3568" i="1"/>
  <c r="AC2802" i="1"/>
  <c r="AC2794" i="1"/>
  <c r="AC2028" i="1"/>
  <c r="AC2162" i="1"/>
  <c r="AC243" i="1"/>
  <c r="AC518" i="1"/>
  <c r="AC3570" i="1"/>
  <c r="AC68" i="1"/>
  <c r="AC285" i="1"/>
  <c r="AC1997" i="1"/>
  <c r="AC4119" i="1"/>
  <c r="AC1136" i="1"/>
  <c r="AC1885" i="1"/>
  <c r="AC1299" i="1"/>
  <c r="AC3347" i="1"/>
  <c r="AC484" i="1"/>
  <c r="AC968" i="1"/>
  <c r="AC1451" i="1"/>
  <c r="AC3017" i="1"/>
  <c r="AC3081" i="1"/>
  <c r="AC1431" i="1"/>
  <c r="AC2004" i="1"/>
  <c r="AC520" i="1"/>
  <c r="AC690" i="1"/>
  <c r="AC2633" i="1"/>
  <c r="AC543" i="1"/>
  <c r="AC659" i="1"/>
  <c r="AC692" i="1"/>
  <c r="AC4423" i="1"/>
  <c r="AC128" i="1"/>
  <c r="AC2670" i="1"/>
  <c r="AC184" i="1"/>
  <c r="AC1852" i="1"/>
  <c r="AC4499" i="1"/>
  <c r="AC276" i="1"/>
  <c r="AC738" i="1"/>
  <c r="AC410" i="1"/>
  <c r="AC31" i="1"/>
  <c r="AC350" i="1"/>
  <c r="AC3245" i="1"/>
  <c r="AC869" i="1"/>
  <c r="AC1201" i="1"/>
  <c r="AC127" i="1"/>
  <c r="AC245" i="1"/>
  <c r="AC2021" i="1"/>
  <c r="AC2228" i="1"/>
  <c r="AC846" i="1"/>
  <c r="AC4158" i="1"/>
  <c r="AC1067" i="1"/>
  <c r="AC463" i="1"/>
  <c r="AC945" i="1"/>
  <c r="AC2384" i="1"/>
  <c r="AC616" i="1"/>
  <c r="AC4298" i="1"/>
  <c r="AC1769" i="1"/>
  <c r="AC1811" i="1"/>
  <c r="AC254" i="1"/>
  <c r="AC2730" i="1"/>
  <c r="AC3470" i="1"/>
  <c r="AC2046" i="1"/>
  <c r="AC1950" i="1"/>
  <c r="AC2495" i="1"/>
  <c r="AC827" i="1"/>
  <c r="AC3161" i="1"/>
  <c r="AC1143" i="1"/>
  <c r="AC316" i="1"/>
  <c r="AC1803" i="1"/>
  <c r="AC2833" i="1"/>
  <c r="AC2873" i="1"/>
  <c r="AC918" i="1"/>
  <c r="AC1683" i="1"/>
  <c r="AC95" i="1"/>
  <c r="AC1135" i="1"/>
  <c r="AC2991" i="1"/>
  <c r="AC1236" i="1"/>
  <c r="AC3396" i="1"/>
  <c r="AC1771" i="1"/>
  <c r="AC2898" i="1"/>
  <c r="AC1949" i="1"/>
  <c r="AC3970" i="1"/>
  <c r="AC3415" i="1"/>
  <c r="AC2075" i="1"/>
  <c r="AC3214" i="1"/>
  <c r="AC2088" i="1"/>
  <c r="AC2974" i="1"/>
  <c r="AC185" i="1"/>
  <c r="AC2654" i="1"/>
  <c r="AC1126" i="1"/>
  <c r="AC773" i="1"/>
  <c r="AC3856" i="1"/>
  <c r="AC858" i="1"/>
  <c r="AC1190" i="1"/>
  <c r="AC759" i="1"/>
  <c r="AC469" i="1"/>
  <c r="AC2364" i="1"/>
  <c r="AC3600" i="1"/>
  <c r="AC3054" i="1"/>
  <c r="AC3218" i="1"/>
  <c r="AC4237" i="1"/>
  <c r="AC3028" i="1"/>
  <c r="AC7" i="1"/>
  <c r="AC798" i="1"/>
  <c r="AC3946" i="1"/>
  <c r="AC4079" i="1"/>
  <c r="AC2141" i="1"/>
  <c r="AC3454" i="1"/>
  <c r="AC1365" i="1"/>
  <c r="AC347" i="1"/>
  <c r="AC2078" i="1"/>
  <c r="AC1519" i="1"/>
  <c r="AC41" i="1"/>
  <c r="AC1173" i="1"/>
  <c r="AC187" i="1"/>
  <c r="AC4480" i="1"/>
  <c r="AC2750" i="1"/>
  <c r="AC25" i="1"/>
  <c r="AC366" i="1"/>
  <c r="AC3346" i="1"/>
  <c r="AC2329" i="1"/>
  <c r="AC378" i="1"/>
  <c r="AC4516" i="1"/>
  <c r="AC1298" i="1"/>
  <c r="AC2067" i="1"/>
  <c r="AC3962" i="1"/>
  <c r="AC983" i="1"/>
  <c r="AC3823" i="1"/>
  <c r="AC2092" i="1"/>
  <c r="AC2782" i="1"/>
  <c r="AC3664" i="1"/>
  <c r="AC3646" i="1"/>
  <c r="AC3642" i="1"/>
  <c r="AC4443" i="1"/>
  <c r="AC2002" i="1"/>
  <c r="AC880" i="1"/>
  <c r="AC2542" i="1"/>
  <c r="AC851" i="1"/>
  <c r="AC909" i="1"/>
  <c r="AC4171" i="1"/>
  <c r="AC1666" i="1"/>
  <c r="AC440" i="1"/>
  <c r="AC4399" i="1"/>
  <c r="AC2398" i="1"/>
  <c r="AC756" i="1"/>
  <c r="AC1555" i="1"/>
  <c r="AC1475" i="1"/>
  <c r="AC421" i="1"/>
  <c r="AC1461" i="1"/>
  <c r="AC2020" i="1"/>
  <c r="AC1474" i="1"/>
  <c r="AC2285" i="1"/>
  <c r="AC891" i="1"/>
  <c r="AC3718" i="1"/>
  <c r="AN5" i="1"/>
  <c r="AO5" i="1"/>
  <c r="AC3572" i="1"/>
  <c r="AC3912" i="1"/>
  <c r="AC2765" i="1"/>
  <c r="AC1551" i="1"/>
  <c r="AC374" i="1"/>
  <c r="AC2507" i="1"/>
  <c r="AC2917" i="1"/>
  <c r="AC3340" i="1"/>
  <c r="AC290" i="1"/>
  <c r="AC3272" i="1"/>
  <c r="AC4485" i="1"/>
  <c r="AC211" i="1"/>
  <c r="AC2143" i="1"/>
  <c r="AC4449" i="1"/>
  <c r="AC1463" i="1"/>
  <c r="AC2458" i="1"/>
  <c r="AC2871" i="1"/>
  <c r="AC3043" i="1"/>
  <c r="AC352" i="1"/>
  <c r="AC919" i="1"/>
  <c r="AC3287" i="1"/>
  <c r="AC2277" i="1"/>
  <c r="AC2648" i="1"/>
  <c r="AC1923" i="1"/>
  <c r="AC1898" i="1"/>
  <c r="AC1204" i="1"/>
  <c r="AC3999" i="1"/>
  <c r="AC1837" i="1"/>
  <c r="AC2314" i="1"/>
  <c r="AC1940" i="1"/>
  <c r="AC2451" i="1"/>
  <c r="AC3114" i="1"/>
  <c r="AC749" i="1"/>
  <c r="AC531" i="1"/>
  <c r="AC2454" i="1"/>
  <c r="AC607" i="1"/>
  <c r="AC514" i="1"/>
  <c r="AC3712" i="1"/>
  <c r="AC3174" i="1"/>
  <c r="AC4430" i="1"/>
  <c r="AC2998" i="1"/>
  <c r="AC1267" i="1"/>
  <c r="AC3537" i="1"/>
  <c r="AC3201" i="1"/>
  <c r="AC2600" i="1"/>
  <c r="AC2869" i="1"/>
  <c r="AC667" i="1"/>
  <c r="AC3511" i="1"/>
  <c r="AC115" i="1"/>
  <c r="AC1936" i="1"/>
  <c r="AC3510" i="1"/>
  <c r="AC1347" i="1"/>
  <c r="AC3235" i="1"/>
  <c r="AC3889" i="1"/>
  <c r="AC1151" i="1"/>
  <c r="AC3254" i="1"/>
  <c r="AC4541" i="1"/>
  <c r="AC3363" i="1"/>
  <c r="AC2282" i="1"/>
  <c r="AC1375" i="1"/>
  <c r="AC2620" i="1"/>
  <c r="AC2610" i="1"/>
  <c r="AC2598" i="1"/>
  <c r="AC4149" i="1"/>
  <c r="AC1405" i="1"/>
  <c r="AC359" i="1"/>
  <c r="AC837" i="1"/>
  <c r="AC3324" i="1"/>
  <c r="AC112" i="1"/>
  <c r="AC634" i="1"/>
  <c r="AC2161" i="1"/>
  <c r="AC178" i="1"/>
  <c r="AC499" i="1"/>
  <c r="AC1638" i="1"/>
  <c r="AC3014" i="1"/>
  <c r="AC4316" i="1"/>
  <c r="AC2279" i="1"/>
  <c r="AC4553" i="1"/>
  <c r="AC4244" i="1"/>
  <c r="AC2389" i="1"/>
  <c r="AC4492" i="1"/>
  <c r="AC11" i="1"/>
  <c r="AC2491" i="1"/>
  <c r="AC4072" i="1"/>
  <c r="AC648" i="1"/>
  <c r="AC948" i="1"/>
  <c r="AC2638" i="1"/>
  <c r="AC292" i="1"/>
  <c r="AC4406" i="1"/>
  <c r="AC988" i="1"/>
  <c r="AC4538" i="1"/>
  <c r="AC635" i="1"/>
  <c r="AC611" i="1"/>
  <c r="AC3157" i="1"/>
  <c r="AC1041" i="1"/>
  <c r="AC2683" i="1"/>
  <c r="AC1669" i="1"/>
  <c r="AC1168" i="1"/>
  <c r="AC4142" i="1"/>
  <c r="AC315" i="1"/>
  <c r="AC2404" i="1"/>
  <c r="AC4232" i="1"/>
  <c r="AC1752" i="1"/>
  <c r="AC2894" i="1"/>
  <c r="AC3212" i="1"/>
  <c r="AC433" i="1"/>
  <c r="AC418" i="1"/>
  <c r="AC2456" i="1"/>
  <c r="AC2631" i="1"/>
  <c r="AC4466" i="1"/>
  <c r="AC1015" i="1"/>
  <c r="AC3047" i="1"/>
  <c r="AC1340" i="1"/>
  <c r="AC3931" i="1"/>
  <c r="AC2602" i="1"/>
  <c r="AC750" i="1"/>
  <c r="AC958" i="1"/>
  <c r="AC380" i="1"/>
  <c r="AC1021" i="1"/>
  <c r="AC2609" i="1"/>
  <c r="AC190" i="1"/>
  <c r="AC3746" i="1"/>
  <c r="AC1382" i="1"/>
  <c r="AC2655" i="1"/>
  <c r="AC4061" i="1"/>
  <c r="AC971" i="1"/>
  <c r="AC4083" i="1"/>
  <c r="AC2913" i="1"/>
  <c r="AC432" i="1"/>
  <c r="AC1465" i="1"/>
  <c r="AC1754" i="1"/>
  <c r="AC341" i="1"/>
  <c r="AC1043" i="1"/>
  <c r="AC3779" i="1"/>
  <c r="AC4484" i="1"/>
  <c r="AC1016" i="1"/>
  <c r="AC3709" i="1"/>
  <c r="AC1725" i="1"/>
  <c r="AC1202" i="1"/>
  <c r="AC641" i="1"/>
  <c r="AC3414" i="1"/>
  <c r="AC4041" i="1"/>
  <c r="AC1946" i="1"/>
  <c r="AC2425" i="1"/>
  <c r="AC4130" i="1"/>
  <c r="AC3983" i="1"/>
  <c r="AC3169" i="1"/>
  <c r="AC3000" i="1"/>
  <c r="AC1348" i="1"/>
  <c r="AC2792" i="1"/>
  <c r="AC2053" i="1"/>
  <c r="AC769" i="1"/>
  <c r="AC133" i="1"/>
  <c r="AC3208" i="1"/>
  <c r="AC4219" i="1"/>
  <c r="AC3860" i="1"/>
  <c r="AC3232" i="1"/>
  <c r="AC4412" i="1"/>
  <c r="AC255" i="1"/>
  <c r="AC3154" i="1"/>
  <c r="AC1925" i="1"/>
  <c r="AC3419" i="1"/>
  <c r="AC524" i="1"/>
  <c r="AC151" i="1"/>
  <c r="AC4337" i="1"/>
  <c r="AC1855" i="1"/>
  <c r="AC1390" i="1"/>
  <c r="AC4356" i="1"/>
  <c r="AC1878" i="1"/>
  <c r="AC4178" i="1"/>
  <c r="AC2108" i="1"/>
  <c r="AC1487" i="1"/>
  <c r="AC297" i="1"/>
  <c r="AC4518" i="1"/>
  <c r="AC3763" i="1"/>
  <c r="AC3263" i="1"/>
  <c r="AC4116" i="1"/>
  <c r="AC1831" i="1"/>
  <c r="AC294" i="1"/>
  <c r="AC1014" i="1"/>
  <c r="AC1219" i="1"/>
  <c r="AC1825" i="1"/>
  <c r="AC1514" i="1"/>
  <c r="AC3061" i="1"/>
  <c r="AC3938" i="1"/>
  <c r="AC2800" i="1"/>
  <c r="AC4091" i="1"/>
  <c r="AC4557" i="1"/>
  <c r="AC1047" i="1"/>
  <c r="AC1897" i="1"/>
  <c r="AC485" i="1"/>
  <c r="AC1941" i="1"/>
  <c r="AC3920" i="1"/>
  <c r="AC2603" i="1"/>
  <c r="AC901" i="1"/>
  <c r="AC1309" i="1"/>
  <c r="AC1450" i="1"/>
  <c r="AC2127" i="1"/>
  <c r="AC2337" i="1"/>
  <c r="AC638" i="1"/>
  <c r="AC464" i="1"/>
  <c r="AC3190" i="1"/>
  <c r="AC1784" i="1"/>
  <c r="AC1175" i="1"/>
  <c r="AC2206" i="1"/>
  <c r="AC83" i="1"/>
  <c r="AC3457" i="1"/>
  <c r="AC2562" i="1"/>
  <c r="AC3858" i="1"/>
  <c r="AC4424" i="1"/>
  <c r="AC1985" i="1"/>
  <c r="AC1887" i="1"/>
  <c r="AC2397" i="1"/>
  <c r="AC511" i="1"/>
  <c r="AC2377" i="1"/>
  <c r="AC4397" i="1"/>
  <c r="AC805" i="1"/>
  <c r="AC1393" i="1"/>
  <c r="AC2714" i="1"/>
  <c r="AC3819" i="1"/>
  <c r="AC1025" i="1"/>
  <c r="AC1491" i="1"/>
  <c r="AC3973" i="1"/>
  <c r="AC829" i="1"/>
  <c r="AC4104" i="1"/>
  <c r="AC1757" i="1"/>
  <c r="AC3524" i="1"/>
  <c r="AC4001" i="1"/>
  <c r="AC3724" i="1"/>
  <c r="AC4020" i="1"/>
  <c r="AC1783" i="1"/>
  <c r="AC1240" i="1"/>
  <c r="AC916" i="1"/>
  <c r="AC4200" i="1"/>
  <c r="AC2095" i="1"/>
  <c r="AC3490" i="1"/>
  <c r="AC2289" i="1"/>
  <c r="AC3637" i="1"/>
  <c r="AC271" i="1"/>
  <c r="AC2188" i="1"/>
  <c r="AC735" i="1"/>
  <c r="AC3640" i="1"/>
  <c r="AC3388" i="1"/>
  <c r="AC2220" i="1"/>
  <c r="AC2835" i="1"/>
  <c r="AC3824" i="1"/>
  <c r="AC391" i="1"/>
  <c r="AC2330" i="1"/>
  <c r="AC3128" i="1"/>
  <c r="AC4152" i="1"/>
  <c r="AC416" i="1"/>
  <c r="AC2593" i="1"/>
  <c r="AC3906" i="1"/>
  <c r="AC4530" i="1"/>
  <c r="AC1726" i="1"/>
  <c r="AC2579" i="1"/>
  <c r="AC1119" i="1"/>
  <c r="AC817" i="1"/>
  <c r="AC1408" i="1"/>
  <c r="AC3996" i="1"/>
  <c r="AC1751" i="1"/>
  <c r="AC219" i="1"/>
  <c r="AC2795" i="1"/>
  <c r="AC2340" i="1"/>
  <c r="AC2476" i="1"/>
  <c r="AC2704" i="1"/>
  <c r="AC1787" i="1"/>
  <c r="AC3445" i="1"/>
  <c r="AC902" i="1"/>
  <c r="AC2483" i="1"/>
  <c r="AC1120" i="1"/>
  <c r="AC4133" i="1"/>
  <c r="AC262" i="1"/>
  <c r="AC3227" i="1"/>
  <c r="AC1239" i="1"/>
  <c r="AC917" i="1"/>
  <c r="AC2257" i="1"/>
  <c r="AC528" i="1"/>
  <c r="AC1444" i="1"/>
  <c r="AC1359" i="1"/>
  <c r="AC304" i="1"/>
  <c r="AC1890" i="1"/>
  <c r="AC1488" i="1"/>
  <c r="AC2570" i="1"/>
  <c r="AC181" i="1"/>
  <c r="AC1167" i="1"/>
  <c r="AC3809" i="1"/>
  <c r="AC3880" i="1"/>
  <c r="AC1849" i="1"/>
  <c r="AC3468" i="1"/>
  <c r="AC2564" i="1"/>
  <c r="AC1986" i="1"/>
  <c r="AC3676" i="1"/>
  <c r="AC3974" i="1"/>
  <c r="AC2091" i="1"/>
  <c r="AC3794" i="1"/>
  <c r="AC3210" i="1"/>
  <c r="AC1141" i="1"/>
  <c r="AC1744" i="1"/>
  <c r="AC471" i="1"/>
  <c r="AC3086" i="1"/>
  <c r="AC2694" i="1"/>
  <c r="AC37" i="1"/>
  <c r="AC1920" i="1"/>
  <c r="AC899" i="1"/>
  <c r="AC4012" i="1"/>
  <c r="AC472" i="1"/>
  <c r="AC2534" i="1"/>
  <c r="AC283" i="1"/>
  <c r="AC3292" i="1"/>
  <c r="AC4296" i="1"/>
  <c r="AC1384" i="1"/>
  <c r="AC3189" i="1"/>
  <c r="AC1162" i="1"/>
  <c r="AC3752" i="1"/>
  <c r="AC4411" i="1"/>
  <c r="AC3937" i="1"/>
  <c r="AC3387" i="1"/>
  <c r="AC2093" i="1"/>
  <c r="AC272" i="1"/>
  <c r="AC6" i="1"/>
  <c r="AC3365" i="1"/>
  <c r="AC1292" i="1"/>
  <c r="AC389" i="1"/>
  <c r="AC2573" i="1"/>
  <c r="AC1251" i="1"/>
  <c r="AC3107" i="1"/>
  <c r="AC4172" i="1"/>
  <c r="AC1436" i="1"/>
  <c r="AC3418" i="1"/>
  <c r="AC3160" i="1"/>
  <c r="AC3810" i="1"/>
  <c r="AC1979" i="1"/>
  <c r="AC2731" i="1"/>
  <c r="AC1629" i="1"/>
  <c r="AC3274" i="1"/>
  <c r="AC2865" i="1"/>
  <c r="AC1705" i="1"/>
  <c r="AC2653" i="1"/>
  <c r="AC1645" i="1"/>
  <c r="AC883" i="1"/>
  <c r="AC3020" i="1"/>
  <c r="AC4340" i="1"/>
  <c r="AC40" i="1"/>
  <c r="AC3807" i="1"/>
  <c r="AC3834" i="1"/>
  <c r="AC1100" i="1"/>
  <c r="AC3236" i="1"/>
  <c r="AC1873" i="1"/>
  <c r="AC3150" i="1"/>
  <c r="AC4054" i="1"/>
  <c r="AC2327" i="1"/>
  <c r="AC845" i="1"/>
  <c r="AC3307" i="1"/>
  <c r="AC878" i="1"/>
  <c r="AC2304" i="1"/>
  <c r="AC1413" i="1"/>
  <c r="AC4070" i="1"/>
  <c r="AC173" i="1"/>
  <c r="AC818" i="1"/>
  <c r="AC3314" i="1"/>
  <c r="AC1245" i="1"/>
  <c r="AC4554" i="1"/>
  <c r="AC2983" i="1"/>
  <c r="AC3541" i="1"/>
  <c r="AC2077" i="1"/>
  <c r="AC549" i="1"/>
  <c r="AC4375" i="1"/>
  <c r="AC67" i="1"/>
  <c r="AC1674" i="1"/>
  <c r="AC3505" i="1"/>
  <c r="AC854" i="1"/>
  <c r="AC940" i="1"/>
  <c r="AC4162" i="1"/>
  <c r="AC4233" i="1"/>
  <c r="AC470" i="1"/>
  <c r="AC3199" i="1"/>
  <c r="AC1891" i="1"/>
  <c r="AC3692" i="1"/>
  <c r="AC4260" i="1"/>
  <c r="AC1010" i="1"/>
  <c r="AC2363" i="1"/>
  <c r="AC1833" i="1"/>
  <c r="AC1009" i="1"/>
  <c r="AC4056" i="1"/>
  <c r="AC3972" i="1"/>
  <c r="AC3016" i="1"/>
  <c r="AC2925" i="1"/>
  <c r="AC1471" i="1"/>
  <c r="AC4095" i="1"/>
  <c r="AC1830" i="1"/>
  <c r="AC2123" i="1"/>
  <c r="AC4380" i="1"/>
  <c r="AC4390" i="1"/>
  <c r="AC3392" i="1"/>
  <c r="AC1706" i="1"/>
  <c r="AC3628" i="1"/>
  <c r="AC2202" i="1"/>
  <c r="AC3067" i="1"/>
  <c r="AC2967" i="1"/>
  <c r="AC3050" i="1"/>
  <c r="AC1756" i="1"/>
  <c r="AC1515" i="1"/>
  <c r="AC4125" i="1"/>
  <c r="AC2167" i="1"/>
  <c r="AC1792" i="1"/>
  <c r="AC1176" i="1"/>
  <c r="AC4408" i="1"/>
  <c r="AC3331" i="1"/>
  <c r="AC732" i="1"/>
  <c r="AC965" i="1"/>
  <c r="AC2785" i="1"/>
  <c r="AC4196" i="1"/>
  <c r="AC377" i="1"/>
  <c r="AC3790" i="1"/>
  <c r="AC3276" i="1"/>
  <c r="AC2912" i="1"/>
  <c r="AC2984" i="1"/>
  <c r="AC4501" i="1"/>
  <c r="AC4098" i="1"/>
  <c r="AC2748" i="1"/>
  <c r="AC279" i="1"/>
  <c r="AC3252" i="1"/>
  <c r="AC4113" i="1"/>
  <c r="AC1911" i="1"/>
  <c r="AC1280" i="1"/>
  <c r="AC3178" i="1"/>
  <c r="AC3781" i="1"/>
  <c r="AC4253" i="1"/>
  <c r="AC20" i="1"/>
  <c r="AC1029" i="1"/>
  <c r="AC1078" i="1"/>
  <c r="AC1568" i="1"/>
  <c r="AC703" i="1"/>
  <c r="AC2213" i="1"/>
  <c r="AC2919" i="1"/>
  <c r="AC1952" i="1"/>
  <c r="AC2604" i="1"/>
  <c r="AC2131" i="1"/>
  <c r="AC1791" i="1"/>
  <c r="AC104" i="1"/>
  <c r="AC223" i="1"/>
  <c r="AC2778" i="1"/>
  <c r="AC4421" i="1"/>
  <c r="AC3051" i="1"/>
  <c r="AC336" i="1"/>
  <c r="AC3611" i="1"/>
  <c r="AC2934" i="1"/>
  <c r="AC3792" i="1"/>
  <c r="AC3971" i="1"/>
  <c r="AC3740" i="1"/>
  <c r="AC1832" i="1"/>
  <c r="AC2970" i="1"/>
  <c r="AC1400" i="1"/>
  <c r="AC2362" i="1"/>
  <c r="AC4051" i="1"/>
  <c r="AC4102" i="1"/>
  <c r="AC3451" i="1"/>
  <c r="AC2837" i="1"/>
  <c r="AC3707" i="1"/>
  <c r="AC2684" i="1"/>
  <c r="AC2200" i="1"/>
  <c r="AC1983" i="1"/>
  <c r="AC2508" i="1"/>
  <c r="AC2867" i="1"/>
  <c r="AC3285" i="1"/>
  <c r="AC3978" i="1"/>
  <c r="AC722" i="1"/>
  <c r="AC2687" i="1"/>
  <c r="AC923" i="1"/>
  <c r="AC2866" i="1"/>
  <c r="AC2103" i="1"/>
  <c r="AC228" i="1"/>
  <c r="AC100" i="1"/>
  <c r="AC4214" i="1"/>
  <c r="AC1116" i="1"/>
  <c r="AC2933" i="1"/>
  <c r="AC624" i="1"/>
  <c r="AC1912" i="1"/>
  <c r="AC2893" i="1"/>
  <c r="AC1727" i="1"/>
  <c r="AC2597" i="1"/>
  <c r="AC1644" i="1"/>
  <c r="AC1775" i="1"/>
  <c r="AC2230" i="1"/>
  <c r="AC3111" i="1"/>
  <c r="AC466" i="1"/>
  <c r="AC3564" i="1"/>
  <c r="AC1915" i="1"/>
  <c r="AC197" i="1"/>
  <c r="AC3091" i="1"/>
  <c r="AC802" i="1"/>
  <c r="AC2845" i="1"/>
  <c r="AC3109" i="1"/>
  <c r="AC898" i="1"/>
  <c r="AC66" i="1"/>
  <c r="AC670" i="1"/>
  <c r="AC908" i="1"/>
  <c r="AC3229" i="1"/>
  <c r="AC4413" i="1"/>
  <c r="AC1154" i="1"/>
  <c r="AC2500" i="1"/>
  <c r="AC1368" i="1"/>
  <c r="AC4153" i="1"/>
  <c r="AC4111" i="1"/>
  <c r="AC3555" i="1"/>
  <c r="AC2700" i="1"/>
  <c r="AC3482" i="1"/>
  <c r="AC937" i="1"/>
  <c r="AC2251" i="1"/>
  <c r="AC3192" i="1"/>
  <c r="AC4506" i="1"/>
  <c r="AC363" i="1"/>
  <c r="AC351" i="1"/>
  <c r="AC267" i="1"/>
  <c r="AC1731" i="1"/>
  <c r="AC2538" i="1"/>
  <c r="AC1773" i="1"/>
  <c r="AC4189" i="1"/>
  <c r="AC3675" i="1"/>
  <c r="AC4021" i="1"/>
  <c r="AC2943" i="1"/>
  <c r="AC2752" i="1"/>
  <c r="AC2545" i="1"/>
  <c r="AC2066" i="1"/>
  <c r="AC3652" i="1"/>
  <c r="AC2965" i="1"/>
  <c r="AC4063" i="1"/>
  <c r="AC1549" i="1"/>
  <c r="AC4547" i="1"/>
  <c r="AC4180" i="1"/>
  <c r="AC1556" i="1"/>
  <c r="AC3255" i="1"/>
  <c r="AC2106" i="1"/>
  <c r="AC4363" i="1"/>
  <c r="AC3913" i="1"/>
  <c r="AC2851" i="1"/>
  <c r="AC1316" i="1"/>
  <c r="AC1902" i="1"/>
  <c r="AC3405" i="1"/>
  <c r="AC74" i="1"/>
  <c r="AC2728" i="1"/>
  <c r="AC1081" i="1"/>
  <c r="AC307" i="1"/>
  <c r="AC2083" i="1"/>
  <c r="AC3961" i="1"/>
  <c r="AC2693" i="1"/>
  <c r="AC4173" i="1"/>
  <c r="AC629" i="1"/>
  <c r="AC1105" i="1"/>
  <c r="AC914" i="1"/>
  <c r="AC3257" i="1"/>
  <c r="AC4341" i="1"/>
  <c r="AC4031" i="1"/>
  <c r="AC2632" i="1"/>
  <c r="AC2619" i="1"/>
  <c r="AC4027" i="1"/>
  <c r="AC782" i="1"/>
  <c r="AC2924" i="1"/>
  <c r="AC3503" i="1"/>
  <c r="AC3225" i="1"/>
  <c r="AC3008" i="1"/>
  <c r="AC3066" i="1"/>
  <c r="AC394" i="1"/>
  <c r="AC2017" i="1"/>
  <c r="AC3903" i="1"/>
  <c r="AC3238" i="1"/>
  <c r="AC746" i="1"/>
  <c r="AC1419" i="1"/>
  <c r="AC3705" i="1"/>
  <c r="AC2294" i="1"/>
  <c r="AC2665" i="1"/>
  <c r="AC1068" i="1"/>
  <c r="AC4339" i="1"/>
  <c r="AC155" i="1"/>
  <c r="AC876" i="1"/>
  <c r="AC305" i="1"/>
  <c r="AC687" i="1"/>
  <c r="AC993" i="1"/>
  <c r="AC3003" i="1"/>
  <c r="AC2343" i="1"/>
  <c r="AC3955" i="1"/>
  <c r="AC3073" i="1"/>
  <c r="AC2033" i="1"/>
  <c r="AC451" i="1"/>
  <c r="AC1211" i="1"/>
  <c r="AC1152" i="1"/>
  <c r="AC674" i="1"/>
  <c r="AC3281" i="1"/>
  <c r="AC3322" i="1"/>
  <c r="AC3296" i="1"/>
  <c r="AC3153" i="1"/>
  <c r="AC3897" i="1"/>
  <c r="AC1317" i="1"/>
  <c r="AC2613" i="1"/>
  <c r="AC4002" i="1"/>
  <c r="AC314" i="1"/>
  <c r="AC2346" i="1"/>
  <c r="AC1657" i="1"/>
  <c r="AC892" i="1"/>
  <c r="AC992" i="1"/>
  <c r="AC2942" i="1"/>
  <c r="AC575" i="1"/>
  <c r="AC1910" i="1"/>
  <c r="AC2321" i="1"/>
  <c r="AC1689" i="1"/>
  <c r="AC462" i="1"/>
  <c r="AC1056" i="1"/>
  <c r="AC1246" i="1"/>
  <c r="AC3990" i="1"/>
  <c r="AC2807" i="1"/>
  <c r="AC3483" i="1"/>
  <c r="AC2414" i="1"/>
  <c r="AC2413" i="1"/>
  <c r="AC2120" i="1"/>
  <c r="AC358" i="1"/>
  <c r="AC1580" i="1"/>
  <c r="AC1223" i="1"/>
  <c r="AC628" i="1"/>
  <c r="AC2758" i="1"/>
  <c r="AC4008" i="1"/>
  <c r="AC2805" i="1"/>
  <c r="AC3542" i="1"/>
  <c r="AC2242" i="1"/>
  <c r="AC2080" i="1"/>
  <c r="AC2759" i="1"/>
  <c r="AC3957" i="1"/>
  <c r="AC1767" i="1"/>
  <c r="AC3575" i="1"/>
  <c r="AC4141" i="1"/>
  <c r="AC2369" i="1"/>
  <c r="AC4136" i="1"/>
  <c r="AC1044" i="1"/>
  <c r="AC2901" i="1"/>
  <c r="AC4425" i="1"/>
  <c r="AC1606" i="1"/>
  <c r="AC3126" i="1"/>
  <c r="AC2523" i="1"/>
  <c r="AC694" i="1"/>
  <c r="AC2698" i="1"/>
  <c r="AC507" i="1"/>
  <c r="AC1998" i="1"/>
  <c r="AC147" i="1"/>
  <c r="AC1323" i="1"/>
  <c r="AC3634" i="1"/>
  <c r="AC3797" i="1"/>
  <c r="AC2522" i="1"/>
  <c r="AC4065" i="1"/>
  <c r="AC2502" i="1"/>
  <c r="AC1583" i="1"/>
  <c r="AC721" i="1"/>
  <c r="AC645" i="1"/>
  <c r="AC2688" i="1"/>
  <c r="AC2727" i="1"/>
  <c r="AC3798" i="1"/>
  <c r="AC957" i="1"/>
  <c r="AC3784" i="1"/>
  <c r="AC3480" i="1"/>
  <c r="AC2874" i="1"/>
  <c r="AC4470" i="1"/>
  <c r="AC4088" i="1"/>
  <c r="AC2989" i="1"/>
  <c r="AC1406" i="1"/>
  <c r="AC1707" i="1"/>
  <c r="AC3527" i="1"/>
  <c r="AC3988" i="1"/>
  <c r="AC580" i="1"/>
  <c r="AC4505" i="1"/>
  <c r="AC4525" i="1"/>
  <c r="AC3002" i="1"/>
  <c r="AC3711" i="1"/>
  <c r="AC3523" i="1"/>
  <c r="AC2268" i="1"/>
  <c r="AC2599" i="1"/>
  <c r="AC4387" i="1"/>
  <c r="AC585" i="1"/>
  <c r="AC1098" i="1"/>
  <c r="AC1412" i="1"/>
  <c r="AC1034" i="1"/>
  <c r="AC2855" i="1"/>
  <c r="AC2400" i="1"/>
  <c r="AC2014" i="1"/>
  <c r="AC4128" i="1"/>
  <c r="AC3997" i="1"/>
  <c r="AC1655" i="1"/>
  <c r="AC1106" i="1"/>
  <c r="AC591" i="1"/>
  <c r="AC3625" i="1"/>
  <c r="AC730" i="1"/>
  <c r="AC4394" i="1"/>
  <c r="AC2164" i="1"/>
  <c r="AC2315" i="1"/>
  <c r="AC959" i="1"/>
  <c r="AC1503" i="1"/>
  <c r="AC2872" i="1"/>
  <c r="AC2881" i="1"/>
  <c r="AC1966" i="1"/>
  <c r="AC2133" i="1"/>
  <c r="AC682" i="1"/>
  <c r="AC4059" i="1"/>
  <c r="AC4318" i="1"/>
  <c r="AC402" i="1"/>
  <c r="AC2859" i="1"/>
  <c r="AC2203" i="1"/>
  <c r="AC2801" i="1"/>
  <c r="AC1198" i="1"/>
  <c r="AC2501" i="1"/>
  <c r="AC3163" i="1"/>
  <c r="AC1937" i="1"/>
  <c r="AC32" i="1"/>
  <c r="AC3615" i="1"/>
  <c r="AC2961" i="1"/>
  <c r="AC1351" i="1"/>
  <c r="AC401" i="1"/>
  <c r="AC3751" i="1"/>
  <c r="AC4437" i="1"/>
  <c r="AC3627" i="1"/>
  <c r="AC4198" i="1"/>
  <c r="AC261" i="1"/>
  <c r="AC3021" i="1"/>
  <c r="AC3581" i="1"/>
  <c r="AC372" i="1"/>
  <c r="AC1456" i="1"/>
  <c r="AC3815" i="1"/>
  <c r="AC340" i="1"/>
  <c r="AC3621" i="1"/>
  <c r="AC2678" i="1"/>
  <c r="AC2267" i="1"/>
  <c r="AC3403" i="1"/>
  <c r="AC1457" i="1"/>
  <c r="AC3496" i="1"/>
  <c r="AC3666" i="1"/>
  <c r="AC1866" i="1"/>
  <c r="AC2666" i="1"/>
  <c r="AC3242" i="1"/>
  <c r="AC4491" i="1"/>
  <c r="AC4391" i="1"/>
  <c r="AC3508" i="1"/>
  <c r="AC1157" i="1"/>
  <c r="AC3354" i="1"/>
  <c r="AC1272" i="1"/>
  <c r="AC1286" i="1"/>
  <c r="AC3083" i="1"/>
  <c r="AC761" i="1"/>
  <c r="AC1083" i="1"/>
  <c r="AC1510" i="1"/>
  <c r="AC1843" i="1"/>
  <c r="AC24" i="1"/>
  <c r="AC603" i="1"/>
  <c r="AC4533" i="1"/>
  <c r="AC3609" i="1"/>
  <c r="AC2122" i="1"/>
  <c r="AC3901" i="1"/>
  <c r="AC1604" i="1"/>
  <c r="AC3821" i="1"/>
  <c r="AC3618" i="1"/>
  <c r="AC3534" i="1"/>
  <c r="AC165" i="1"/>
  <c r="AC1968" i="1"/>
  <c r="AC1011" i="1"/>
  <c r="AC2883" i="1"/>
  <c r="AC911" i="1"/>
  <c r="AC1233" i="1"/>
  <c r="AC2317" i="1"/>
  <c r="AC3029" i="1"/>
  <c r="AC836" i="1"/>
  <c r="AC1693" i="1"/>
  <c r="AC4514" i="1"/>
  <c r="AC3963" i="1"/>
  <c r="AC4269" i="1"/>
  <c r="AC2506" i="1"/>
  <c r="AC2271" i="1"/>
  <c r="AC16" i="1"/>
  <c r="AC2856" i="1"/>
  <c r="AC1496" i="1"/>
  <c r="AC3100" i="1"/>
  <c r="AC494" i="1"/>
  <c r="AC488" i="1"/>
  <c r="AC1284" i="1"/>
  <c r="AC1374" i="1"/>
  <c r="AC2550" i="1"/>
  <c r="AC309" i="1"/>
  <c r="AC2009" i="1"/>
  <c r="AC1191" i="1"/>
  <c r="AC105" i="1"/>
  <c r="AC1829" i="1"/>
  <c r="AC136" i="1"/>
  <c r="AC2806" i="1"/>
  <c r="AC4377" i="1"/>
  <c r="AC1605" i="1"/>
  <c r="AC4145" i="1"/>
  <c r="AC1385" i="1"/>
  <c r="AC1718" i="1"/>
  <c r="AC2844" i="1"/>
  <c r="AC2858" i="1"/>
  <c r="AC46" i="1"/>
  <c r="AC1867" i="1"/>
  <c r="AC438" i="1"/>
  <c r="AC2528" i="1"/>
  <c r="AC1310" i="1"/>
  <c r="AC2149" i="1"/>
  <c r="AC2591" i="1"/>
  <c r="AC158" i="1"/>
  <c r="AC4294" i="1"/>
  <c r="AC3152" i="1"/>
  <c r="AC3441" i="1"/>
  <c r="AC4123" i="1"/>
  <c r="AC2464" i="1"/>
  <c r="AC4191" i="1"/>
  <c r="AC2037" i="1"/>
  <c r="AC3966" i="1"/>
  <c r="AC828" i="1"/>
  <c r="AC398" i="1"/>
  <c r="AC2853" i="1"/>
  <c r="AC3432" i="1"/>
  <c r="AC4211" i="1"/>
  <c r="AC3339" i="1"/>
  <c r="AC1543" i="1"/>
  <c r="AC28" i="1"/>
  <c r="AC515" i="1"/>
  <c r="AC4551" i="1"/>
  <c r="AC1216" i="1"/>
  <c r="AC4498" i="1"/>
  <c r="AC3444" i="1"/>
  <c r="AC2505" i="1"/>
  <c r="AC597" i="1"/>
  <c r="AC693" i="1"/>
  <c r="AC3424" i="1"/>
  <c r="AC3636" i="1"/>
  <c r="AC3375" i="1"/>
  <c r="AC1899" i="1"/>
  <c r="AC729" i="1"/>
  <c r="AC324" i="1"/>
  <c r="AC3608" i="1"/>
  <c r="AC57" i="1"/>
  <c r="AC458" i="1"/>
  <c r="AC2577" i="1"/>
  <c r="AC86" i="1"/>
  <c r="AC144" i="1"/>
  <c r="AC2060" i="1"/>
  <c r="AC3429" i="1"/>
  <c r="AC4195" i="1"/>
  <c r="AC3673" i="1"/>
  <c r="AC1087" i="1"/>
  <c r="AC1862" i="1"/>
  <c r="AC3431" i="1"/>
  <c r="AC1004" i="1"/>
  <c r="AC4046" i="1"/>
  <c r="AC4273" i="1"/>
  <c r="AC1981" i="1"/>
  <c r="AC1440" i="1"/>
  <c r="AC831" i="1"/>
  <c r="AC4513" i="1"/>
  <c r="AC1420" i="1"/>
  <c r="AC2482" i="1"/>
  <c r="AC3105" i="1"/>
  <c r="AC2940" i="1"/>
  <c r="AC2104" i="1"/>
  <c r="AC1823" i="1"/>
  <c r="AC3857" i="1"/>
  <c r="AC621" i="1"/>
  <c r="AC758" i="1"/>
  <c r="AC3715" i="1"/>
  <c r="AC3871" i="1"/>
  <c r="AC4393" i="1"/>
  <c r="AC3382" i="1"/>
  <c r="AC2085" i="1"/>
  <c r="AC4310" i="1"/>
  <c r="AC2153" i="1"/>
  <c r="AC1846" i="1"/>
  <c r="AC368" i="1"/>
  <c r="AC2651" i="1"/>
  <c r="AC589" i="1"/>
  <c r="AC2" i="1"/>
  <c r="AC4426" i="1"/>
  <c r="AC1955" i="1"/>
  <c r="AC2544" i="1"/>
  <c r="AC830" i="1"/>
  <c r="AC1262" i="1"/>
  <c r="AC2446" i="1"/>
  <c r="AC1541" i="1"/>
  <c r="AC1288" i="1"/>
  <c r="AC1526" i="1"/>
  <c r="AC2551" i="1"/>
  <c r="AC595" i="1"/>
  <c r="AC1466" i="1"/>
  <c r="AC2405" i="1"/>
  <c r="AC4221" i="1"/>
  <c r="AC2740" i="1"/>
  <c r="AC4488" i="1"/>
  <c r="AC1795" i="1"/>
  <c r="AC4477" i="1"/>
  <c r="AC2889" i="1"/>
  <c r="AC2057" i="1"/>
  <c r="AC4249" i="1"/>
  <c r="AC2082" i="1"/>
  <c r="AC4357" i="1"/>
  <c r="AC164" i="1"/>
  <c r="AC4539" i="1"/>
  <c r="AC4402" i="1"/>
  <c r="AC2659" i="1"/>
  <c r="AC3267" i="1"/>
  <c r="AC146" i="1"/>
  <c r="AC2798" i="1"/>
  <c r="AC4035" i="1"/>
  <c r="AC2350" i="1"/>
  <c r="AC1417" i="1"/>
  <c r="AC2114" i="1"/>
  <c r="AC3133" i="1"/>
  <c r="AC444" i="1"/>
  <c r="AC981" i="1"/>
  <c r="AC2977" i="1"/>
  <c r="AC4228" i="1"/>
  <c r="AC2757" i="1"/>
  <c r="AC3335" i="1"/>
  <c r="AC4504" i="1"/>
  <c r="AC1071" i="1"/>
  <c r="AC1597" i="1"/>
  <c r="AC1989" i="1"/>
  <c r="AC3851" i="1"/>
  <c r="AC3925" i="1"/>
  <c r="AC3356" i="1"/>
  <c r="AC3613" i="1"/>
  <c r="AC3334" i="1"/>
  <c r="AC4205" i="1"/>
  <c r="AC4371" i="1"/>
  <c r="AC4115" i="1"/>
  <c r="AC2539" i="1"/>
  <c r="AC3756" i="1"/>
  <c r="AC618" i="1"/>
  <c r="AC2616" i="1"/>
  <c r="AC88" i="1"/>
  <c r="AC4216" i="1"/>
  <c r="AC2105" i="1"/>
  <c r="AC2504" i="1"/>
  <c r="AC3068" i="1"/>
  <c r="AC3896" i="1"/>
  <c r="AC3544" i="1"/>
  <c r="AC3907" i="1"/>
  <c r="AC785" i="1"/>
  <c r="AC820" i="1"/>
  <c r="AC3079" i="1"/>
  <c r="AC791" i="1"/>
  <c r="AC3317" i="1"/>
  <c r="AC1156" i="1"/>
  <c r="AC1690" i="1"/>
  <c r="AC2971" i="1"/>
  <c r="AC3775" i="1"/>
  <c r="AC2146" i="1"/>
  <c r="AC1974" i="1"/>
  <c r="AC321" i="1"/>
  <c r="AC2245" i="1"/>
  <c r="AC3926" i="1"/>
  <c r="AC3176" i="1"/>
  <c r="AC4137" i="1"/>
  <c r="AC3833" i="1"/>
  <c r="AC4440" i="1"/>
  <c r="AC4078" i="1"/>
  <c r="AC4103" i="1"/>
  <c r="AC2885" i="1"/>
  <c r="AC2121" i="1"/>
  <c r="AC1798" i="1"/>
  <c r="AC3953" i="1"/>
  <c r="AC2675" i="1"/>
  <c r="AC2812" i="1"/>
  <c r="AC3852" i="1"/>
  <c r="AC3811" i="1"/>
  <c r="AC167" i="1"/>
  <c r="AC4155" i="1"/>
  <c r="AC8" i="1"/>
  <c r="AC3839" i="1"/>
  <c r="AC1561" i="1"/>
  <c r="AC4459" i="1"/>
  <c r="AC3033" i="1"/>
  <c r="AC162" i="1"/>
  <c r="AC1225" i="1"/>
  <c r="AC149" i="1"/>
  <c r="AC299" i="1"/>
  <c r="AC4270" i="1"/>
  <c r="AC2732" i="1"/>
  <c r="AC4417" i="1"/>
  <c r="AC1228" i="1"/>
  <c r="AC250" i="1"/>
  <c r="AC22" i="1"/>
  <c r="AC3467" i="1"/>
  <c r="AC3773" i="1"/>
  <c r="AC3075" i="1"/>
  <c r="AC2860" i="1"/>
  <c r="AC2019" i="1"/>
  <c r="AC2207" i="1"/>
  <c r="AC4163" i="1"/>
  <c r="AC2332" i="1"/>
  <c r="AC4428" i="1"/>
  <c r="AC2254" i="1"/>
  <c r="AC3211" i="1"/>
  <c r="AC2185" i="1"/>
  <c r="AC4097" i="1"/>
  <c r="AC3409" i="1"/>
  <c r="AC3875" i="1"/>
  <c r="AC4026" i="1"/>
  <c r="AC3582" i="1"/>
  <c r="AC3977" i="1"/>
  <c r="AC2560" i="1"/>
  <c r="AC804" i="1"/>
  <c r="AC4259" i="1"/>
  <c r="AC44" i="1"/>
  <c r="AC1626" i="1"/>
  <c r="AC3932" i="1"/>
  <c r="AC2449" i="1"/>
  <c r="AC906" i="1"/>
  <c r="AC1285" i="1"/>
  <c r="AC3360" i="1"/>
  <c r="AC1956" i="1"/>
  <c r="AC4362" i="1"/>
  <c r="AC3386" i="1"/>
  <c r="AC1458" i="1"/>
  <c r="AC664" i="1"/>
  <c r="AC270" i="1"/>
  <c r="AC843" i="1"/>
  <c r="AC3745" i="1"/>
  <c r="AC4345" i="1"/>
  <c r="AC1864" i="1"/>
  <c r="AC755" i="1"/>
  <c r="AC2621" i="1"/>
  <c r="AC4332" i="1"/>
  <c r="AC4057" i="1"/>
  <c r="AC2947" i="1"/>
  <c r="AC4077" i="1"/>
  <c r="AC1534" i="1"/>
  <c r="AC2547" i="1"/>
  <c r="AC3739" i="1"/>
  <c r="AC867" i="1"/>
  <c r="AC177" i="1"/>
  <c r="AC3395" i="1"/>
  <c r="AC2697" i="1"/>
  <c r="AC1282" i="1"/>
  <c r="AC4034" i="1"/>
  <c r="AC3804" i="1"/>
  <c r="AC232" i="1"/>
  <c r="AC3832" i="1"/>
  <c r="AC3693" i="1"/>
  <c r="AC1294" i="1"/>
  <c r="AC3778" i="1"/>
  <c r="AC3571" i="1"/>
  <c r="AC2791" i="1"/>
  <c r="AC2473" i="1"/>
  <c r="AC932" i="1"/>
  <c r="AC3793" i="1"/>
  <c r="AC1326" i="1"/>
  <c r="AC4420" i="1"/>
  <c r="AC1760" i="1"/>
  <c r="AC3987" i="1"/>
  <c r="AC4193" i="1"/>
  <c r="AC4306" i="1"/>
  <c r="AC2779" i="1"/>
  <c r="AC3179" i="1"/>
  <c r="AC48" i="1"/>
  <c r="AC4558" i="1"/>
  <c r="AC4422" i="1"/>
  <c r="AC2557" i="1"/>
  <c r="AC2168" i="1"/>
  <c r="AC1062" i="1"/>
  <c r="AC2469" i="1"/>
  <c r="AC1763" i="1"/>
  <c r="AC4107" i="1"/>
  <c r="AC2387" i="1"/>
  <c r="AC1169" i="1"/>
  <c r="AC2803" i="1"/>
  <c r="AC3933" i="1"/>
  <c r="AC2647" i="1"/>
  <c r="AC1647" i="1"/>
  <c r="AC3771" i="1"/>
  <c r="AC4549" i="1"/>
  <c r="AC3945" i="1"/>
  <c r="AC76" i="1"/>
  <c r="AC3998" i="1"/>
  <c r="AC2072" i="1"/>
  <c r="AC2827" i="1"/>
  <c r="AC4396" i="1"/>
  <c r="AC370" i="1"/>
  <c r="AC361" i="1"/>
  <c r="AC2291" i="1"/>
  <c r="AC2401" i="1"/>
  <c r="AC4017" i="1"/>
  <c r="AC2918" i="1"/>
  <c r="AC248" i="1"/>
  <c r="AC1117" i="1"/>
  <c r="AC4280" i="1"/>
  <c r="AC1434" i="1"/>
  <c r="AC2443" i="1"/>
  <c r="AC3665" i="1"/>
  <c r="AC208" i="1"/>
  <c r="AC3650" i="1"/>
  <c r="AC4433" i="1"/>
  <c r="AC4212" i="1"/>
  <c r="AC1594" i="1"/>
  <c r="AC3910" i="1"/>
  <c r="AC3525" i="1"/>
  <c r="AC3065" i="1"/>
  <c r="AC4317" i="1"/>
  <c r="AC4267" i="1"/>
  <c r="AC3602" i="1"/>
  <c r="AC4461" i="1"/>
  <c r="AC4025" i="1"/>
  <c r="AC2475" i="1"/>
  <c r="AC3661" i="1"/>
  <c r="AC3827" i="1"/>
  <c r="AC3243" i="1"/>
  <c r="AC3877" i="1"/>
  <c r="AC2555" i="1"/>
  <c r="AC2101" i="1"/>
  <c r="AC384" i="1"/>
  <c r="AC201" i="1"/>
  <c r="AC569" i="1"/>
  <c r="AC4263" i="1"/>
  <c r="AC1058" i="1"/>
  <c r="AC2170" i="1"/>
  <c r="AC3677" i="1"/>
  <c r="AC3164" i="1"/>
  <c r="AC1192" i="1"/>
  <c r="AC2452" i="1"/>
  <c r="AC1361" i="1"/>
  <c r="AC2710" i="1"/>
  <c r="AC1804" i="1"/>
  <c r="AC1482" i="1"/>
  <c r="AC3499" i="1"/>
  <c r="AC4451" i="1"/>
  <c r="AC4497" i="1"/>
  <c r="AC2266" i="1"/>
  <c r="AC2432" i="1"/>
  <c r="AC119" i="1"/>
  <c r="AC4085" i="1"/>
  <c r="AC4201" i="1"/>
  <c r="AC3323" i="1"/>
  <c r="AC4069" i="1"/>
  <c r="AC3916" i="1"/>
  <c r="AC1841" i="1"/>
  <c r="AC4436" i="1"/>
  <c r="AC77" i="1"/>
  <c r="AC4040" i="1"/>
  <c r="AC3780" i="1"/>
  <c r="AC2117" i="1"/>
  <c r="AC2444" i="1"/>
  <c r="AC567" i="1"/>
  <c r="AC3561" i="1"/>
  <c r="AC263" i="1"/>
  <c r="AC4062" i="1"/>
  <c r="AC3159" i="1"/>
  <c r="AC2174" i="1"/>
  <c r="AC3560" i="1"/>
  <c r="AC326" i="1"/>
  <c r="AC1596" i="1"/>
  <c r="AC3929" i="1"/>
  <c r="AC3528" i="1"/>
  <c r="AC4329" i="1"/>
  <c r="AC3269" i="1"/>
  <c r="AC1513" i="1"/>
  <c r="AC3597" i="1"/>
  <c r="AC4517" i="1"/>
  <c r="AC3587" i="1"/>
  <c r="AC705" i="1"/>
  <c r="AC4355" i="1"/>
  <c r="AC4206" i="1"/>
  <c r="AC3635" i="1"/>
  <c r="AC97" i="1"/>
  <c r="AC578" i="1"/>
  <c r="AC752" i="1"/>
  <c r="AC931" i="1"/>
  <c r="AC3861" i="1"/>
  <c r="AC3461" i="1"/>
  <c r="AC2344" i="1"/>
  <c r="AC1053" i="1"/>
  <c r="AC4229" i="1"/>
  <c r="AC2587" i="1"/>
  <c r="AC1369" i="1"/>
  <c r="AC1430" i="1"/>
  <c r="AC533" i="1"/>
  <c r="AC3785" i="1"/>
  <c r="AC3588" i="1"/>
  <c r="AC4108" i="1"/>
  <c r="AC2843" i="1"/>
  <c r="AC3649" i="1"/>
  <c r="AC2293" i="1"/>
  <c r="AC4522" i="1"/>
  <c r="AC4404" i="1"/>
  <c r="AC3" i="1"/>
  <c r="AC3421" i="1"/>
  <c r="AC1577" i="1"/>
  <c r="AC3290" i="1"/>
  <c r="AC2816" i="1"/>
  <c r="AC1407" i="1"/>
  <c r="AC2955" i="1"/>
  <c r="AC3438" i="1"/>
  <c r="AC2305" i="1"/>
  <c r="AC2739" i="1"/>
  <c r="AC3404" i="1"/>
  <c r="AC1421" i="1"/>
  <c r="AC3633" i="1"/>
  <c r="AC2656" i="1"/>
  <c r="AC1540" i="1"/>
  <c r="AC2742" i="1"/>
  <c r="AC4285" i="1"/>
  <c r="AC3400" i="1"/>
  <c r="AC4060" i="1"/>
  <c r="AC3826" i="1"/>
  <c r="AC3589" i="1"/>
  <c r="AC3045" i="1"/>
  <c r="AC2692" i="1"/>
  <c r="AC4392" i="1"/>
  <c r="AC2540" i="1"/>
  <c r="AC3730" i="1"/>
  <c r="AC3855" i="1"/>
  <c r="AC2529" i="1"/>
  <c r="AC2588" i="1"/>
  <c r="AC94" i="1"/>
  <c r="AC129" i="1"/>
  <c r="AC4307" i="1"/>
  <c r="AC2884" i="1"/>
  <c r="AC3046" i="1"/>
  <c r="AC457" i="1"/>
  <c r="AC1929" i="1"/>
  <c r="AC1057" i="1"/>
  <c r="AC4278" i="1"/>
  <c r="AC13" i="1"/>
  <c r="AC4427" i="1"/>
  <c r="AC29" i="1"/>
  <c r="AC2150" i="1"/>
  <c r="AC912" i="1"/>
  <c r="AC229" i="1"/>
  <c r="AC1129" i="1"/>
  <c r="AC3853" i="1"/>
  <c r="AC2154" i="1"/>
  <c r="AC1615" i="1"/>
  <c r="AC1040" i="1"/>
  <c r="AC1995" i="1"/>
  <c r="AC1442" i="1"/>
  <c r="AC4254" i="1"/>
  <c r="AC2187" i="1"/>
  <c r="AC2862" i="1"/>
  <c r="AC3371" i="1"/>
  <c r="AC2527" i="1"/>
  <c r="AC2138" i="1"/>
  <c r="AC2455" i="1"/>
  <c r="AC2995" i="1"/>
  <c r="AC4295" i="1"/>
  <c r="AC979" i="1"/>
  <c r="AC873" i="1"/>
  <c r="AC2261" i="1"/>
  <c r="AC3768" i="1"/>
  <c r="AC3509" i="1"/>
  <c r="AC4014" i="1"/>
  <c r="AC2488" i="1"/>
  <c r="AC3477" i="1"/>
  <c r="AC1275" i="1"/>
  <c r="AC335" i="1"/>
  <c r="AC4251" i="1"/>
  <c r="AC2709" i="1"/>
  <c r="AC4243" i="1"/>
  <c r="AC179" i="1"/>
  <c r="AC4544" i="1"/>
  <c r="AC4029" i="1"/>
  <c r="AC3717" i="1"/>
  <c r="AC3576" i="1"/>
  <c r="AC1502" i="1"/>
  <c r="AC504" i="1"/>
  <c r="AC3873" i="1"/>
  <c r="AC3750" i="1"/>
  <c r="AC482" i="1"/>
  <c r="AC767" i="1"/>
  <c r="AC3209" i="1"/>
  <c r="AC3143" i="1"/>
  <c r="AC1131" i="1"/>
  <c r="AC890" i="1"/>
  <c r="AC3721" i="1"/>
  <c r="AC448" i="1"/>
  <c r="AC1495" i="1"/>
  <c r="AC3489" i="1"/>
  <c r="AC2273" i="1"/>
  <c r="AC2112" i="1"/>
  <c r="AC62" i="1"/>
  <c r="AC860" i="1"/>
  <c r="AC3789" i="1"/>
  <c r="AC3202" i="1"/>
  <c r="AC4460" i="1"/>
  <c r="AC586" i="1"/>
  <c r="AC2850" i="1"/>
  <c r="AC2926" i="1"/>
  <c r="AC1438" i="1"/>
  <c r="AC3200" i="1"/>
  <c r="AC2763" i="1"/>
  <c r="AC2139" i="1"/>
  <c r="AC1552" i="1"/>
  <c r="AC3495" i="1"/>
  <c r="AC2887" i="1"/>
  <c r="AC2741" i="1"/>
  <c r="AC3233" i="1"/>
  <c r="AC3708" i="1"/>
  <c r="AC110" i="1"/>
  <c r="AC2657" i="1"/>
  <c r="AC405" i="1"/>
  <c r="AC4334" i="1"/>
  <c r="AC2576" i="1"/>
  <c r="AC3362" i="1"/>
  <c r="AC2421" i="1"/>
  <c r="AC2617" i="1"/>
  <c r="AC2799" i="1"/>
  <c r="AC2679" i="1"/>
  <c r="AC3427" i="1"/>
  <c r="AC3221" i="1"/>
  <c r="AC3848" i="1"/>
  <c r="AC2747" i="1"/>
  <c r="AC1516" i="1"/>
  <c r="AC3452" i="1"/>
  <c r="AC320" i="1"/>
  <c r="AC1346" i="1"/>
  <c r="AC4262" i="1"/>
  <c r="AC3518" i="1"/>
  <c r="AC2840" i="1"/>
  <c r="AC439" i="1"/>
  <c r="AC3141" i="1"/>
  <c r="AC3603" i="1"/>
  <c r="AC3336" i="1"/>
  <c r="AC534" i="1"/>
  <c r="AC3326" i="1"/>
  <c r="AC2944" i="1"/>
  <c r="AC1469" i="1"/>
  <c r="AC2394" i="1"/>
  <c r="AC1880" i="1"/>
  <c r="AC2208" i="1"/>
  <c r="AC1104" i="1"/>
  <c r="AC1378" i="1"/>
  <c r="AC1426" i="1"/>
  <c r="AC3663" i="1"/>
  <c r="AC3653" i="1"/>
  <c r="AC360" i="1"/>
  <c r="AC4385" i="1"/>
  <c r="AC1991" i="1"/>
  <c r="AC4395" i="1"/>
  <c r="AC1464" i="1"/>
  <c r="AC2044" i="1"/>
  <c r="AC2357" i="1"/>
  <c r="AC2229" i="1"/>
  <c r="AC3011" i="1"/>
  <c r="AC1012" i="1"/>
  <c r="AC2453" i="1"/>
  <c r="AC1848" i="1"/>
  <c r="AC4154" i="1"/>
  <c r="AC126" i="1"/>
  <c r="AC1161" i="1"/>
  <c r="AC4283" i="1"/>
  <c r="AC3479" i="1"/>
  <c r="AC2437" i="1"/>
  <c r="AC546" i="1"/>
  <c r="AC3795" i="1"/>
  <c r="AC1290" i="1"/>
  <c r="AC498" i="1"/>
  <c r="AC3700" i="1"/>
  <c r="AC523" i="1"/>
  <c r="AC4287" i="1"/>
  <c r="AC4052" i="1"/>
  <c r="AC2699" i="1"/>
  <c r="AC163" i="1"/>
  <c r="AC1696" i="1"/>
  <c r="AC2814" i="1"/>
  <c r="AC3553" i="1"/>
  <c r="AC492" i="1"/>
  <c r="AC3316" i="1"/>
  <c r="AC4441" i="1"/>
  <c r="AC3018" i="1"/>
  <c r="AC2022" i="1"/>
  <c r="AC4053" i="1"/>
  <c r="AC4231" i="1"/>
  <c r="AC4009" i="1"/>
  <c r="AC93" i="1"/>
  <c r="AC1963" i="1"/>
  <c r="AC665" i="1"/>
  <c r="AC1993" i="1"/>
  <c r="AC1732" i="1"/>
  <c r="AC3643" i="1"/>
  <c r="AC282" i="1"/>
  <c r="AC3702" i="1"/>
  <c r="AC1610" i="1"/>
  <c r="AC2766" i="1"/>
  <c r="AC3515" i="1"/>
  <c r="AC131" i="1"/>
  <c r="AC3761" i="1"/>
  <c r="AC2435" i="1"/>
  <c r="AC2689" i="1"/>
  <c r="AC4110" i="1"/>
  <c r="AC3516" i="1"/>
  <c r="AC4204" i="1"/>
  <c r="AC3084" i="1"/>
  <c r="AC1785" i="1"/>
  <c r="AC1675" i="1"/>
  <c r="AC1942" i="1"/>
  <c r="AC1694" i="1"/>
  <c r="AC45" i="1"/>
  <c r="AC221" i="1"/>
  <c r="AC4033" i="1"/>
  <c r="AC2667" i="1"/>
  <c r="AC3964" i="1"/>
  <c r="AC3939" i="1"/>
  <c r="AC630" i="1"/>
  <c r="AC4353" i="1"/>
  <c r="AC4309" i="1"/>
  <c r="AC3722" i="1"/>
  <c r="AC2263" i="1"/>
  <c r="AC3733" i="1"/>
  <c r="AC2171" i="1"/>
  <c r="AC3905" i="1"/>
  <c r="AC2915" i="1"/>
  <c r="AC503" i="1"/>
  <c r="AC227" i="1"/>
  <c r="AC4369" i="1"/>
  <c r="AC1646" i="1"/>
  <c r="AC189" i="1"/>
  <c r="AC976" i="1"/>
  <c r="AC3203" i="1"/>
  <c r="AC3155" i="1"/>
  <c r="AC3303" i="1"/>
  <c r="AC623" i="1"/>
  <c r="AC1149" i="1"/>
  <c r="AC2980" i="1"/>
  <c r="AC4157" i="1"/>
  <c r="AC3764" i="1"/>
  <c r="AC2720" i="1"/>
  <c r="AC3219" i="1"/>
  <c r="AC649" i="1"/>
  <c r="AC87" i="1"/>
  <c r="AC3262" i="1"/>
  <c r="AC3865" i="1"/>
  <c r="AC1061" i="1"/>
  <c r="AC1449" i="1"/>
  <c r="AC3345" i="1"/>
  <c r="AC3535" i="1"/>
  <c r="AC3015" i="1"/>
  <c r="AC4068" i="1"/>
  <c r="AC2626" i="1"/>
  <c r="AC240" i="1"/>
  <c r="AC3753" i="1"/>
  <c r="AC3147" i="1"/>
  <c r="AC4150" i="1"/>
  <c r="AC362" i="1"/>
  <c r="AC2826" i="1"/>
  <c r="AC4382" i="1"/>
  <c r="AC3691" i="1"/>
  <c r="AC356" i="1"/>
  <c r="AC2063" i="1"/>
  <c r="D2" i="80"/>
  <c r="E2" i="80"/>
  <c r="AT17" i="1" l="1"/>
  <c r="AU13" i="1"/>
  <c r="AT15" i="1"/>
  <c r="AU23" i="1"/>
  <c r="AU18" i="1"/>
  <c r="AW25" i="1"/>
  <c r="AT27" i="1"/>
  <c r="AU20" i="1"/>
  <c r="AT22" i="1"/>
  <c r="AT16" i="1"/>
  <c r="AT18" i="1"/>
  <c r="AS15" i="1"/>
  <c r="AU22" i="1"/>
  <c r="AV17" i="1"/>
  <c r="AU14" i="1"/>
  <c r="AW17" i="1"/>
  <c r="AW16" i="1"/>
  <c r="AW15" i="1"/>
  <c r="AW18" i="1"/>
  <c r="AW20" i="1"/>
  <c r="AT13" i="1"/>
  <c r="AU27" i="1"/>
  <c r="AT19" i="1"/>
  <c r="AS13" i="1"/>
  <c r="AS19" i="1"/>
  <c r="AS27" i="1"/>
  <c r="AU25" i="1"/>
  <c r="AS21" i="1"/>
  <c r="AS20" i="1"/>
  <c r="AS23" i="1"/>
  <c r="AM38" i="1"/>
  <c r="AR38" i="1" s="1"/>
  <c r="AR45" i="1" s="1"/>
  <c r="AS45" i="1" s="1"/>
  <c r="AS14" i="1"/>
  <c r="AI14" i="1"/>
  <c r="AS25" i="1"/>
  <c r="AM43" i="1"/>
  <c r="AR43" i="1" s="1"/>
  <c r="AV15" i="1"/>
  <c r="AU19" i="1"/>
  <c r="AU16" i="1"/>
  <c r="AT25" i="1"/>
  <c r="AV22" i="1"/>
  <c r="AU21" i="1"/>
  <c r="AV13" i="1"/>
  <c r="AS17" i="1"/>
  <c r="AT20" i="1"/>
  <c r="AW21" i="1"/>
  <c r="AW22" i="1"/>
  <c r="AU17" i="1"/>
  <c r="AW13" i="1"/>
  <c r="AT21" i="1"/>
  <c r="AS16" i="1"/>
  <c r="AN43" i="1"/>
  <c r="AN40" i="1"/>
  <c r="AO35" i="1"/>
  <c r="AN39" i="1"/>
  <c r="AN44" i="1"/>
  <c r="AN38" i="1"/>
  <c r="AN45" i="1" s="1"/>
  <c r="AN46" i="1" s="1"/>
  <c r="AN42" i="1"/>
  <c r="AN41" i="1"/>
  <c r="AV19" i="1"/>
  <c r="AS18" i="1"/>
  <c r="AW19" i="1"/>
  <c r="AM41" i="1"/>
  <c r="AR41" i="1" s="1"/>
  <c r="AS22" i="1"/>
  <c r="AV27" i="1"/>
  <c r="AW14" i="1"/>
  <c r="AW27" i="1"/>
  <c r="AV16" i="1"/>
  <c r="AV18" i="1"/>
  <c r="AV20" i="1"/>
  <c r="AV21" i="1"/>
  <c r="AM39" i="1"/>
  <c r="AR39" i="1" s="1"/>
  <c r="AM42" i="1"/>
  <c r="AR42" i="1" s="1"/>
  <c r="AW23" i="1"/>
  <c r="AI20" i="1"/>
  <c r="AM44" i="1"/>
  <c r="AR44" i="1" s="1"/>
  <c r="AV23" i="1"/>
  <c r="AI18" i="1"/>
  <c r="AV25" i="1"/>
  <c r="AM40" i="1"/>
  <c r="AR40" i="1" s="1"/>
  <c r="AM45" i="1" l="1"/>
  <c r="AM46" i="1" s="1"/>
  <c r="AO41" i="1"/>
  <c r="AO42" i="1"/>
  <c r="AO43" i="1"/>
  <c r="AO40" i="1"/>
  <c r="AO44" i="1"/>
  <c r="AP35" i="1"/>
  <c r="AO39" i="1"/>
  <c r="AO38" i="1"/>
  <c r="AO45" i="1" s="1"/>
  <c r="AO46" i="1" s="1"/>
  <c r="AP42" i="1" l="1"/>
  <c r="AP39" i="1"/>
  <c r="AQ35" i="1"/>
  <c r="AP43" i="1"/>
  <c r="AP40" i="1"/>
  <c r="AP41" i="1"/>
  <c r="AP38" i="1"/>
  <c r="AP45" i="1" s="1"/>
  <c r="AP46" i="1" s="1"/>
  <c r="AP44" i="1"/>
  <c r="AQ38" i="1" l="1"/>
  <c r="AQ45" i="1" s="1"/>
  <c r="AQ46" i="1" s="1"/>
  <c r="AQ41" i="1"/>
  <c r="AQ42" i="1"/>
  <c r="AQ43" i="1"/>
  <c r="AQ44" i="1"/>
  <c r="AR36" i="1"/>
  <c r="AS36" i="1" s="1"/>
  <c r="AQ40" i="1"/>
  <c r="AQ39" i="1"/>
  <c r="AD3734" i="1"/>
  <c r="AD739" i="1"/>
  <c r="AD219" i="1"/>
  <c r="AD681" i="1"/>
  <c r="AD1421" i="1"/>
  <c r="AD3773" i="1"/>
  <c r="AD2606" i="1"/>
  <c r="AD2361" i="1"/>
  <c r="AD1813" i="1"/>
  <c r="AD475" i="1"/>
  <c r="AD367" i="1"/>
  <c r="AD208" i="1"/>
  <c r="AD3110" i="1"/>
  <c r="AD2015" i="1"/>
  <c r="AD2750" i="1"/>
  <c r="AD2047" i="1"/>
  <c r="AD3799" i="1"/>
  <c r="AD3523" i="1"/>
  <c r="AD888" i="1"/>
  <c r="AD3016" i="1"/>
  <c r="AD4017" i="1"/>
  <c r="AD4531" i="1"/>
  <c r="AD3981" i="1"/>
  <c r="AD4474" i="1"/>
  <c r="AD1463" i="1"/>
  <c r="AD4057" i="1"/>
  <c r="AD1326" i="1"/>
  <c r="AD946" i="1"/>
  <c r="AD4440" i="1"/>
  <c r="AD900" i="1"/>
  <c r="AD630" i="1"/>
  <c r="AD1628" i="1"/>
  <c r="AD3851" i="1"/>
  <c r="AD1961" i="1"/>
  <c r="AD801" i="1"/>
  <c r="AD270" i="1"/>
  <c r="AD3889" i="1"/>
  <c r="AD3389" i="1"/>
  <c r="AD2407" i="1"/>
  <c r="AD1184" i="1"/>
  <c r="AD3991" i="1"/>
  <c r="AD3899" i="1"/>
  <c r="AD1249" i="1"/>
  <c r="AD3863" i="1"/>
  <c r="AD145" i="1"/>
  <c r="AD1411" i="1"/>
  <c r="AD4403" i="1"/>
  <c r="AD3992" i="1"/>
  <c r="AD3007" i="1"/>
  <c r="AD2540" i="1"/>
  <c r="AD584" i="1"/>
  <c r="AD815" i="1"/>
  <c r="AD2854" i="1"/>
  <c r="AD2063" i="1"/>
  <c r="AD3709" i="1"/>
  <c r="AD3822" i="1"/>
  <c r="AD3882" i="1"/>
  <c r="AD643" i="1"/>
  <c r="AD4124" i="1"/>
  <c r="AD845" i="1"/>
  <c r="AD2504" i="1"/>
  <c r="AD599" i="1"/>
  <c r="AD2282" i="1"/>
  <c r="AD703" i="1"/>
  <c r="AD3730" i="1"/>
  <c r="AD520" i="1"/>
  <c r="AD1381" i="1"/>
  <c r="AD887" i="1"/>
  <c r="AD2876" i="1"/>
  <c r="AD870" i="1"/>
  <c r="AD3966" i="1"/>
  <c r="AD561" i="1"/>
  <c r="AD340" i="1"/>
  <c r="AD3764" i="1"/>
  <c r="AD1404" i="1"/>
  <c r="AD4519" i="1"/>
  <c r="AD2637" i="1"/>
  <c r="AD3897" i="1"/>
  <c r="AD105" i="1"/>
  <c r="AD1528" i="1"/>
  <c r="AD2883" i="1"/>
  <c r="AD2659" i="1"/>
  <c r="AD290" i="1"/>
  <c r="AD220" i="1"/>
  <c r="AD1006" i="1"/>
  <c r="AD3060" i="1"/>
  <c r="AD1781" i="1"/>
  <c r="AD129" i="1"/>
  <c r="AD945" i="1"/>
  <c r="AD2996" i="1"/>
  <c r="AD441" i="1"/>
  <c r="AD22" i="1"/>
  <c r="AD2863" i="1"/>
  <c r="AD2294" i="1"/>
  <c r="AD235" i="1"/>
  <c r="AD827" i="1"/>
  <c r="AD1755" i="1"/>
  <c r="AD1211" i="1"/>
  <c r="AD1489" i="1"/>
  <c r="AD1531" i="1"/>
  <c r="AD4355" i="1"/>
  <c r="AD3596" i="1"/>
  <c r="AD4441" i="1"/>
  <c r="AD2762" i="1"/>
  <c r="AD1867" i="1"/>
  <c r="AD325" i="1"/>
  <c r="AD3778" i="1"/>
  <c r="AD4278" i="1"/>
  <c r="AD3289" i="1"/>
  <c r="AD65" i="1"/>
  <c r="AD2411" i="1"/>
  <c r="AD468" i="1"/>
  <c r="AD1172" i="1"/>
  <c r="AD1196" i="1"/>
  <c r="AD4212" i="1"/>
  <c r="AD736" i="1"/>
  <c r="AD187" i="1"/>
  <c r="AD1044" i="1"/>
  <c r="AD918" i="1"/>
  <c r="AD3249" i="1"/>
  <c r="AD2495" i="1"/>
  <c r="AD4445" i="1"/>
  <c r="AD3247" i="1"/>
  <c r="AD3471" i="1"/>
  <c r="AD98" i="1"/>
  <c r="AD489" i="1"/>
  <c r="AD1317" i="1"/>
  <c r="AD3061" i="1"/>
  <c r="AD671" i="1"/>
  <c r="AD3574" i="1"/>
  <c r="AD2158" i="1"/>
  <c r="AD245" i="1"/>
  <c r="AD3509" i="1"/>
  <c r="AD491" i="1"/>
  <c r="AD532" i="1"/>
  <c r="AD4293" i="1"/>
  <c r="AD4135" i="1"/>
  <c r="AD448" i="1"/>
  <c r="AD3503" i="1"/>
  <c r="AD4086" i="1"/>
  <c r="AD1083" i="1"/>
  <c r="AD3010" i="1"/>
  <c r="AD2552" i="1"/>
  <c r="AD3280" i="1"/>
  <c r="AD155" i="1"/>
  <c r="AD3685" i="1"/>
  <c r="AD2634" i="1"/>
  <c r="AD176" i="1"/>
  <c r="AD3299" i="1"/>
  <c r="AD3076" i="1"/>
  <c r="AD2775" i="1"/>
  <c r="AD416" i="1"/>
  <c r="AD1611" i="1"/>
  <c r="AD3595" i="1"/>
  <c r="AD3690" i="1"/>
  <c r="AD2444" i="1"/>
  <c r="AD4026" i="1"/>
  <c r="AD3794" i="1"/>
  <c r="AD4423" i="1"/>
  <c r="AD2308" i="1"/>
  <c r="AD3846" i="1"/>
  <c r="AD29" i="1"/>
  <c r="AD2503" i="1"/>
  <c r="AD722" i="1"/>
  <c r="AD4234" i="1"/>
  <c r="AD3515" i="1"/>
  <c r="AD1762" i="1"/>
  <c r="AD3105" i="1"/>
  <c r="AD1689" i="1"/>
  <c r="AD1793" i="1"/>
  <c r="AD1752" i="1"/>
  <c r="AD894" i="1"/>
  <c r="AD3848" i="1"/>
  <c r="AD2164" i="1"/>
  <c r="AD3199" i="1"/>
  <c r="AD1503" i="1"/>
  <c r="AD4178" i="1"/>
  <c r="AD2207" i="1"/>
  <c r="AD4418" i="1"/>
  <c r="AD1127" i="1"/>
  <c r="AD1021" i="1"/>
  <c r="AD2537" i="1"/>
  <c r="AD2577" i="1"/>
  <c r="AD1665" i="1"/>
  <c r="AD2648" i="1"/>
  <c r="AD82" i="1"/>
  <c r="AD204" i="1"/>
  <c r="AD322" i="1"/>
  <c r="AD2817" i="1"/>
  <c r="AD953" i="1"/>
  <c r="AD3746" i="1"/>
  <c r="AD2829" i="1"/>
  <c r="AD3767" i="1"/>
  <c r="AD154" i="1"/>
  <c r="AD2788" i="1"/>
  <c r="AD1461" i="1"/>
  <c r="AD2496" i="1"/>
  <c r="AD1047" i="1"/>
  <c r="AD3083" i="1"/>
  <c r="AD2412" i="1"/>
  <c r="AD1795" i="1"/>
  <c r="AD2860" i="1"/>
  <c r="AD26" i="1"/>
  <c r="AD227" i="1"/>
  <c r="AD4424" i="1"/>
  <c r="AD3662" i="1"/>
  <c r="AD3054" i="1"/>
  <c r="AD2832" i="1"/>
  <c r="AD1403" i="1"/>
  <c r="AD2674" i="1"/>
  <c r="AD1319" i="1"/>
  <c r="AD1598" i="1"/>
  <c r="AD2925" i="1"/>
  <c r="AD1567" i="1"/>
  <c r="AD3815" i="1"/>
  <c r="AD2147" i="1"/>
  <c r="AD3306" i="1"/>
  <c r="AD3343" i="1"/>
  <c r="AD1464" i="1"/>
  <c r="AD30" i="1"/>
  <c r="AD344" i="1"/>
  <c r="AD2114" i="1"/>
  <c r="AD1661" i="1"/>
  <c r="AD1837" i="1"/>
  <c r="AD2066" i="1"/>
  <c r="AD510" i="1"/>
  <c r="AD3568" i="1"/>
  <c r="AD1714" i="1"/>
  <c r="AD623" i="1"/>
  <c r="AD4421" i="1"/>
  <c r="AD813" i="1"/>
  <c r="AD2607" i="1"/>
  <c r="AD3268" i="1"/>
  <c r="AD3336" i="1"/>
  <c r="AD4537" i="1"/>
  <c r="AD4277" i="1"/>
  <c r="AD1173" i="1"/>
  <c r="AD2667" i="1"/>
  <c r="AD758" i="1"/>
  <c r="AD1409" i="1"/>
  <c r="AD527" i="1"/>
  <c r="AD663" i="1"/>
  <c r="AD1547" i="1"/>
  <c r="AD2715" i="1"/>
  <c r="AD3301" i="1"/>
  <c r="AD2965" i="1"/>
  <c r="AD1494" i="1"/>
  <c r="AD600" i="1"/>
  <c r="AD1707" i="1"/>
  <c r="AD1488" i="1"/>
  <c r="AD648" i="1"/>
  <c r="AD2717" i="1"/>
  <c r="AD3788" i="1"/>
  <c r="AD674" i="1"/>
  <c r="AD2116" i="1"/>
  <c r="AD4315" i="1"/>
  <c r="AD4394" i="1"/>
  <c r="AD2354" i="1"/>
  <c r="AD2358" i="1"/>
  <c r="AD2315" i="1"/>
  <c r="AD2470" i="1"/>
  <c r="AD3723" i="1"/>
  <c r="AD443" i="1"/>
  <c r="AD3057" i="1"/>
  <c r="AD2584" i="1"/>
  <c r="AD686" i="1"/>
  <c r="AD4141" i="1"/>
  <c r="AD4362" i="1"/>
  <c r="AD1141" i="1"/>
  <c r="AD2326" i="1"/>
  <c r="AD2203" i="1"/>
  <c r="AD4481" i="1"/>
  <c r="AD2322" i="1"/>
  <c r="AD692" i="1"/>
  <c r="AD666" i="1"/>
  <c r="AD1673" i="1"/>
  <c r="AD467" i="1"/>
  <c r="AD733" i="1"/>
  <c r="AD4368" i="1"/>
  <c r="AD3754" i="1"/>
  <c r="AD1456" i="1"/>
  <c r="AD260" i="1"/>
  <c r="AD3842" i="1"/>
  <c r="AD3158" i="1"/>
  <c r="AD2615" i="1"/>
  <c r="AD3380" i="1"/>
  <c r="AD2269" i="1"/>
  <c r="AD2912" i="1"/>
  <c r="AD2170" i="1"/>
  <c r="AD4518" i="1"/>
  <c r="AD4381" i="1"/>
  <c r="AD438" i="1"/>
  <c r="AD3313" i="1"/>
  <c r="AD2204" i="1"/>
  <c r="AD4543" i="1"/>
  <c r="AD747" i="1"/>
  <c r="AD1941" i="1"/>
  <c r="AD3581" i="1"/>
  <c r="AD181" i="1"/>
  <c r="AD1133" i="1"/>
  <c r="AD2441" i="1"/>
  <c r="AD3402" i="1"/>
  <c r="AD3144" i="1"/>
  <c r="AD2742" i="1"/>
  <c r="AD4193" i="1"/>
  <c r="AD521" i="1"/>
  <c r="AD1341" i="1"/>
  <c r="AD2039" i="1"/>
  <c r="AD4208" i="1"/>
  <c r="AD2131" i="1"/>
  <c r="AD3923" i="1"/>
  <c r="AD1212" i="1"/>
  <c r="AD313" i="1"/>
  <c r="AD3791" i="1"/>
  <c r="AD3902" i="1"/>
  <c r="AD3955" i="1"/>
  <c r="AD1420" i="1"/>
  <c r="AD40" i="1"/>
  <c r="AD852" i="1"/>
  <c r="AD3694" i="1"/>
  <c r="AD3311" i="1"/>
  <c r="AD4264" i="1"/>
  <c r="AD122" i="1"/>
  <c r="AD3401" i="1"/>
  <c r="AD4319" i="1"/>
  <c r="AD3938" i="1"/>
  <c r="AD2392" i="1"/>
  <c r="AD2262" i="1"/>
  <c r="AD4545" i="1"/>
  <c r="AD605" i="1"/>
  <c r="AD361" i="1"/>
  <c r="AD2068" i="1"/>
  <c r="AD513" i="1"/>
  <c r="AD1678" i="1"/>
  <c r="AD1313" i="1"/>
  <c r="AD3982" i="1"/>
  <c r="AD566" i="1"/>
  <c r="AD2013" i="1"/>
  <c r="AD2325" i="1"/>
  <c r="AD2307" i="1"/>
  <c r="AD2923" i="1"/>
  <c r="AD3819" i="1"/>
  <c r="AD2625" i="1"/>
  <c r="AD3154" i="1"/>
  <c r="AD2662" i="1"/>
  <c r="AD2848" i="1"/>
  <c r="AD272" i="1"/>
  <c r="AD1259" i="1"/>
  <c r="AD1153" i="1"/>
  <c r="AD1508" i="1"/>
  <c r="AD2375" i="1"/>
  <c r="AD1074" i="1"/>
  <c r="AD2628" i="1"/>
  <c r="AD3832" i="1"/>
  <c r="AD1904" i="1"/>
  <c r="AD2651" i="1"/>
  <c r="AD332" i="1"/>
  <c r="AD2723" i="1"/>
  <c r="AD4197" i="1"/>
  <c r="AD3267" i="1"/>
  <c r="AD4453" i="1"/>
  <c r="AD4248" i="1"/>
  <c r="AD3353" i="1"/>
  <c r="AD1636" i="1"/>
  <c r="AD1600" i="1"/>
  <c r="AD1276" i="1"/>
  <c r="AD787" i="1"/>
  <c r="AD2927" i="1"/>
  <c r="AD3453" i="1"/>
  <c r="AD4129" i="1"/>
  <c r="AD446" i="1"/>
  <c r="AD4142" i="1"/>
  <c r="AD1036" i="1"/>
  <c r="AD3750" i="1"/>
  <c r="AD2935" i="1"/>
  <c r="AD4536" i="1"/>
  <c r="AD2594" i="1"/>
  <c r="AD4105" i="1"/>
  <c r="AD1535" i="1"/>
  <c r="AD293" i="1"/>
  <c r="AD1056" i="1"/>
  <c r="AD543" i="1"/>
  <c r="AD457" i="1"/>
  <c r="AD1821" i="1"/>
  <c r="AD1569" i="1"/>
  <c r="AD2543" i="1"/>
  <c r="AD2311" i="1"/>
  <c r="AD3362" i="1"/>
  <c r="AD1832" i="1"/>
  <c r="AD248" i="1"/>
  <c r="AD343" i="1"/>
  <c r="AD693" i="1"/>
  <c r="AD1939" i="1"/>
  <c r="AD2339" i="1"/>
  <c r="AD54" i="1"/>
  <c r="AD672" i="1"/>
  <c r="AD868" i="1"/>
  <c r="AD1071" i="1"/>
  <c r="AD2011" i="1"/>
  <c r="AD1028" i="1"/>
  <c r="AD3452" i="1"/>
  <c r="AD3304" i="1"/>
  <c r="AD2212" i="1"/>
  <c r="AD2069" i="1"/>
  <c r="AD4290" i="1"/>
  <c r="AD452" i="1"/>
  <c r="AD3359" i="1"/>
  <c r="AD688" i="1"/>
  <c r="AD763" i="1"/>
  <c r="AD1453" i="1"/>
  <c r="AD1258" i="1"/>
  <c r="AD479" i="1"/>
  <c r="AD2128" i="1"/>
  <c r="AD3438" i="1"/>
  <c r="AD3376" i="1"/>
  <c r="AD1140" i="1"/>
  <c r="AD4265" i="1"/>
  <c r="AD4285" i="1"/>
  <c r="AD1089" i="1"/>
  <c r="AD4380" i="1"/>
  <c r="AD2531" i="1"/>
  <c r="AD1221" i="1"/>
  <c r="AD1200" i="1"/>
  <c r="AD2915" i="1"/>
  <c r="AD4493" i="1"/>
  <c r="AD631" i="1"/>
  <c r="AD45" i="1"/>
  <c r="AD3425" i="1"/>
  <c r="AD2969" i="1"/>
  <c r="AD721" i="1"/>
  <c r="AD2418" i="1"/>
  <c r="AD1023" i="1"/>
  <c r="AD80" i="1"/>
  <c r="AD3318" i="1"/>
  <c r="AD3674" i="1"/>
  <c r="AD4244" i="1"/>
  <c r="AD1300" i="1"/>
  <c r="AD3261" i="1"/>
  <c r="AD571" i="1"/>
  <c r="AD906" i="1"/>
  <c r="AD2632" i="1"/>
  <c r="AD2419" i="1"/>
  <c r="AD668" i="1"/>
  <c r="AD2460" i="1"/>
  <c r="AD4257" i="1"/>
  <c r="AD451" i="1"/>
  <c r="AD3665" i="1"/>
  <c r="AD2654" i="1"/>
  <c r="AD476" i="1"/>
  <c r="AD3743" i="1"/>
  <c r="AD629" i="1"/>
  <c r="AD3093" i="1"/>
  <c r="AD3593" i="1"/>
  <c r="AD3651" i="1"/>
  <c r="AD3496" i="1"/>
  <c r="AD20" i="1"/>
  <c r="AD77" i="1"/>
  <c r="AD2713" i="1"/>
  <c r="AD3802" i="1"/>
  <c r="AD2867" i="1"/>
  <c r="AD2919" i="1"/>
  <c r="AD2926" i="1"/>
  <c r="AD4216" i="1"/>
  <c r="AD4416" i="1"/>
  <c r="AD373" i="1"/>
  <c r="AD1286" i="1"/>
  <c r="AD752" i="1"/>
  <c r="AD1399" i="1"/>
  <c r="AD2453" i="1"/>
  <c r="AD2822" i="1"/>
  <c r="AD218" i="1"/>
  <c r="AD3546" i="1"/>
  <c r="AD1302" i="1"/>
  <c r="AD3024" i="1"/>
  <c r="AD3347" i="1"/>
  <c r="AD3793" i="1"/>
  <c r="AD4201" i="1"/>
  <c r="AD3879" i="1"/>
  <c r="AD2414" i="1"/>
  <c r="AD4287" i="1"/>
  <c r="AD2704" i="1"/>
  <c r="AD1223" i="1"/>
  <c r="AD1363" i="1"/>
  <c r="AD4084" i="1"/>
  <c r="AD2708" i="1"/>
  <c r="AD1892" i="1"/>
  <c r="AD514" i="1"/>
  <c r="AD1715" i="1"/>
  <c r="AD3860" i="1"/>
  <c r="AD3479" i="1"/>
  <c r="AD3166" i="1"/>
  <c r="AD4147" i="1"/>
  <c r="AD2672" i="1"/>
  <c r="AD4400" i="1"/>
  <c r="AD2907" i="1"/>
  <c r="AD1239" i="1"/>
  <c r="AD4009" i="1"/>
  <c r="AD853" i="1"/>
  <c r="AD3871" i="1"/>
  <c r="AD2738" i="1"/>
  <c r="AD2438" i="1"/>
  <c r="AD1711" i="1"/>
  <c r="AD3272" i="1"/>
  <c r="AD1301" i="1"/>
  <c r="AD1291" i="1"/>
  <c r="AD2471" i="1"/>
  <c r="AD3151" i="1"/>
  <c r="AD1383" i="1"/>
  <c r="AD3696" i="1"/>
  <c r="AD67" i="1"/>
  <c r="AD4072" i="1"/>
  <c r="AD2027" i="1"/>
  <c r="AD255" i="1"/>
  <c r="AD487" i="1"/>
  <c r="AD3803" i="1"/>
  <c r="AD401" i="1"/>
  <c r="AD1476" i="1"/>
  <c r="AD3864" i="1"/>
  <c r="AD1045" i="1"/>
  <c r="AD4554" i="1"/>
  <c r="AD863" i="1"/>
  <c r="AD515" i="1"/>
  <c r="AD759" i="1"/>
  <c r="AD2219" i="1"/>
  <c r="AD4499" i="1"/>
  <c r="AD3492" i="1"/>
  <c r="AD190" i="1"/>
  <c r="AD4484" i="1"/>
  <c r="AD3039" i="1"/>
  <c r="AD3795" i="1"/>
  <c r="AD1593" i="1"/>
  <c r="AD64" i="1"/>
  <c r="AD413" i="1"/>
  <c r="AD1499" i="1"/>
  <c r="AD2920" i="1"/>
  <c r="AD1912" i="1"/>
  <c r="AD3650" i="1"/>
  <c r="AD4365" i="1"/>
  <c r="AD3809" i="1"/>
  <c r="AD3613" i="1"/>
  <c r="AD3084" i="1"/>
  <c r="AD4139" i="1"/>
  <c r="AD134" i="1"/>
  <c r="AD3051" i="1"/>
  <c r="AD3499" i="1"/>
  <c r="AD3140" i="1"/>
  <c r="AD3235" i="1"/>
  <c r="AD3464" i="1"/>
  <c r="AD4195" i="1"/>
  <c r="AD2003" i="1"/>
  <c r="AD116" i="1"/>
  <c r="AD271" i="1"/>
  <c r="AD217" i="1"/>
  <c r="AD2851" i="1"/>
  <c r="AD4217" i="1"/>
  <c r="AD1530" i="1"/>
  <c r="AD1179" i="1"/>
  <c r="AD3616" i="1"/>
  <c r="AD2934" i="1"/>
  <c r="AD4320" i="1"/>
  <c r="AD2243" i="1"/>
  <c r="AD9" i="1"/>
  <c r="AD4240" i="1"/>
  <c r="AD480" i="1"/>
  <c r="AD4311" i="1"/>
  <c r="AD3510" i="1"/>
  <c r="AD1651" i="1"/>
  <c r="AD1447" i="1"/>
  <c r="AD4430" i="1"/>
  <c r="AD1791" i="1"/>
  <c r="AD2088" i="1"/>
  <c r="AD3415" i="1"/>
  <c r="AD4461" i="1"/>
  <c r="AD2544" i="1"/>
  <c r="AD432" i="1"/>
  <c r="AD1886" i="1"/>
  <c r="AD3565" i="1"/>
  <c r="AD4030" i="1"/>
  <c r="AD1777" i="1"/>
  <c r="AD3303" i="1"/>
  <c r="AD3486" i="1"/>
  <c r="AD3014" i="1"/>
  <c r="AD3439" i="1"/>
  <c r="AD3564" i="1"/>
  <c r="AD3147" i="1"/>
  <c r="AD4314" i="1"/>
  <c r="AD1168" i="1"/>
  <c r="AD4301" i="1"/>
  <c r="AD1000" i="1"/>
  <c r="AD3740" i="1"/>
  <c r="AD1930" i="1"/>
  <c r="AD3853" i="1"/>
  <c r="AD3139" i="1"/>
  <c r="AD113" i="1"/>
  <c r="AD3372" i="1"/>
  <c r="AD2328" i="1"/>
  <c r="AD4077" i="1"/>
  <c r="AD1928" i="1"/>
  <c r="AD1875" i="1"/>
  <c r="AD847" i="1"/>
  <c r="AD1014" i="1"/>
  <c r="AD1405" i="1"/>
  <c r="AD194" i="1"/>
  <c r="AD3126" i="1"/>
  <c r="AD258" i="1"/>
  <c r="AD3238" i="1"/>
  <c r="AD2161" i="1"/>
  <c r="AD1507" i="1"/>
  <c r="AD659" i="1"/>
  <c r="AD1266" i="1"/>
  <c r="AD3647" i="1"/>
  <c r="AD2025" i="1"/>
  <c r="AD2298" i="1"/>
  <c r="AD2830" i="1"/>
  <c r="AD3648" i="1"/>
  <c r="AD2197" i="1"/>
  <c r="AD3237" i="1"/>
  <c r="AD1594" i="1"/>
  <c r="AD1954" i="1"/>
  <c r="AD2220" i="1"/>
  <c r="AD4161" i="1"/>
  <c r="AD3297" i="1"/>
  <c r="AD1686" i="1"/>
  <c r="AD4069" i="1"/>
  <c r="AD1668" i="1"/>
  <c r="AD1893" i="1"/>
  <c r="AD3634" i="1"/>
  <c r="AD1204" i="1"/>
  <c r="AD611" i="1"/>
  <c r="AD2029" i="1"/>
  <c r="AD3624" i="1"/>
  <c r="AD4457" i="1"/>
  <c r="AD132" i="1"/>
  <c r="AD760" i="1"/>
  <c r="AD2314" i="1"/>
  <c r="AD4067" i="1"/>
  <c r="AD1751" i="1"/>
  <c r="AD1579" i="1"/>
  <c r="AD2993" i="1"/>
  <c r="AD3790" i="1"/>
  <c r="AD1370" i="1"/>
  <c r="AD462" i="1"/>
  <c r="AD1929" i="1"/>
  <c r="AD1027" i="1"/>
  <c r="AD4286" i="1"/>
  <c r="AD4522" i="1"/>
  <c r="AD3211" i="1"/>
  <c r="AD892" i="1"/>
  <c r="AD1833" i="1"/>
  <c r="AD2000" i="1"/>
  <c r="AD1853" i="1"/>
  <c r="AD439" i="1"/>
  <c r="AD2010" i="1"/>
  <c r="AD1265" i="1"/>
  <c r="AD549" i="1"/>
  <c r="AD4385" i="1"/>
  <c r="AD4356" i="1"/>
  <c r="AD1603" i="1"/>
  <c r="AD3941" i="1"/>
  <c r="AD223" i="1"/>
  <c r="AD301" i="1"/>
  <c r="AD2624" i="1"/>
  <c r="AD131" i="1"/>
  <c r="AD2417" i="1"/>
  <c r="AD1099" i="1"/>
  <c r="AD984" i="1"/>
  <c r="AD4508" i="1"/>
  <c r="AD4164" i="1"/>
  <c r="AD2468" i="1"/>
  <c r="AD856" i="1"/>
  <c r="AD2005" i="1"/>
  <c r="AD1002" i="1"/>
  <c r="AD1845" i="1"/>
  <c r="AD774" i="1"/>
  <c r="AD4210" i="1"/>
  <c r="AD2352" i="1"/>
  <c r="AD3044" i="1"/>
  <c r="AD3405" i="1"/>
  <c r="AD879" i="1"/>
  <c r="AD665" i="1"/>
  <c r="AD833" i="1"/>
  <c r="AD2953" i="1"/>
  <c r="AD323" i="1"/>
  <c r="AD4035" i="1"/>
  <c r="AD2130" i="1"/>
  <c r="AD816" i="1"/>
  <c r="AD3511" i="1"/>
  <c r="AD4327" i="1"/>
  <c r="AD123" i="1"/>
  <c r="AD745" i="1"/>
  <c r="AD3789" i="1"/>
  <c r="AD2218" i="1"/>
  <c r="AD466" i="1"/>
  <c r="AD2500" i="1"/>
  <c r="AD1231" i="1"/>
  <c r="AD2767" i="1"/>
  <c r="AD2974" i="1"/>
  <c r="AD2758" i="1"/>
  <c r="AD1936" i="1"/>
  <c r="AD1343" i="1"/>
  <c r="AD4411" i="1"/>
  <c r="AD3056" i="1"/>
  <c r="AD1745" i="1"/>
  <c r="AD3854" i="1"/>
  <c r="AD1718" i="1"/>
  <c r="AD1283" i="1"/>
  <c r="AD2098" i="1"/>
  <c r="AD1540" i="1"/>
  <c r="AD287" i="1"/>
  <c r="AD4093" i="1"/>
  <c r="AD430" i="1"/>
  <c r="AD2400" i="1"/>
  <c r="AD1537" i="1"/>
  <c r="AD4357" i="1"/>
  <c r="AD4414" i="1"/>
  <c r="AD1032" i="1"/>
  <c r="AD2748" i="1"/>
  <c r="AD2279" i="1"/>
  <c r="AD2255" i="1"/>
  <c r="AD1465" i="1"/>
  <c r="AD4438" i="1"/>
  <c r="AD2447" i="1"/>
  <c r="AD3345" i="1"/>
  <c r="AD3834" i="1"/>
  <c r="AD3998" i="1"/>
  <c r="AD541" i="1"/>
  <c r="AD196" i="1"/>
  <c r="AD4155" i="1"/>
  <c r="AD3350" i="1"/>
  <c r="AD683" i="1"/>
  <c r="AD3644" i="1"/>
  <c r="AD1862" i="1"/>
  <c r="AD3631" i="1"/>
  <c r="AD3810" i="1"/>
  <c r="AD494" i="1"/>
  <c r="AD3239" i="1"/>
  <c r="AD3964" i="1"/>
  <c r="AD3904" i="1"/>
  <c r="AD2452" i="1"/>
  <c r="AD3042" i="1"/>
  <c r="AD3459" i="1"/>
  <c r="AD951" i="1"/>
  <c r="AD3726" i="1"/>
  <c r="AD2244" i="1"/>
  <c r="AD563" i="1"/>
  <c r="AD1700" i="1"/>
  <c r="AD4211" i="1"/>
  <c r="AD349" i="1"/>
  <c r="AD1927" i="1"/>
  <c r="AD3535" i="1"/>
  <c r="AD2281" i="1"/>
  <c r="AD546" i="1"/>
  <c r="AD3058" i="1"/>
  <c r="AD3221" i="1"/>
  <c r="AD1336" i="1"/>
  <c r="AD2882" i="1"/>
  <c r="AD4500" i="1"/>
  <c r="AD2774" i="1"/>
  <c r="AD1305" i="1"/>
  <c r="AD2686" i="1"/>
  <c r="AD4082" i="1"/>
  <c r="AD1307" i="1"/>
  <c r="AD2597" i="1"/>
  <c r="AD318" i="1"/>
  <c r="AD1582" i="1"/>
  <c r="AD3483" i="1"/>
  <c r="AD2891" i="1"/>
  <c r="AD2967" i="1"/>
  <c r="AD2841" i="1"/>
  <c r="AD2798" i="1"/>
  <c r="AD1295" i="1"/>
  <c r="AD2076" i="1"/>
  <c r="AD2989" i="1"/>
  <c r="AD613" i="1"/>
  <c r="AD2171" i="1"/>
  <c r="AD4553" i="1"/>
  <c r="AD3501" i="1"/>
  <c r="AD2611" i="1"/>
  <c r="AD3739" i="1"/>
  <c r="AD1408" i="1"/>
  <c r="AD1148" i="1"/>
  <c r="AD2790" i="1"/>
  <c r="AD2906" i="1"/>
  <c r="AD3295" i="1"/>
  <c r="AD2562" i="1"/>
  <c r="AD3395" i="1"/>
  <c r="AD2960" i="1"/>
  <c r="AD3461" i="1"/>
  <c r="AD3890" i="1"/>
  <c r="AD2133" i="1"/>
  <c r="AD2122" i="1"/>
  <c r="AD1197" i="1"/>
  <c r="AD2794" i="1"/>
  <c r="AD2896" i="1"/>
  <c r="AD1471" i="1"/>
  <c r="AD1685" i="1"/>
  <c r="AD3259" i="1"/>
  <c r="AD864" i="1"/>
  <c r="AD2463" i="1"/>
  <c r="AD3095" i="1"/>
  <c r="AD3382" i="1"/>
  <c r="AD3508" i="1"/>
  <c r="AD1581" i="1"/>
  <c r="AD3387" i="1"/>
  <c r="AD553" i="1"/>
  <c r="AD2847" i="1"/>
  <c r="AD1441" i="1"/>
  <c r="AD63" i="1"/>
  <c r="AD724" i="1"/>
  <c r="AD2645" i="1"/>
  <c r="AD4294" i="1"/>
  <c r="AD530" i="1"/>
  <c r="AD3062" i="1"/>
  <c r="AD3371" i="1"/>
  <c r="AD1995" i="1"/>
  <c r="AD2837" i="1"/>
  <c r="AD883" i="1"/>
  <c r="AD461" i="1"/>
  <c r="AD3807" i="1"/>
  <c r="AD4370" i="1"/>
  <c r="AD4504" i="1"/>
  <c r="AD2388" i="1"/>
  <c r="AD1496" i="1"/>
  <c r="AD2858" i="1"/>
  <c r="AD4373" i="1"/>
  <c r="AD4004" i="1"/>
  <c r="AD1398" i="1"/>
  <c r="AD876" i="1"/>
  <c r="AD965" i="1"/>
  <c r="AD1590" i="1"/>
  <c r="AD1865" i="1"/>
  <c r="AD1279" i="1"/>
  <c r="AD3119" i="1"/>
  <c r="AD88" i="1"/>
  <c r="AD3330" i="1"/>
  <c r="AD4512" i="1"/>
  <c r="AD3658" i="1"/>
  <c r="AD3231" i="1"/>
  <c r="AD2484" i="1"/>
  <c r="AD3435" i="1"/>
  <c r="AD3852" i="1"/>
  <c r="AD1591" i="1"/>
  <c r="AD2157" i="1"/>
  <c r="AD941" i="1"/>
  <c r="AD1670" i="1"/>
  <c r="AD1515" i="1"/>
  <c r="AD4001" i="1"/>
  <c r="AD3216" i="1"/>
  <c r="AD641" i="1"/>
  <c r="AD1878" i="1"/>
  <c r="AD1444" i="1"/>
  <c r="AD3012" i="1"/>
  <c r="AD858" i="1"/>
  <c r="AD1627" i="1"/>
  <c r="AD4273" i="1"/>
  <c r="AD979" i="1"/>
  <c r="AD3079" i="1"/>
  <c r="AD3052" i="1"/>
  <c r="AD3434" i="1"/>
  <c r="AD3762" i="1"/>
  <c r="AD1679" i="1"/>
  <c r="AD3948" i="1"/>
  <c r="AD3808" i="1"/>
  <c r="AD1238" i="1"/>
  <c r="AD1658" i="1"/>
  <c r="AD1470" i="1"/>
  <c r="AD2679" i="1"/>
  <c r="AD4527" i="1"/>
  <c r="AD459" i="1"/>
  <c r="AD4174" i="1"/>
  <c r="AD445" i="1"/>
  <c r="AD2489" i="1"/>
  <c r="AD3512" i="1"/>
  <c r="AD101" i="1"/>
  <c r="AD1704" i="1"/>
  <c r="AD2273" i="1"/>
  <c r="AD635" i="1"/>
  <c r="AD2259" i="1"/>
  <c r="AD2094" i="1"/>
  <c r="AD901" i="1"/>
  <c r="AD1952" i="1"/>
  <c r="AD4395" i="1"/>
  <c r="AD2466" i="1"/>
  <c r="AD42" i="1"/>
  <c r="AD777" i="1"/>
  <c r="AD2057" i="1"/>
  <c r="AD4194" i="1"/>
  <c r="AD1506" i="1"/>
  <c r="AD2420" i="1"/>
  <c r="AD4199" i="1"/>
  <c r="AD2921" i="1"/>
  <c r="AD2461" i="1"/>
  <c r="AD3566" i="1"/>
  <c r="AD1653" i="1"/>
  <c r="AD581" i="1"/>
  <c r="AD1107" i="1"/>
  <c r="AD3611" i="1"/>
  <c r="AD4118" i="1"/>
  <c r="AD2782" i="1"/>
  <c r="AD1386" i="1"/>
  <c r="AD805" i="1"/>
  <c r="AD2515" i="1"/>
  <c r="AD3893" i="1"/>
  <c r="AD3200" i="1"/>
  <c r="AD2949" i="1"/>
  <c r="AD2430" i="1"/>
  <c r="AD2561" i="1"/>
  <c r="AD463" i="1"/>
  <c r="AD143" i="1"/>
  <c r="AD634" i="1"/>
  <c r="AD1103" i="1"/>
  <c r="AD3771" i="1"/>
  <c r="AD4243" i="1"/>
  <c r="AD2542" i="1"/>
  <c r="AD1143" i="1"/>
  <c r="AD3209" i="1"/>
  <c r="AD4558" i="1"/>
  <c r="AD3418" i="1"/>
  <c r="AD1620" i="1"/>
  <c r="AD1085" i="1"/>
  <c r="AD3288" i="1"/>
  <c r="AD4363" i="1"/>
  <c r="AD2050" i="1"/>
  <c r="AD1308" i="1"/>
  <c r="AD1962" i="1"/>
  <c r="AD3314" i="1"/>
  <c r="AD1831" i="1"/>
  <c r="AD2295" i="1"/>
  <c r="AD785" i="1"/>
  <c r="AD3930" i="1"/>
  <c r="AD2174" i="1"/>
  <c r="AD1842" i="1"/>
  <c r="AD1717" i="1"/>
  <c r="AD246" i="1"/>
  <c r="AD3384" i="1"/>
  <c r="AD723" i="1"/>
  <c r="AD1895" i="1"/>
  <c r="AD3029" i="1"/>
  <c r="AD3104" i="1"/>
  <c r="AD865" i="1"/>
  <c r="AD3961" i="1"/>
  <c r="AD3996" i="1"/>
  <c r="AD3570" i="1"/>
  <c r="AD3410" i="1"/>
  <c r="AD1552" i="1"/>
  <c r="AD478" i="1"/>
  <c r="AD3256" i="1"/>
  <c r="AD2175" i="1"/>
  <c r="AD2693" i="1"/>
  <c r="AD2113" i="1"/>
  <c r="AD3979" i="1"/>
  <c r="AD1257" i="1"/>
  <c r="AD130" i="1"/>
  <c r="AD565" i="1"/>
  <c r="AD1885" i="1"/>
  <c r="AD557" i="1"/>
  <c r="AD277" i="1"/>
  <c r="AD586" i="1"/>
  <c r="AD2922" i="1"/>
  <c r="AD3005" i="1"/>
  <c r="AD1055" i="1"/>
  <c r="AD3828" i="1"/>
  <c r="AD1828" i="1"/>
  <c r="AD983" i="1"/>
  <c r="AD1070" i="1"/>
  <c r="AD2115" i="1"/>
  <c r="AD3271" i="1"/>
  <c r="AD3534" i="1"/>
  <c r="AD2316" i="1"/>
  <c r="AD4451" i="1"/>
  <c r="AD1623" i="1"/>
  <c r="AD3830" i="1"/>
  <c r="AD3" i="1"/>
  <c r="AD423" i="1"/>
  <c r="AD3641" i="1"/>
  <c r="AD2981" i="1"/>
  <c r="AD994" i="1"/>
  <c r="AD797" i="1"/>
  <c r="AD4110" i="1"/>
  <c r="AD2451" i="1"/>
  <c r="AD2902" i="1"/>
  <c r="AD1900" i="1"/>
  <c r="AD4419" i="1"/>
  <c r="AD1203" i="1"/>
  <c r="AD4491" i="1"/>
  <c r="AD2173" i="1"/>
  <c r="AD4063" i="1"/>
  <c r="AD3561" i="1"/>
  <c r="AD62" i="1"/>
  <c r="AD2393" i="1"/>
  <c r="AD1571" i="1"/>
  <c r="AD175" i="1"/>
  <c r="AD107" i="1"/>
  <c r="AD540" i="1"/>
  <c r="AD3408" i="1"/>
  <c r="AD3026" i="1"/>
  <c r="AD3150" i="1"/>
  <c r="AD4535" i="1"/>
  <c r="AD1354" i="1"/>
  <c r="AD811" i="1"/>
  <c r="AD1124" i="1"/>
  <c r="AD757" i="1"/>
  <c r="AD687" i="1"/>
  <c r="AD2395" i="1"/>
  <c r="AD2796" i="1"/>
  <c r="AD935" i="1"/>
  <c r="AD1248" i="1"/>
  <c r="AD2911" i="1"/>
  <c r="AD2783" i="1"/>
  <c r="AD4014" i="1"/>
  <c r="AD203" i="1"/>
  <c r="AD913" i="1"/>
  <c r="AD213" i="1"/>
  <c r="AD2908" i="1"/>
  <c r="AD2924" i="1"/>
  <c r="AD405" i="1"/>
  <c r="AD2600" i="1"/>
  <c r="AD2880" i="1"/>
  <c r="AD1520" i="1"/>
  <c r="AD495" i="1"/>
  <c r="AD3974" i="1"/>
  <c r="AD1942" i="1"/>
  <c r="AD4505" i="1"/>
  <c r="AD3309" i="1"/>
  <c r="AD2719" i="1"/>
  <c r="AD3929" i="1"/>
  <c r="AD1680" i="1"/>
  <c r="AD135" i="1"/>
  <c r="AD874" i="1"/>
  <c r="AD2962" i="1"/>
  <c r="AD4350" i="1"/>
  <c r="AD3463" i="1"/>
  <c r="AD3725" i="1"/>
  <c r="AD3027" i="1"/>
  <c r="AD1504" i="1"/>
  <c r="AD1185" i="1"/>
  <c r="AD619" i="1"/>
  <c r="AD2363" i="1"/>
  <c r="AD4263" i="1"/>
  <c r="AD2234" i="1"/>
  <c r="AD1217" i="1"/>
  <c r="AD3240" i="1"/>
  <c r="AD1738" i="1"/>
  <c r="AD2868" i="1"/>
  <c r="AD4250" i="1"/>
  <c r="AD81" i="1"/>
  <c r="AD2135" i="1"/>
  <c r="AD2521" i="1"/>
  <c r="AD2640" i="1"/>
  <c r="AD3460" i="1"/>
  <c r="AD2608" i="1"/>
  <c r="AD4413" i="1"/>
  <c r="AD3583" i="1"/>
  <c r="AD4542" i="1"/>
  <c r="AD3749" i="1"/>
  <c r="AD486" i="1"/>
  <c r="AD3590" i="1"/>
  <c r="AD1931" i="1"/>
  <c r="AD2223" i="1"/>
  <c r="AD2446" i="1"/>
  <c r="AD3034" i="1"/>
  <c r="AD1784" i="1"/>
  <c r="AD3833" i="1"/>
  <c r="AD2065" i="1"/>
  <c r="AD3652" i="1"/>
  <c r="AD3325" i="1"/>
  <c r="AD1584" i="1"/>
  <c r="AD3477" i="1"/>
  <c r="AD1640" i="1"/>
  <c r="AD2287" i="1"/>
  <c r="AD3276" i="1"/>
  <c r="AD614" i="1"/>
  <c r="AD2473" i="1"/>
  <c r="AD3619" i="1"/>
  <c r="AD1621" i="1"/>
  <c r="AD1580" i="1"/>
  <c r="AD1695" i="1"/>
  <c r="AD1576" i="1"/>
  <c r="AD1401" i="1"/>
  <c r="AD1975" i="1"/>
  <c r="AD2681" i="1"/>
  <c r="AD1587" i="1"/>
  <c r="AD4304" i="1"/>
  <c r="AD2528" i="1"/>
  <c r="AD4375" i="1"/>
  <c r="AD4021" i="1"/>
  <c r="AD2781" i="1"/>
  <c r="AD4429" i="1"/>
  <c r="AD3885" i="1"/>
  <c r="AD128" i="1"/>
  <c r="AD2108" i="1"/>
  <c r="AD2938" i="1"/>
  <c r="AD3547" i="1"/>
  <c r="AD2216" i="1"/>
  <c r="AD4352" i="1"/>
  <c r="AD3798" i="1"/>
  <c r="AD855" i="1"/>
  <c r="AD4520" i="1"/>
  <c r="AD3717" i="1"/>
  <c r="AD1063" i="1"/>
  <c r="AD4261" i="1"/>
  <c r="AD31" i="1"/>
  <c r="AD4342" i="1"/>
  <c r="AD1280" i="1"/>
  <c r="AD163" i="1"/>
  <c r="AD2553" i="1"/>
  <c r="AD4317" i="1"/>
  <c r="AD4097" i="1"/>
  <c r="AD4267" i="1"/>
  <c r="AD2373" i="1"/>
  <c r="AD2045" i="1"/>
  <c r="AD2028" i="1"/>
  <c r="AD2312" i="1"/>
  <c r="AD2327" i="1"/>
  <c r="AD3186" i="1"/>
  <c r="AD3319" i="1"/>
  <c r="AD216" i="1"/>
  <c r="AD209" i="1"/>
  <c r="AD4447" i="1"/>
  <c r="AD2866" i="1"/>
  <c r="AD3481" i="1"/>
  <c r="AD3894" i="1"/>
  <c r="AD575" i="1"/>
  <c r="AD3164" i="1"/>
  <c r="AD676" i="1"/>
  <c r="AD2633" i="1"/>
  <c r="AD788" i="1"/>
  <c r="AD1415" i="1"/>
  <c r="AD1149" i="1"/>
  <c r="AD3610" i="1"/>
  <c r="AD661" i="1"/>
  <c r="AD2763" i="1"/>
  <c r="AD41" i="1"/>
  <c r="AD4171" i="1"/>
  <c r="AD4220" i="1"/>
  <c r="AD962" i="1"/>
  <c r="AD1910" i="1"/>
  <c r="AD4332" i="1"/>
  <c r="AD3538" i="1"/>
  <c r="AD3490" i="1"/>
  <c r="AD3637" i="1"/>
  <c r="AD1005" i="1"/>
  <c r="AD2791" i="1"/>
  <c r="AD3905" i="1"/>
  <c r="AD3524" i="1"/>
  <c r="AD2593" i="1"/>
  <c r="AD201" i="1"/>
  <c r="AD1843" i="1"/>
  <c r="AD12" i="1"/>
  <c r="AD1702" i="1"/>
  <c r="AD1789" i="1"/>
  <c r="AD330" i="1"/>
  <c r="AD1727" i="1"/>
  <c r="AD4455" i="1"/>
  <c r="AD1052" i="1"/>
  <c r="AD1376" i="1"/>
  <c r="AD3821" i="1"/>
  <c r="AD1742" i="1"/>
  <c r="AD2707" i="1"/>
  <c r="AD2109" i="1"/>
  <c r="AD3858" i="1"/>
  <c r="AD4119" i="1"/>
  <c r="AD186" i="1"/>
  <c r="AD503" i="1"/>
  <c r="AD3777" i="1"/>
  <c r="AD1454" i="1"/>
  <c r="AD3697" i="1"/>
  <c r="AD399" i="1"/>
  <c r="AD1186" i="1"/>
  <c r="AD2865" i="1"/>
  <c r="AD1761" i="1"/>
  <c r="AD2071" i="1"/>
  <c r="AD3337" i="1"/>
  <c r="AD3856" i="1"/>
  <c r="AD3604" i="1"/>
  <c r="AD1778" i="1"/>
  <c r="AD886" i="1"/>
  <c r="AD1431" i="1"/>
  <c r="AD1017" i="1"/>
  <c r="AD3940" i="1"/>
  <c r="AD3285" i="1"/>
  <c r="AD1287" i="1"/>
  <c r="AD1719" i="1"/>
  <c r="AD1292" i="1"/>
  <c r="AD1236" i="1"/>
  <c r="AD2872" i="1"/>
  <c r="AD1364" i="1"/>
  <c r="AD3470" i="1"/>
  <c r="AD3657" i="1"/>
  <c r="AD3495" i="1"/>
  <c r="AD1526" i="1"/>
  <c r="AD1102" i="1"/>
  <c r="AD1416" i="1"/>
  <c r="AD379" i="1"/>
  <c r="AD2382" i="1"/>
  <c r="AD595" i="1"/>
  <c r="AD821" i="1"/>
  <c r="AD1560" i="1"/>
  <c r="AD3157" i="1"/>
  <c r="AD1839" i="1"/>
  <c r="AD3835" i="1"/>
  <c r="AD3736" i="1"/>
  <c r="AD2685" i="1"/>
  <c r="AD2472" i="1"/>
  <c r="AD2592" i="1"/>
  <c r="AD333" i="1"/>
  <c r="AD237" i="1"/>
  <c r="AD3411" i="1"/>
  <c r="AD2930" i="1"/>
  <c r="AD2881" i="1"/>
  <c r="AD3103" i="1"/>
  <c r="AD2614" i="1"/>
  <c r="AD2539" i="1"/>
  <c r="AD4011" i="1"/>
  <c r="AD3985" i="1"/>
  <c r="AD2506" i="1"/>
  <c r="AD1375" i="1"/>
  <c r="AD1701" i="1"/>
  <c r="AD2706" i="1"/>
  <c r="AD4398" i="1"/>
  <c r="AD4003" i="1"/>
  <c r="AD4007" i="1"/>
  <c r="AD1901" i="1"/>
  <c r="AD1480" i="1"/>
  <c r="AD4230" i="1"/>
  <c r="AD3475" i="1"/>
  <c r="AD3445" i="1"/>
  <c r="AD1646" i="1"/>
  <c r="AD3900" i="1"/>
  <c r="AD1990" i="1"/>
  <c r="AD409" i="1"/>
  <c r="AD2214" i="1"/>
  <c r="AD3729" i="1"/>
  <c r="AD1435" i="1"/>
  <c r="AD2437" i="1"/>
  <c r="AD240" i="1"/>
  <c r="AD1145" i="1"/>
  <c r="AD7" i="1"/>
  <c r="AD779" i="1"/>
  <c r="AD1840" i="1"/>
  <c r="AD1253" i="1"/>
  <c r="AD4166" i="1"/>
  <c r="AD3558" i="1"/>
  <c r="AD2257" i="1"/>
  <c r="AD3193" i="1"/>
  <c r="AD139" i="1"/>
  <c r="AD1805" i="1"/>
  <c r="AD363" i="1"/>
  <c r="AD1314" i="1"/>
  <c r="AD2889" i="1"/>
  <c r="AD2853" i="1"/>
  <c r="AD3097" i="1"/>
  <c r="AD2740" i="1"/>
  <c r="AD198" i="1"/>
  <c r="AD3514" i="1"/>
  <c r="AD2397" i="1"/>
  <c r="AD334" i="1"/>
  <c r="AD1618" i="1"/>
  <c r="AD2112" i="1"/>
  <c r="AD1583" i="1"/>
  <c r="AD4050" i="1"/>
  <c r="AD1073" i="1"/>
  <c r="AD2238" i="1"/>
  <c r="AD2730" i="1"/>
  <c r="AD2002" i="1"/>
  <c r="AD3886" i="1"/>
  <c r="AD3969" i="1"/>
  <c r="AD256" i="1"/>
  <c r="AD808" i="1"/>
  <c r="AD4369" i="1"/>
  <c r="AD4127" i="1"/>
  <c r="AD2642" i="1"/>
  <c r="AD2072" i="1"/>
  <c r="AD3995" i="1"/>
  <c r="AD531" i="1"/>
  <c r="AD1602" i="1"/>
  <c r="AD1222" i="1"/>
  <c r="AD422" i="1"/>
  <c r="AD4466" i="1"/>
  <c r="AD2714" i="1"/>
  <c r="AD1920" i="1"/>
  <c r="AD3932" i="1"/>
  <c r="AD3712" i="1"/>
  <c r="AD545" i="1"/>
  <c r="AD1075" i="1"/>
  <c r="AD1158" i="1"/>
  <c r="AD1154" i="1"/>
  <c r="AD2994" i="1"/>
  <c r="AD1112" i="1"/>
  <c r="AD144" i="1"/>
  <c r="AD3449" i="1"/>
  <c r="AD4405" i="1"/>
  <c r="AD790" i="1"/>
  <c r="AD1358" i="1"/>
  <c r="AD2030" i="1"/>
  <c r="AD1769" i="1"/>
  <c r="AD4476" i="1"/>
  <c r="AD1338" i="1"/>
  <c r="AD1697" i="1"/>
  <c r="AD1069" i="1"/>
  <c r="AD727" i="1"/>
  <c r="AD885" i="1"/>
  <c r="AD2044" i="1"/>
  <c r="AD743" i="1"/>
  <c r="AD4331" i="1"/>
  <c r="AD2367" i="1"/>
  <c r="AD1024" i="1"/>
  <c r="AD2736" i="1"/>
  <c r="AD335" i="1"/>
  <c r="AD2059" i="1"/>
  <c r="AD3780" i="1"/>
  <c r="AD3107" i="1"/>
  <c r="AD1953" i="1"/>
  <c r="AD2635" i="1"/>
  <c r="AD1519" i="1"/>
  <c r="AD75" i="1"/>
  <c r="AD1915" i="1"/>
  <c r="AD2017" i="1"/>
  <c r="AD3901" i="1"/>
  <c r="AD3824" i="1"/>
  <c r="AD977" i="1"/>
  <c r="AD3077" i="1"/>
  <c r="AD4266" i="1"/>
  <c r="AD3921" i="1"/>
  <c r="AD4272" i="1"/>
  <c r="AD2826" i="1"/>
  <c r="AD4401" i="1"/>
  <c r="AD3484" i="1"/>
  <c r="AD57" i="1"/>
  <c r="AD2844" i="1"/>
  <c r="AD3957" i="1"/>
  <c r="AD2621" i="1"/>
  <c r="AD2347" i="1"/>
  <c r="AD1150" i="1"/>
  <c r="AD1666" i="1"/>
  <c r="AD3958" i="1"/>
  <c r="AD3602" i="1"/>
  <c r="AD3770" i="1"/>
  <c r="AD1967" i="1"/>
  <c r="AD2399" i="1"/>
  <c r="AD1108" i="1"/>
  <c r="AD1337" i="1"/>
  <c r="AD695" i="1"/>
  <c r="AD2245" i="1"/>
  <c r="AD593" i="1"/>
  <c r="AD3043" i="1"/>
  <c r="AD2001" i="1"/>
  <c r="AD4150" i="1"/>
  <c r="AD4260" i="1"/>
  <c r="AD2232" i="1"/>
  <c r="AD749" i="1"/>
  <c r="AD3181" i="1"/>
  <c r="AD1357" i="1"/>
  <c r="AD2570" i="1"/>
  <c r="AD1958" i="1"/>
  <c r="AD4090" i="1"/>
  <c r="AD1171" i="1"/>
  <c r="AD4366" i="1"/>
  <c r="AD1944" i="1"/>
  <c r="AD1934" i="1"/>
  <c r="AD3032" i="1"/>
  <c r="AD1199" i="1"/>
  <c r="AD2124" i="1"/>
  <c r="AD3953" i="1"/>
  <c r="AD444" i="1"/>
  <c r="AD305" i="1"/>
  <c r="AD818" i="1"/>
  <c r="AD716" i="1"/>
  <c r="AD2381" i="1"/>
  <c r="AD3006" i="1"/>
  <c r="AD3243" i="1"/>
  <c r="AD3659" i="1"/>
  <c r="AD1131" i="1"/>
  <c r="AD3205" i="1"/>
  <c r="AD990" i="1"/>
  <c r="AD866" i="1"/>
  <c r="AD838" i="1"/>
  <c r="AD380" i="1"/>
  <c r="AD2048" i="1"/>
  <c r="AD3414" i="1"/>
  <c r="AD3355" i="1"/>
  <c r="AD1491" i="1"/>
  <c r="AD102" i="1"/>
  <c r="AD2727" i="1"/>
  <c r="AD2242" i="1"/>
  <c r="AD1340" i="1"/>
  <c r="AD1167" i="1"/>
  <c r="AD1346" i="1"/>
  <c r="AD3092" i="1"/>
  <c r="AD1442" i="1"/>
  <c r="AD1022" i="1"/>
  <c r="AD3582" i="1"/>
  <c r="AD3066" i="1"/>
  <c r="AD3543" i="1"/>
  <c r="AD2086" i="1"/>
  <c r="AD2278" i="1"/>
  <c r="AD358" i="1"/>
  <c r="AD3545" i="1"/>
  <c r="AD2038" i="1"/>
  <c r="AD3839" i="1"/>
  <c r="AD4080" i="1"/>
  <c r="AD3106" i="1"/>
  <c r="AD1046" i="1"/>
  <c r="AD839" i="1"/>
  <c r="AD1899" i="1"/>
  <c r="AD3135" i="1"/>
  <c r="AD2483" i="1"/>
  <c r="AD2337" i="1"/>
  <c r="AD1360" i="1"/>
  <c r="AD2123" i="1"/>
  <c r="AD679" i="1"/>
  <c r="AD959" i="1"/>
  <c r="AD770" i="1"/>
  <c r="AD3700" i="1"/>
  <c r="AD4034" i="1"/>
  <c r="AD3156" i="1"/>
  <c r="AD2264" i="1"/>
  <c r="AD3222" i="1"/>
  <c r="AD3358" i="1"/>
  <c r="AD1122" i="1"/>
  <c r="AD157" i="1"/>
  <c r="AD72" i="1"/>
  <c r="AD3286" i="1"/>
  <c r="AD902" i="1"/>
  <c r="AD773" i="1"/>
  <c r="AD3987" i="1"/>
  <c r="AD3190" i="1"/>
  <c r="AD1903" i="1"/>
  <c r="AD3487" i="1"/>
  <c r="AD4148" i="1"/>
  <c r="AD396" i="1"/>
  <c r="AD4318" i="1"/>
  <c r="AD4544" i="1"/>
  <c r="AD2390" i="1"/>
  <c r="AD1732" i="1"/>
  <c r="AD2545" i="1"/>
  <c r="AD3698" i="1"/>
  <c r="AD2184" i="1"/>
  <c r="AD591" i="1"/>
  <c r="AD1282" i="1"/>
  <c r="AD3760" i="1"/>
  <c r="AD3375" i="1"/>
  <c r="AD455" i="1"/>
  <c r="AD1897" i="1"/>
  <c r="AD127" i="1"/>
  <c r="AD224" i="1"/>
  <c r="AD1706" i="1"/>
  <c r="AD1785" i="1"/>
  <c r="AD3714" i="1"/>
  <c r="AD646" i="1"/>
  <c r="AD2886" i="1"/>
  <c r="AD4268" i="1"/>
  <c r="AD4237" i="1"/>
  <c r="AD978" i="1"/>
  <c r="AD4348" i="1"/>
  <c r="AD1281" i="1"/>
  <c r="AD1492" i="1"/>
  <c r="AD1659" i="1"/>
  <c r="AD61" i="1"/>
  <c r="AD2722" i="1"/>
  <c r="AD1984" i="1"/>
  <c r="AD2613" i="1"/>
  <c r="AD3165" i="1"/>
  <c r="AD1525" i="1"/>
  <c r="AD1395" i="1"/>
  <c r="AD3468" i="1"/>
  <c r="AD4390" i="1"/>
  <c r="AD3298" i="1"/>
  <c r="AD3241" i="1"/>
  <c r="AD2914" i="1"/>
  <c r="AD2959" i="1"/>
  <c r="AD2765" i="1"/>
  <c r="AD2601" i="1"/>
  <c r="AD1546" i="1"/>
  <c r="AD2445" i="1"/>
  <c r="AD2982" i="1"/>
  <c r="AD3865" i="1"/>
  <c r="AD3315" i="1"/>
  <c r="AD528" i="1"/>
  <c r="AD738" i="1"/>
  <c r="AD3811" i="1"/>
  <c r="AD3575" i="1"/>
  <c r="AD3112" i="1"/>
  <c r="AD854" i="1"/>
  <c r="AD3956" i="1"/>
  <c r="AD986" i="1"/>
  <c r="AD930" i="1"/>
  <c r="AD4289" i="1"/>
  <c r="AD3404" i="1"/>
  <c r="AD1194" i="1"/>
  <c r="AD400" i="1"/>
  <c r="AD2357" i="1"/>
  <c r="AD1432" i="1"/>
  <c r="AD3467" i="1"/>
  <c r="AD2530" i="1"/>
  <c r="AD2272" i="1"/>
  <c r="AD577" i="1"/>
  <c r="AD905" i="1"/>
  <c r="AD44" i="1"/>
  <c r="AD4509" i="1"/>
  <c r="AD1723" i="1"/>
  <c r="AD4279" i="1"/>
  <c r="AD3671" i="1"/>
  <c r="AD38" i="1"/>
  <c r="AD18" i="1"/>
  <c r="AD2386" i="1"/>
  <c r="AD800" i="1"/>
  <c r="AD426" i="1"/>
  <c r="AD4136" i="1"/>
  <c r="AD793" i="1"/>
  <c r="AD2300" i="1"/>
  <c r="AD4374" i="1"/>
  <c r="AD3758" i="1"/>
  <c r="AD3180" i="1"/>
  <c r="AD1224" i="1"/>
  <c r="AD4253" i="1"/>
  <c r="AD3317" i="1"/>
  <c r="AD372" i="1"/>
  <c r="AD819" i="1"/>
  <c r="AD3732" i="1"/>
  <c r="AD1410" i="1"/>
  <c r="AD3182" i="1"/>
  <c r="AD3579" i="1"/>
  <c r="AD810" i="1"/>
  <c r="AD2620" i="1"/>
  <c r="AD3080" i="1"/>
  <c r="AD1922" i="1"/>
  <c r="AD1329" i="1"/>
  <c r="AD3831" i="1"/>
  <c r="AD2190" i="1"/>
  <c r="AD1164" i="1"/>
  <c r="AD767" i="1"/>
  <c r="AD2529" i="1"/>
  <c r="AD2690" i="1"/>
  <c r="AD3919" i="1"/>
  <c r="AD3466" i="1"/>
  <c r="AD4046" i="1"/>
  <c r="AD3630" i="1"/>
  <c r="AD1615" i="1"/>
  <c r="AD2661" i="1"/>
  <c r="AD3369" i="1"/>
  <c r="AD1278" i="1"/>
  <c r="AD1366" i="1"/>
  <c r="AD1327" i="1"/>
  <c r="AD3397" i="1"/>
  <c r="AD1753" i="1"/>
  <c r="AD877" i="1"/>
  <c r="AD172" i="1"/>
  <c r="AD33" i="1"/>
  <c r="AD2812" i="1"/>
  <c r="AD1834" i="1"/>
  <c r="AD3218" i="1"/>
  <c r="AD1144" i="1"/>
  <c r="AD3036" i="1"/>
  <c r="AD1577" i="1"/>
  <c r="AD3263" i="1"/>
  <c r="AD1557" i="1"/>
  <c r="AD6" i="1"/>
  <c r="AD1891" i="1"/>
  <c r="AD1010" i="1"/>
  <c r="AD2644" i="1"/>
  <c r="AD1058" i="1"/>
  <c r="AD1534" i="1"/>
  <c r="AD4305" i="1"/>
  <c r="AD948" i="1"/>
  <c r="AD1449" i="1"/>
  <c r="AD2887" i="1"/>
  <c r="AD3390" i="1"/>
  <c r="AD3934" i="1"/>
  <c r="AD241" i="1"/>
  <c r="AD699" i="1"/>
  <c r="AD2874" i="1"/>
  <c r="AD3174" i="1"/>
  <c r="AD632" i="1"/>
  <c r="AD4013" i="1"/>
  <c r="AD4073" i="1"/>
  <c r="AD3136" i="1"/>
  <c r="AD2192" i="1"/>
  <c r="AD1428" i="1"/>
  <c r="AD3366" i="1"/>
  <c r="AD4513" i="1"/>
  <c r="AD2344" i="1"/>
  <c r="AD4477" i="1"/>
  <c r="AD803" i="1"/>
  <c r="AD393" i="1"/>
  <c r="AD1060" i="1"/>
  <c r="AD4065" i="1"/>
  <c r="AD2718" i="1"/>
  <c r="AD1271" i="1"/>
  <c r="AD1708" i="1"/>
  <c r="AD1983" i="1"/>
  <c r="AD1644" i="1"/>
  <c r="AD4236" i="1"/>
  <c r="AD1881" i="1"/>
  <c r="AD2369" i="1"/>
  <c r="AD3827" i="1"/>
  <c r="AD3738" i="1"/>
  <c r="AD1542" i="1"/>
  <c r="AD706" i="1"/>
  <c r="AD1115" i="1"/>
  <c r="AD2666" i="1"/>
  <c r="AD3559" i="1"/>
  <c r="AD3324" i="1"/>
  <c r="AD3868" i="1"/>
  <c r="AD2986" i="1"/>
  <c r="AD2290" i="1"/>
  <c r="AD823" i="1"/>
  <c r="AD536" i="1"/>
  <c r="AD324" i="1"/>
  <c r="AD4292" i="1"/>
  <c r="AD4116" i="1"/>
  <c r="AD1218" i="1"/>
  <c r="AD1787" i="1"/>
  <c r="AD1175" i="1"/>
  <c r="AD345" i="1"/>
  <c r="AD1013" i="1"/>
  <c r="AD2760" i="1"/>
  <c r="AD3870" i="1"/>
  <c r="AD2016" i="1"/>
  <c r="AD3587" i="1"/>
  <c r="AD412" i="1"/>
  <c r="AD1137" i="1"/>
  <c r="AD2077" i="1"/>
  <c r="AD3912" i="1"/>
  <c r="AD259" i="1"/>
  <c r="AD1232" i="1"/>
  <c r="AD11" i="1"/>
  <c r="AD1207" i="1"/>
  <c r="AD179" i="1"/>
  <c r="AD3533" i="1"/>
  <c r="AD961" i="1"/>
  <c r="AD3506" i="1"/>
  <c r="AD640" i="1"/>
  <c r="AD3655" i="1"/>
  <c r="AD1290" i="1"/>
  <c r="AD781" i="1"/>
  <c r="AD1229" i="1"/>
  <c r="AD1536" i="1"/>
  <c r="AD4054" i="1"/>
  <c r="AD3013" i="1"/>
  <c r="AD2144" i="1"/>
  <c r="AD1018" i="1"/>
  <c r="AD2961" i="1"/>
  <c r="AD4101" i="1"/>
  <c r="AD842" i="1"/>
  <c r="AD2824" i="1"/>
  <c r="AD2646" i="1"/>
  <c r="AD4299" i="1"/>
  <c r="AD458" i="1"/>
  <c r="AD3214" i="1"/>
  <c r="AD3262" i="1"/>
  <c r="AD1730" i="1"/>
  <c r="AD4412" i="1"/>
  <c r="AD1773" i="1"/>
  <c r="AD3132" i="1"/>
  <c r="AD1905" i="1"/>
  <c r="AD4482" i="1"/>
  <c r="AD1533" i="1"/>
  <c r="AD2329" i="1"/>
  <c r="AD4312" i="1"/>
  <c r="AD3970" i="1"/>
  <c r="AD3365" i="1"/>
  <c r="AD161" i="1"/>
  <c r="AD3702" i="1"/>
  <c r="AD2789" i="1"/>
  <c r="AD180" i="1"/>
  <c r="AD1007" i="1"/>
  <c r="AD2598" i="1"/>
  <c r="AD498" i="1"/>
  <c r="AD2479" i="1"/>
  <c r="AD353" i="1"/>
  <c r="AD1170" i="1"/>
  <c r="AD3219" i="1"/>
  <c r="AD3081" i="1"/>
  <c r="AD3210" i="1"/>
  <c r="AD2093" i="1"/>
  <c r="AD3009" i="1"/>
  <c r="AD3908" i="1"/>
  <c r="AD1543" i="1"/>
  <c r="AD2054" i="1"/>
  <c r="AD2465" i="1"/>
  <c r="AD58" i="1"/>
  <c r="AD381" i="1"/>
  <c r="AD552" i="1"/>
  <c r="AD191" i="1"/>
  <c r="AD1134" i="1"/>
  <c r="AD2340" i="1"/>
  <c r="AD4233" i="1"/>
  <c r="AD2895" i="1"/>
  <c r="AD1610" i="1"/>
  <c r="AD284" i="1"/>
  <c r="AD3769" i="1"/>
  <c r="AD482" i="1"/>
  <c r="AD2931" i="1"/>
  <c r="AD1325" i="1"/>
  <c r="AD4275" i="1"/>
  <c r="AD1589" i="1"/>
  <c r="AD1352" i="1"/>
  <c r="AD1870" i="1"/>
  <c r="AD919" i="1"/>
  <c r="AD304" i="1"/>
  <c r="AD3804" i="1"/>
  <c r="AD1079" i="1"/>
  <c r="AD517" i="1"/>
  <c r="AD210" i="1"/>
  <c r="AD547" i="1"/>
  <c r="AD1754" i="1"/>
  <c r="AD2733" i="1"/>
  <c r="AD1262" i="1"/>
  <c r="AD2776" i="1"/>
  <c r="AD1348" i="1"/>
  <c r="AD588" i="1"/>
  <c r="AD4546" i="1"/>
  <c r="AD3462" i="1"/>
  <c r="AD4177" i="1"/>
  <c r="AD158" i="1"/>
  <c r="AD3557" i="1"/>
  <c r="AD1270" i="1"/>
  <c r="AD1227" i="1"/>
  <c r="AD407" i="1"/>
  <c r="AD3836" i="1"/>
  <c r="AD1909" i="1"/>
  <c r="AD3035" i="1"/>
  <c r="AD3033" i="1"/>
  <c r="AD4251" i="1"/>
  <c r="AD2292" i="1"/>
  <c r="AD1824" i="1"/>
  <c r="AD1728" i="1"/>
  <c r="AD4183" i="1"/>
  <c r="AD3179" i="1"/>
  <c r="AD917" i="1"/>
  <c r="AD2105" i="1"/>
  <c r="AD2202" i="1"/>
  <c r="AD1318" i="1"/>
  <c r="AD562" i="1"/>
  <c r="AD928" i="1"/>
  <c r="AD4555" i="1"/>
  <c r="AD2409" i="1"/>
  <c r="AD2351" i="1"/>
  <c r="AD2502" i="1"/>
  <c r="AD556" i="1"/>
  <c r="AD1245" i="1"/>
  <c r="AD1750" i="1"/>
  <c r="AD2193" i="1"/>
  <c r="AD754" i="1"/>
  <c r="AD3069" i="1"/>
  <c r="AD1080" i="1"/>
  <c r="AD286" i="1"/>
  <c r="AD2623" i="1"/>
  <c r="AD3944" i="1"/>
  <c r="AD2995" i="1"/>
  <c r="AD3448" i="1"/>
  <c r="AD2716" i="1"/>
  <c r="AD2813" i="1"/>
  <c r="AD2731" i="1"/>
  <c r="AD3591" i="1"/>
  <c r="AD893" i="1"/>
  <c r="AD309" i="1"/>
  <c r="AD1394" i="1"/>
  <c r="AD1101" i="1"/>
  <c r="AD348" i="1"/>
  <c r="AD3527" i="1"/>
  <c r="AD3752" i="1"/>
  <c r="AD1387" i="1"/>
  <c r="AD4446" i="1"/>
  <c r="AD3429" i="1"/>
  <c r="AD638" i="1"/>
  <c r="AD3895" i="1"/>
  <c r="AD1650" i="1"/>
  <c r="AD1339" i="1"/>
  <c r="AD560" i="1"/>
  <c r="AD3278" i="1"/>
  <c r="AD970" i="1"/>
  <c r="AD2083" i="1"/>
  <c r="AD3203" i="1"/>
  <c r="AD3338" i="1"/>
  <c r="AD3266" i="1"/>
  <c r="AD2383" i="1"/>
  <c r="AD347" i="1"/>
  <c r="AD2605" i="1"/>
  <c r="AD939" i="1"/>
  <c r="AD615" i="1"/>
  <c r="AD2567" i="1"/>
  <c r="AD1369" i="1"/>
  <c r="AD3728" i="1"/>
  <c r="AD1220" i="1"/>
  <c r="AD222" i="1"/>
  <c r="AD639" i="1"/>
  <c r="AD4225" i="1"/>
  <c r="AD2019" i="1"/>
  <c r="AD1740" i="1"/>
  <c r="AD3064" i="1"/>
  <c r="AD2678" i="1"/>
  <c r="AD2080" i="1"/>
  <c r="AD2589" i="1"/>
  <c r="AD3818" i="1"/>
  <c r="AD1288" i="1"/>
  <c r="AD2036" i="1"/>
  <c r="AD1782" i="1"/>
  <c r="AD3455" i="1"/>
  <c r="AD2236" i="1"/>
  <c r="AD1873" i="1"/>
  <c r="AD1585" i="1"/>
  <c r="AD1334" i="1"/>
  <c r="AD300" i="1"/>
  <c r="AD618" i="1"/>
  <c r="AD311" i="1"/>
  <c r="AD2596" i="1"/>
  <c r="AD488" i="1"/>
  <c r="AD1094" i="1"/>
  <c r="AD1092" i="1"/>
  <c r="AD4343" i="1"/>
  <c r="AD4516" i="1"/>
  <c r="AD3109" i="1"/>
  <c r="AD1760" i="1"/>
  <c r="AD828" i="1"/>
  <c r="AD3680" i="1"/>
  <c r="AD1863" i="1"/>
  <c r="AD1918" i="1"/>
  <c r="AD4012" i="1"/>
  <c r="AD1999" i="1"/>
  <c r="AD3741" i="1"/>
  <c r="AD4490" i="1"/>
  <c r="AD2590" i="1"/>
  <c r="AD2129" i="1"/>
  <c r="AD1568" i="1"/>
  <c r="AD2533" i="1"/>
  <c r="AD3017" i="1"/>
  <c r="AD3163" i="1"/>
  <c r="AD4507" i="1"/>
  <c r="AD3638" i="1"/>
  <c r="AD3101" i="1"/>
  <c r="AD2263" i="1"/>
  <c r="AD579" i="1"/>
  <c r="AD2546" i="1"/>
  <c r="AD1694" i="1"/>
  <c r="AD1877" i="1"/>
  <c r="AD1049" i="1"/>
  <c r="AD465" i="1"/>
  <c r="AD1860" i="1"/>
  <c r="AD27" i="1"/>
  <c r="AD1810" i="1"/>
  <c r="AD3627" i="1"/>
  <c r="AD1669" i="1"/>
  <c r="AD2739" i="1"/>
  <c r="AD1467" i="1"/>
  <c r="AD337" i="1"/>
  <c r="AD3975" i="1"/>
  <c r="AD4552" i="1"/>
  <c r="AD149" i="1"/>
  <c r="AD2815" i="1"/>
  <c r="AD1244" i="1"/>
  <c r="AD2618" i="1"/>
  <c r="AD1545" i="1"/>
  <c r="AD212" i="1"/>
  <c r="AD610" i="1"/>
  <c r="AD3451" i="1"/>
  <c r="AD2348" i="1"/>
  <c r="AD3710" i="1"/>
  <c r="AD1562" i="1"/>
  <c r="AD374" i="1"/>
  <c r="AD1663" i="1"/>
  <c r="AD872" i="1"/>
  <c r="AD4162" i="1"/>
  <c r="AD3173" i="1"/>
  <c r="AD4172" i="1"/>
  <c r="AD1836" i="1"/>
  <c r="AD205" i="1"/>
  <c r="AD4255" i="1"/>
  <c r="AD4114" i="1"/>
  <c r="AD3563" i="1"/>
  <c r="AD1626" i="1"/>
  <c r="AD1084" i="1"/>
  <c r="AD772" i="1"/>
  <c r="AD3670" i="1"/>
  <c r="AD4044" i="1"/>
  <c r="AD3398" i="1"/>
  <c r="AD2415" i="1"/>
  <c r="AD4274" i="1"/>
  <c r="AD1604" i="1"/>
  <c r="AD1868" i="1"/>
  <c r="AD3413" i="1"/>
  <c r="AD3246" i="1"/>
  <c r="AD3622" i="1"/>
  <c r="AD4133" i="1"/>
  <c r="AD1192" i="1"/>
  <c r="AD294" i="1"/>
  <c r="AD48" i="1"/>
  <c r="AD519" i="1"/>
  <c r="AD2509" i="1"/>
  <c r="AD1230" i="1"/>
  <c r="AD3933" i="1"/>
  <c r="AD52" i="1"/>
  <c r="AD1608" i="1"/>
  <c r="AD2159" i="1"/>
  <c r="AD1794" i="1"/>
  <c r="AD3724" i="1"/>
  <c r="AD2140" i="1"/>
  <c r="AD4524" i="1"/>
  <c r="AD328" i="1"/>
  <c r="AD3100" i="1"/>
  <c r="AD3161" i="1"/>
  <c r="AD34" i="1"/>
  <c r="AD1541" i="1"/>
  <c r="AD302" i="1"/>
  <c r="AD516" i="1"/>
  <c r="AD2053" i="1"/>
  <c r="AD1037" i="1"/>
  <c r="AD1880" i="1"/>
  <c r="AD2852" i="1"/>
  <c r="AD1851" i="1"/>
  <c r="AD434" i="1"/>
  <c r="AD2751" i="1"/>
  <c r="AD741" i="1"/>
  <c r="AD1053" i="1"/>
  <c r="AD1772" i="1"/>
  <c r="AD3091" i="1"/>
  <c r="AD1947" i="1"/>
  <c r="AD1815" i="1"/>
  <c r="AD4083" i="1"/>
  <c r="AD4076" i="1"/>
  <c r="AD2808" i="1"/>
  <c r="AD829" i="1"/>
  <c r="AD1629" i="1"/>
  <c r="AD2037" i="1"/>
  <c r="AD3722" i="1"/>
  <c r="AD50" i="1"/>
  <c r="AD4106" i="1"/>
  <c r="AD1178" i="1"/>
  <c r="AD377" i="1"/>
  <c r="AD4494" i="1"/>
  <c r="AD1077" i="1"/>
  <c r="AD174" i="1"/>
  <c r="AD1261" i="1"/>
  <c r="AD3253" i="1"/>
  <c r="AD2389" i="1"/>
  <c r="AD3370" i="1"/>
  <c r="AD2324" i="1"/>
  <c r="AD2917" i="1"/>
  <c r="AD4179" i="1"/>
  <c r="AD4165" i="1"/>
  <c r="AD4431" i="1"/>
  <c r="AD1275" i="1"/>
  <c r="AD895" i="1"/>
  <c r="AD1228" i="1"/>
  <c r="AD59" i="1"/>
  <c r="AD477" i="1"/>
  <c r="AD4316" i="1"/>
  <c r="AD3041" i="1"/>
  <c r="AD472" i="1"/>
  <c r="AD3540" i="1"/>
  <c r="AD3629" i="1"/>
  <c r="AD1430" i="1"/>
  <c r="AD2455" i="1"/>
  <c r="AD2523" i="1"/>
  <c r="AD1057" i="1"/>
  <c r="AD2910" i="1"/>
  <c r="AD844" i="1"/>
  <c r="AD316" i="1"/>
  <c r="AD292" i="1"/>
  <c r="AD1655" i="1"/>
  <c r="AD1887" i="1"/>
  <c r="AD769" i="1"/>
  <c r="AD164" i="1"/>
  <c r="AD4018" i="1"/>
  <c r="AD3939" i="1"/>
  <c r="AD2807" i="1"/>
  <c r="AD1856" i="1"/>
  <c r="AD3335" i="1"/>
  <c r="AD269" i="1"/>
  <c r="AD3234" i="1"/>
  <c r="AD890" i="1"/>
  <c r="AD1622" i="1"/>
  <c r="AD578" i="1"/>
  <c r="AD2991" i="1"/>
  <c r="AD2797" i="1"/>
  <c r="AD239" i="1"/>
  <c r="AD2940" i="1"/>
  <c r="AD2121" i="1"/>
  <c r="AD4169" i="1"/>
  <c r="AD385" i="1"/>
  <c r="AD3971" i="1"/>
  <c r="AD264" i="1"/>
  <c r="AD1402" i="1"/>
  <c r="AD331" i="1"/>
  <c r="AD4492" i="1"/>
  <c r="AD3482" i="1"/>
  <c r="AD195" i="1"/>
  <c r="AD3898" i="1"/>
  <c r="AD2303" i="1"/>
  <c r="AD2046" i="1"/>
  <c r="AD404" i="1"/>
  <c r="AD387" i="1"/>
  <c r="AD3346" i="1"/>
  <c r="AD261" i="1"/>
  <c r="AD1737" i="1"/>
  <c r="AD3920" i="1"/>
  <c r="AD1425" i="1"/>
  <c r="AD2126" i="1"/>
  <c r="AD47" i="1"/>
  <c r="AD3706" i="1"/>
  <c r="AD4238" i="1"/>
  <c r="AD830" i="1"/>
  <c r="AD2222" i="1"/>
  <c r="AD321" i="1"/>
  <c r="AD1190" i="1"/>
  <c r="AD1935" i="1"/>
  <c r="AD2422" i="1"/>
  <c r="AD390" i="1"/>
  <c r="AD4483" i="1"/>
  <c r="AD2565" i="1"/>
  <c r="AD2937" i="1"/>
  <c r="AD2052" i="1"/>
  <c r="AD696" i="1"/>
  <c r="AD166" i="1"/>
  <c r="AD3504" i="1"/>
  <c r="AD189" i="1"/>
  <c r="AD2078" i="1"/>
  <c r="AD726" i="1"/>
  <c r="AD402" i="1"/>
  <c r="AD4047" i="1"/>
  <c r="AD3204" i="1"/>
  <c r="AD2823" i="1"/>
  <c r="AD2163" i="1"/>
  <c r="AD3884" i="1"/>
  <c r="AD957" i="1"/>
  <c r="AD2810" i="1"/>
  <c r="AD4032" i="1"/>
  <c r="AD1888" i="1"/>
  <c r="AD2336" i="1"/>
  <c r="AD1379" i="1"/>
  <c r="AD4231" i="1"/>
  <c r="AD3943" i="1"/>
  <c r="AD357" i="1"/>
  <c r="AD4389" i="1"/>
  <c r="AD3668" i="1"/>
  <c r="AD4184" i="1"/>
  <c r="AD4269" i="1"/>
  <c r="AD920" i="1"/>
  <c r="AD2532" i="1"/>
  <c r="AD242" i="1"/>
  <c r="AD1690" i="1"/>
  <c r="AD1371" i="1"/>
  <c r="AD3138" i="1"/>
  <c r="AD1252" i="1"/>
  <c r="AD3978" i="1"/>
  <c r="AD2857" i="1"/>
  <c r="AD1500" i="1"/>
  <c r="AD2958" i="1"/>
  <c r="AD3217" i="1"/>
  <c r="AD1926" i="1"/>
  <c r="AD1726" i="1"/>
  <c r="AD542" i="1"/>
  <c r="AD308" i="1"/>
  <c r="AD2449" i="1"/>
  <c r="AD2205" i="1"/>
  <c r="AD2194" i="1"/>
  <c r="AD4256" i="1"/>
  <c r="AD3640" i="1"/>
  <c r="AD3141" i="1"/>
  <c r="AD1433" i="1"/>
  <c r="AD2248" i="1"/>
  <c r="AD2249" i="1"/>
  <c r="AD4538" i="1"/>
  <c r="AD3002" i="1"/>
  <c r="AD3507" i="1"/>
  <c r="AD2332" i="1"/>
  <c r="AD3096" i="1"/>
  <c r="AD2871" i="1"/>
  <c r="AD2151" i="1"/>
  <c r="AD2627" i="1"/>
  <c r="AD715" i="1"/>
  <c r="AD1744" i="1"/>
  <c r="AD910" i="1"/>
  <c r="AD969" i="1"/>
  <c r="AD4359" i="1"/>
  <c r="AD1128" i="1"/>
  <c r="AD1588" i="1"/>
  <c r="AD481" i="1"/>
  <c r="AD339" i="1"/>
  <c r="AD1129" i="1"/>
  <c r="AD4295" i="1"/>
  <c r="AD5" i="1"/>
  <c r="AD710" i="1"/>
  <c r="AD268" i="1"/>
  <c r="AD3877" i="1"/>
  <c r="AD1743" i="1"/>
  <c r="AD2321" i="1"/>
  <c r="AD4433" i="1"/>
  <c r="AD1736" i="1"/>
  <c r="AD701" i="1"/>
  <c r="AD2477" i="1"/>
  <c r="AD2732" i="1"/>
  <c r="AD4249" i="1"/>
  <c r="AD1764" i="1"/>
  <c r="AD1792" i="1"/>
  <c r="AD3474" i="1"/>
  <c r="AD3348" i="1"/>
  <c r="AD3403" i="1"/>
  <c r="AD3888" i="1"/>
  <c r="AD3206" i="1"/>
  <c r="AD3913" i="1"/>
  <c r="AD2942" i="1"/>
  <c r="AD484" i="1"/>
  <c r="AD2251" i="1"/>
  <c r="AD3820" i="1"/>
  <c r="AD3623" i="1"/>
  <c r="AD3087" i="1"/>
  <c r="AD662" i="1"/>
  <c r="AD717" i="1"/>
  <c r="AD2467" i="1"/>
  <c r="AD2425" i="1"/>
  <c r="AD3018" i="1"/>
  <c r="AD4132" i="1"/>
  <c r="AD2299" i="1"/>
  <c r="AD655" i="1"/>
  <c r="AD2335" i="1"/>
  <c r="AD2619" i="1"/>
  <c r="AD3302" i="1"/>
  <c r="AD2008" i="1"/>
  <c r="AD2043" i="1"/>
  <c r="AD327" i="1"/>
  <c r="AD3959" i="1"/>
  <c r="AD1191" i="1"/>
  <c r="AD1884" i="1"/>
  <c r="AD1671" i="1"/>
  <c r="AD1550" i="1"/>
  <c r="AD1613" i="1"/>
  <c r="AD359" i="1"/>
  <c r="AD1807" i="1"/>
  <c r="AD1998" i="1"/>
  <c r="AD315" i="1"/>
  <c r="AD780" i="1"/>
  <c r="AD4442" i="1"/>
  <c r="AD4498" i="1"/>
  <c r="AD1599" i="1"/>
  <c r="AD4160" i="1"/>
  <c r="AD4113" i="1"/>
  <c r="AD3201" i="1"/>
  <c r="AD1890" i="1"/>
  <c r="AD3321" i="1"/>
  <c r="AD1473" i="1"/>
  <c r="AD989" i="1"/>
  <c r="AD814" i="1"/>
  <c r="AD2583" i="1"/>
  <c r="AD1459" i="1"/>
  <c r="AD1747" i="1"/>
  <c r="AD1120" i="1"/>
  <c r="AD3952" i="1"/>
  <c r="AD3727" i="1"/>
  <c r="AD3612" i="1"/>
  <c r="AD371" i="1"/>
  <c r="AD998" i="1"/>
  <c r="AD2196" i="1"/>
  <c r="AD2932" i="1"/>
  <c r="AD4288" i="1"/>
  <c r="AD4098" i="1"/>
  <c r="AD1330" i="1"/>
  <c r="AD2402" i="1"/>
  <c r="AD3699" i="1"/>
  <c r="AD55" i="1"/>
  <c r="AD616" i="1"/>
  <c r="AD2258" i="1"/>
  <c r="AD4096" i="1"/>
  <c r="AD1948" i="1"/>
  <c r="AD1246" i="1"/>
  <c r="AD1490" i="1"/>
  <c r="AD1157" i="1"/>
  <c r="AD2724" i="1"/>
  <c r="AD4448" i="1"/>
  <c r="AD908" i="1"/>
  <c r="AD2976" i="1"/>
  <c r="AD2770" i="1"/>
  <c r="AD4222" i="1"/>
  <c r="AD162" i="1"/>
  <c r="AD1455" i="1"/>
  <c r="AD2548" i="1"/>
  <c r="AD2636" i="1"/>
  <c r="AD4471" i="1"/>
  <c r="AD1160" i="1"/>
  <c r="AD410" i="1"/>
  <c r="AD3626" i="1"/>
  <c r="AD4465" i="1"/>
  <c r="AD2458" i="1"/>
  <c r="AD4115" i="1"/>
  <c r="AD4300" i="1"/>
  <c r="AD3576" i="1"/>
  <c r="AD846" i="1"/>
  <c r="AD1020" i="1"/>
  <c r="AD3131" i="1"/>
  <c r="AD1219" i="1"/>
  <c r="AD4489" i="1"/>
  <c r="AD624" i="1"/>
  <c r="AD2349" i="1"/>
  <c r="AD437" i="1"/>
  <c r="AD1649" i="1"/>
  <c r="AD921" i="1"/>
  <c r="AD1558" i="1"/>
  <c r="AD3457" i="1"/>
  <c r="AD4226" i="1"/>
  <c r="AD1274" i="1"/>
  <c r="AD2448" i="1"/>
  <c r="AD1350" i="1"/>
  <c r="AD1803" i="1"/>
  <c r="AD960" i="1"/>
  <c r="AD4326" i="1"/>
  <c r="AD4449" i="1"/>
  <c r="AD2454" i="1"/>
  <c r="AD3322" i="1"/>
  <c r="AD3494" i="1"/>
  <c r="AD817" i="1"/>
  <c r="AD84" i="1"/>
  <c r="AD3004" i="1"/>
  <c r="AD1688" i="1"/>
  <c r="AD1389" i="1"/>
  <c r="AD93" i="1"/>
  <c r="AD2689" i="1"/>
  <c r="AD2599" i="1"/>
  <c r="AD1724" i="1"/>
  <c r="AD1683" i="1"/>
  <c r="AD2355" i="1"/>
  <c r="AD952" i="1"/>
  <c r="AD2773" i="1"/>
  <c r="AD378" i="1"/>
  <c r="AD1849" i="1"/>
  <c r="AD2595" i="1"/>
  <c r="AD4510" i="1"/>
  <c r="AD3742" i="1"/>
  <c r="AD1657" i="1"/>
  <c r="AD826" i="1"/>
  <c r="AD2809" i="1"/>
  <c r="AD124" i="1"/>
  <c r="AD1273" i="1"/>
  <c r="AD1616" i="1"/>
  <c r="AD1208" i="1"/>
  <c r="AD1123" i="1"/>
  <c r="AD607" i="1"/>
  <c r="AD1641" i="1"/>
  <c r="AD2095" i="1"/>
  <c r="AD3805" i="1"/>
  <c r="AD967" i="1"/>
  <c r="AD508" i="1"/>
  <c r="AD1766" i="1"/>
  <c r="AD4420" i="1"/>
  <c r="AD4168" i="1"/>
  <c r="AD496" i="1"/>
  <c r="AD1768" i="1"/>
  <c r="AD3059" i="1"/>
  <c r="AD3485" i="1"/>
  <c r="AD3270" i="1"/>
  <c r="AD2274" i="1"/>
  <c r="AD403" i="1"/>
  <c r="AD1324" i="1"/>
  <c r="AD87" i="1"/>
  <c r="AD3841" i="1"/>
  <c r="AD1413" i="1"/>
  <c r="AD3344" i="1"/>
  <c r="AD1380" i="1"/>
  <c r="AD3606" i="1"/>
  <c r="AD3962" i="1"/>
  <c r="AD4019" i="1"/>
  <c r="AD4022" i="1"/>
  <c r="AD2117" i="1"/>
  <c r="AD415" i="1"/>
  <c r="AD1517" i="1"/>
  <c r="AD362" i="1"/>
  <c r="AD109" i="1"/>
  <c r="AD1119" i="1"/>
  <c r="AD3873" i="1"/>
  <c r="AD2811" i="1"/>
  <c r="AD2898" i="1"/>
  <c r="AD4526" i="1"/>
  <c r="AD4464" i="1"/>
  <c r="AD1549" i="1"/>
  <c r="AD421" i="1"/>
  <c r="AD39" i="1"/>
  <c r="AD1586" i="1"/>
  <c r="AD2374" i="1"/>
  <c r="AD4360" i="1"/>
  <c r="AD1632" i="1"/>
  <c r="AD1445" i="1"/>
  <c r="AD950" i="1"/>
  <c r="AD1162" i="1"/>
  <c r="AD2408" i="1"/>
  <c r="AD3892" i="1"/>
  <c r="AD2310" i="1"/>
  <c r="AD922" i="1"/>
  <c r="AD2676" i="1"/>
  <c r="AD2416" i="1"/>
  <c r="AD1859" i="1"/>
  <c r="AD3137" i="1"/>
  <c r="AD2677" i="1"/>
  <c r="AD1847" i="1"/>
  <c r="AD3768" i="1"/>
  <c r="AD2586" i="1"/>
  <c r="AD4454" i="1"/>
  <c r="AD867" i="1"/>
  <c r="AD3184" i="1"/>
  <c r="AD1139" i="1"/>
  <c r="AD1419" i="1"/>
  <c r="AD2933" i="1"/>
  <c r="AD94" i="1"/>
  <c r="AD1596" i="1"/>
  <c r="AD3019" i="1"/>
  <c r="AD4410" i="1"/>
  <c r="AD1907" i="1"/>
  <c r="AD3917" i="1"/>
  <c r="AD1774" i="1"/>
  <c r="AD685" i="1"/>
  <c r="AD2663" i="1"/>
  <c r="AD2040" i="1"/>
  <c r="AD295" i="1"/>
  <c r="AD1440" i="1"/>
  <c r="AD4170" i="1"/>
  <c r="AD956" i="1"/>
  <c r="AD2067" i="1"/>
  <c r="AD558" i="1"/>
  <c r="AD207" i="1"/>
  <c r="AD115" i="1"/>
  <c r="AD4158" i="1"/>
  <c r="AD1306" i="1"/>
  <c r="AD3772" i="1"/>
  <c r="AD4137" i="1"/>
  <c r="AD1945" i="1"/>
  <c r="AD564" i="1"/>
  <c r="AD1981" i="1"/>
  <c r="AD2176" i="1"/>
  <c r="AD2150" i="1"/>
  <c r="AD737" i="1"/>
  <c r="AD1756" i="1"/>
  <c r="AD651" i="1"/>
  <c r="AD1113" i="1"/>
  <c r="AD2149" i="1"/>
  <c r="AD1034" i="1"/>
  <c r="AD1130" i="1"/>
  <c r="AD602" i="1"/>
  <c r="AD3207" i="1"/>
  <c r="AD3124" i="1"/>
  <c r="AD2971" i="1"/>
  <c r="AD1163" i="1"/>
  <c r="AD2498" i="1"/>
  <c r="AD460" i="1"/>
  <c r="AD2266" i="1"/>
  <c r="AD4515" i="1"/>
  <c r="AD3935" i="1"/>
  <c r="AD1825" i="1"/>
  <c r="AD3960" i="1"/>
  <c r="AD1481" i="1"/>
  <c r="AD1709" i="1"/>
  <c r="AD3108" i="1"/>
  <c r="AD1093" i="1"/>
  <c r="AD4074" i="1"/>
  <c r="AD1466" i="1"/>
  <c r="AD4434" i="1"/>
  <c r="AD4548" i="1"/>
  <c r="AD783" i="1"/>
  <c r="AD764" i="1"/>
  <c r="AD1940" i="1"/>
  <c r="AD92" i="1"/>
  <c r="AD882" i="1"/>
  <c r="AD2855" i="1"/>
  <c r="AD3792" i="1"/>
  <c r="AD3781" i="1"/>
  <c r="AD755" i="1"/>
  <c r="AD2849" i="1"/>
  <c r="AD4213" i="1"/>
  <c r="AD2198" i="1"/>
  <c r="AD2166" i="1"/>
  <c r="AD2474" i="1"/>
  <c r="AD702" i="1"/>
  <c r="AD137" i="1"/>
  <c r="AD1312" i="1"/>
  <c r="AD1349" i="1"/>
  <c r="AD2253" i="1"/>
  <c r="AD3327" i="1"/>
  <c r="AD2288" i="1"/>
  <c r="AD184" i="1"/>
  <c r="AD1572" i="1"/>
  <c r="AD2404" i="1"/>
  <c r="AD1634" i="1"/>
  <c r="AD4517" i="1"/>
  <c r="AD4005" i="1"/>
  <c r="AD1051" i="1"/>
  <c r="AD3070" i="1"/>
  <c r="AD3443" i="1"/>
  <c r="AD1624" i="1"/>
  <c r="AD2777" i="1"/>
  <c r="AD2486" i="1"/>
  <c r="AD3277" i="1"/>
  <c r="AD1556" i="1"/>
  <c r="AD3428" i="1"/>
  <c r="AD2384" i="1"/>
  <c r="AD1498" i="1"/>
  <c r="AD3800" i="1"/>
  <c r="AD966" i="1"/>
  <c r="AD2443" i="1"/>
  <c r="AD3152" i="1"/>
  <c r="AD395" i="1"/>
  <c r="AD3677" i="1"/>
  <c r="AD1033" i="1"/>
  <c r="AD649" i="1"/>
  <c r="AD1331" i="1"/>
  <c r="AD2167" i="1"/>
  <c r="AD2191" i="1"/>
  <c r="AD1951" i="1"/>
  <c r="AD3111" i="1"/>
  <c r="AD3334" i="1"/>
  <c r="AD4551" i="1"/>
  <c r="AD1054" i="1"/>
  <c r="AD2075" i="1"/>
  <c r="AD1109" i="1"/>
  <c r="AD1820" i="1"/>
  <c r="AD3167" i="1"/>
  <c r="AD2215" i="1"/>
  <c r="AD2073" i="1"/>
  <c r="AD3360" i="1"/>
  <c r="AD2305" i="1"/>
  <c r="AD2007" i="1"/>
  <c r="AD244" i="1"/>
  <c r="AD3812" i="1"/>
  <c r="AD1855" i="1"/>
  <c r="AD573" i="1"/>
  <c r="AD4347" i="1"/>
  <c r="AD469" i="1"/>
  <c r="AD2103" i="1"/>
  <c r="AD1814" i="1"/>
  <c r="AD1913" i="1"/>
  <c r="AD4079" i="1"/>
  <c r="AD3761" i="1"/>
  <c r="AD2604" i="1"/>
  <c r="AD1344" i="1"/>
  <c r="AD356" i="1"/>
  <c r="AD4496" i="1"/>
  <c r="AD1117" i="1"/>
  <c r="AD2551" i="1"/>
  <c r="AD182" i="1"/>
  <c r="AD3142" i="1"/>
  <c r="AD2459" i="1"/>
  <c r="AD3296" i="1"/>
  <c r="AD784" i="1"/>
  <c r="AD2391" i="1"/>
  <c r="AD834" i="1"/>
  <c r="AD3129" i="1"/>
  <c r="AD1483" i="1"/>
  <c r="AD3440" i="1"/>
  <c r="AD4291" i="1"/>
  <c r="AD3618" i="1"/>
  <c r="AD2629" i="1"/>
  <c r="AD3255" i="1"/>
  <c r="AD4175" i="1"/>
  <c r="AD366" i="1"/>
  <c r="AD3826" i="1"/>
  <c r="AD2638" i="1"/>
  <c r="AD523" i="1"/>
  <c r="AD504" i="1"/>
  <c r="AD3926" i="1"/>
  <c r="AD13" i="1"/>
  <c r="AD1361" i="1"/>
  <c r="AD2827" i="1"/>
  <c r="AD3178" i="1"/>
  <c r="AD3684" i="1"/>
  <c r="AD2217" i="1"/>
  <c r="AD509" i="1"/>
  <c r="AD2302" i="1"/>
  <c r="AD4328" i="1"/>
  <c r="AD506" i="1"/>
  <c r="AD3600" i="1"/>
  <c r="AD2525" i="1"/>
  <c r="AD707" i="1"/>
  <c r="AD942" i="1"/>
  <c r="AD963" i="1"/>
  <c r="AD4107" i="1"/>
  <c r="AD992" i="1"/>
  <c r="AD3796" i="1"/>
  <c r="AD85" i="1"/>
  <c r="AD2833" i="1"/>
  <c r="AD4549" i="1"/>
  <c r="AD2652" i="1"/>
  <c r="AD1758" i="1"/>
  <c r="AD1943" i="1"/>
  <c r="AD4514" i="1"/>
  <c r="AD2574" i="1"/>
  <c r="AD897" i="1"/>
  <c r="AD1004" i="1"/>
  <c r="AD1799" i="1"/>
  <c r="AD2639" i="1"/>
  <c r="AD2728" i="1"/>
  <c r="AD2181" i="1"/>
  <c r="AD1026" i="1"/>
  <c r="AD1826" i="1"/>
  <c r="AD705" i="1"/>
  <c r="AD3227" i="1"/>
  <c r="AD2780" i="1"/>
  <c r="AD1631" i="1"/>
  <c r="AD2657" i="1"/>
  <c r="AD609" i="1"/>
  <c r="AD288" i="1"/>
  <c r="AD2365" i="1"/>
  <c r="AD1544" i="1"/>
  <c r="AD2097" i="1"/>
  <c r="AD2006" i="1"/>
  <c r="AD3942" i="1"/>
  <c r="AD16" i="1"/>
  <c r="AD2490" i="1"/>
  <c r="AD4191" i="1"/>
  <c r="AD1165" i="1"/>
  <c r="AD3785" i="1"/>
  <c r="AD3552" i="1"/>
  <c r="AD1087" i="1"/>
  <c r="AD3354" i="1"/>
  <c r="AD4303" i="1"/>
  <c r="AD4337" i="1"/>
  <c r="AD1176" i="1"/>
  <c r="AD4099" i="1"/>
  <c r="AD3588" i="1"/>
  <c r="AD1072" i="1"/>
  <c r="AD1039" i="1"/>
  <c r="AD3513" i="1"/>
  <c r="AD2559" i="1"/>
  <c r="AD1846" i="1"/>
  <c r="AD2524" i="1"/>
  <c r="AD1914" i="1"/>
  <c r="AD91" i="1"/>
  <c r="AD2655" i="1"/>
  <c r="AD3632" i="1"/>
  <c r="AD3577" i="1"/>
  <c r="AD3949" i="1"/>
  <c r="AD1116" i="1"/>
  <c r="AD3331" i="1"/>
  <c r="AD2241" i="1"/>
  <c r="AD360" i="1"/>
  <c r="AD2228" i="1"/>
  <c r="AD3529" i="1"/>
  <c r="AD766" i="1"/>
  <c r="AD718" i="1"/>
  <c r="AD2183" i="1"/>
  <c r="AD1385" i="1"/>
  <c r="AD1848" i="1"/>
  <c r="AD2143" i="1"/>
  <c r="AD3055" i="1"/>
  <c r="AD297" i="1"/>
  <c r="AD1662" i="1"/>
  <c r="AD4497" i="1"/>
  <c r="AD3074" i="1"/>
  <c r="AD2843" i="1"/>
  <c r="AD4351" i="1"/>
  <c r="AD4043" i="1"/>
  <c r="AD3003" i="1"/>
  <c r="AD861" i="1"/>
  <c r="AD4033" i="1"/>
  <c r="AD53" i="1"/>
  <c r="AD299" i="1"/>
  <c r="AD2671" i="1"/>
  <c r="AD2436" i="1"/>
  <c r="AD4242" i="1"/>
  <c r="AD1138" i="1"/>
  <c r="AD2360" i="1"/>
  <c r="AD1609" i="1"/>
  <c r="AD431" i="1"/>
  <c r="AD3171" i="1"/>
  <c r="AD2673" i="1"/>
  <c r="AD927" i="1"/>
  <c r="AD354" i="1"/>
  <c r="AD10" i="1"/>
  <c r="AD3910" i="1"/>
  <c r="AD3394" i="1"/>
  <c r="AD782" i="1"/>
  <c r="AD4209" i="1"/>
  <c r="AD3528" i="1"/>
  <c r="AD1854" i="1"/>
  <c r="AD974" i="1"/>
  <c r="AD1201" i="1"/>
  <c r="AD3067" i="1"/>
  <c r="AD1937" i="1"/>
  <c r="AD4219" i="1"/>
  <c r="AD1841" i="1"/>
  <c r="AD4239" i="1"/>
  <c r="AD1090" i="1"/>
  <c r="AD3396" i="1"/>
  <c r="AD677" i="1"/>
  <c r="AD3480" i="1"/>
  <c r="AD505" i="1"/>
  <c r="AD3756" i="1"/>
  <c r="AD2413" i="1"/>
  <c r="AD4480" i="1"/>
  <c r="AD1957" i="1"/>
  <c r="AD4379" i="1"/>
  <c r="AD633" i="1"/>
  <c r="AD537" i="1"/>
  <c r="AD626" i="1"/>
  <c r="AD670" i="1"/>
  <c r="AD3441" i="1"/>
  <c r="AD1635" i="1"/>
  <c r="AD2845" i="1"/>
  <c r="AD1502" i="1"/>
  <c r="AD3472" i="1"/>
  <c r="AD1272" i="1"/>
  <c r="AD2291" i="1"/>
  <c r="AD1081" i="1"/>
  <c r="AD3691" i="1"/>
  <c r="AD4479" i="1"/>
  <c r="AD2014" i="1"/>
  <c r="AD851" i="1"/>
  <c r="AD2213" i="1"/>
  <c r="AD2957" i="1"/>
  <c r="AD2507" i="1"/>
  <c r="AD1493" i="1"/>
  <c r="AD1713" i="1"/>
  <c r="AD3242" i="1"/>
  <c r="AD3633" i="1"/>
  <c r="AD768" i="1"/>
  <c r="AD923" i="1"/>
  <c r="AD1255" i="1"/>
  <c r="AD4066" i="1"/>
  <c r="AD1746" i="1"/>
  <c r="AD262" i="1"/>
  <c r="AD2450" i="1"/>
  <c r="AD1100" i="1"/>
  <c r="AD1838" i="1"/>
  <c r="AD1968" i="1"/>
  <c r="AD280" i="1"/>
  <c r="AD3427" i="1"/>
  <c r="AD4472" i="1"/>
  <c r="AD4146" i="1"/>
  <c r="AD3393" i="1"/>
  <c r="AD4338" i="1"/>
  <c r="AD2" i="1"/>
  <c r="AD1720" i="1"/>
  <c r="AD2884" i="1"/>
  <c r="AD2435" i="1"/>
  <c r="AD388" i="1"/>
  <c r="AD968" i="1"/>
  <c r="AD3599" i="1"/>
  <c r="AD3550" i="1"/>
  <c r="AD4188" i="1"/>
  <c r="AD3426" i="1"/>
  <c r="AD1776" i="1"/>
  <c r="AD518" i="1"/>
  <c r="AD1095" i="1"/>
  <c r="AD3816" i="1"/>
  <c r="AD3526" i="1"/>
  <c r="AD1817" i="1"/>
  <c r="AD3419" i="1"/>
  <c r="AD1735" i="1"/>
  <c r="AD3517" i="1"/>
  <c r="AD1277" i="1"/>
  <c r="AD117" i="1"/>
  <c r="AD17" i="1"/>
  <c r="AD2988" i="1"/>
  <c r="AD4190" i="1"/>
  <c r="AD3312" i="1"/>
  <c r="AD1501" i="1"/>
  <c r="AD3422" i="1"/>
  <c r="AD4241" i="1"/>
  <c r="AD3656" i="1"/>
  <c r="AD2142" i="1"/>
  <c r="AD99" i="1"/>
  <c r="AD3153" i="1"/>
  <c r="AD4323" i="1"/>
  <c r="AD857" i="1"/>
  <c r="AD474" i="1"/>
  <c r="AD4475" i="1"/>
  <c r="AD606" i="1"/>
  <c r="AD914" i="1"/>
  <c r="AD274" i="1"/>
  <c r="AD136" i="1"/>
  <c r="AD4008" i="1"/>
  <c r="AD2630" i="1"/>
  <c r="AD2856" i="1"/>
  <c r="AD3212" i="1"/>
  <c r="AD3329" i="1"/>
  <c r="AD1518" i="1"/>
  <c r="AD60" i="1"/>
  <c r="AD338" i="1"/>
  <c r="AD1328" i="1"/>
  <c r="AD3213" i="1"/>
  <c r="AD907" i="1"/>
  <c r="AD383" i="1"/>
  <c r="AD1206" i="1"/>
  <c r="AD2431" i="1"/>
  <c r="AD2984" i="1"/>
  <c r="AD2034" i="1"/>
  <c r="AD2376" i="1"/>
  <c r="AD3269" i="1"/>
  <c r="AD2233" i="1"/>
  <c r="AD664" i="1"/>
  <c r="AD2089" i="1"/>
  <c r="AD1438" i="1"/>
  <c r="AD4284" i="1"/>
  <c r="AD903" i="1"/>
  <c r="AD2277" i="1"/>
  <c r="AD1183" i="1"/>
  <c r="AD278" i="1"/>
  <c r="AD2936" i="1"/>
  <c r="AD1996" i="1"/>
  <c r="AD4221" i="1"/>
  <c r="AD535" i="1"/>
  <c r="AD1118" i="1"/>
  <c r="AD3720" i="1"/>
  <c r="AD1956" i="1"/>
  <c r="AD2799" i="1"/>
  <c r="AD2899" i="1"/>
  <c r="AD228" i="1"/>
  <c r="AD1864" i="1"/>
  <c r="AD3988" i="1"/>
  <c r="AD2074" i="1"/>
  <c r="AD4029" i="1"/>
  <c r="AD2284" i="1"/>
  <c r="AD1970" i="1"/>
  <c r="AD2759" i="1"/>
  <c r="AD3407" i="1"/>
  <c r="AD2508" i="1"/>
  <c r="AD3823" i="1"/>
  <c r="AD2060" i="1"/>
  <c r="AD1575" i="1"/>
  <c r="AD2945" i="1"/>
  <c r="AD3911" i="1"/>
  <c r="AD539" i="1"/>
  <c r="AD534" i="1"/>
  <c r="AD3980" i="1"/>
  <c r="AD2499" i="1"/>
  <c r="AD2864" i="1"/>
  <c r="AD2581" i="1"/>
  <c r="AD3701" i="1"/>
  <c r="AD225" i="1"/>
  <c r="AD2712" i="1"/>
  <c r="AD3669" i="1"/>
  <c r="AD985" i="1"/>
  <c r="AD1527" i="1"/>
  <c r="AD822" i="1"/>
  <c r="AD2410" i="1"/>
  <c r="AD567" i="1"/>
  <c r="AD3531" i="1"/>
  <c r="AD4204" i="1"/>
  <c r="AD881" i="1"/>
  <c r="AD2547" i="1"/>
  <c r="AD2694" i="1"/>
  <c r="AD2878" i="1"/>
  <c r="AD1479" i="1"/>
  <c r="AD4058" i="1"/>
  <c r="AD3584" i="1"/>
  <c r="AD3551" i="1"/>
  <c r="AD3924" i="1"/>
  <c r="AD2784" i="1"/>
  <c r="AD3857" i="1"/>
  <c r="AD1699" i="1"/>
  <c r="AD2168" i="1"/>
  <c r="AD3160" i="1"/>
  <c r="AD3117" i="1"/>
  <c r="AD2879" i="1"/>
  <c r="AD2153" i="1"/>
  <c r="AD2104" i="1"/>
  <c r="AD3850" i="1"/>
  <c r="AD3208" i="1"/>
  <c r="AD3825" i="1"/>
  <c r="AD1146" i="1"/>
  <c r="AD993" i="1"/>
  <c r="AD1486" i="1"/>
  <c r="AD4154" i="1"/>
  <c r="AD86" i="1"/>
  <c r="AD303" i="1"/>
  <c r="AD1830" i="1"/>
  <c r="AD2380" i="1"/>
  <c r="AD2301" i="1"/>
  <c r="AD2660" i="1"/>
  <c r="AD809" i="1"/>
  <c r="AD644" i="1"/>
  <c r="AD3586" i="1"/>
  <c r="AD3053" i="1"/>
  <c r="AD2617" i="1"/>
  <c r="AD3620" i="1"/>
  <c r="AD2650" i="1"/>
  <c r="AD2012" i="1"/>
  <c r="AD2091" i="1"/>
  <c r="AD533" i="1"/>
  <c r="AD1169" i="1"/>
  <c r="AD28" i="1"/>
  <c r="AD3176" i="1"/>
  <c r="AD585" i="1"/>
  <c r="AD3248" i="1"/>
  <c r="AD1407" i="1"/>
  <c r="AD2035" i="1"/>
  <c r="AD2033" i="1"/>
  <c r="AD1561" i="1"/>
  <c r="AD2729" i="1"/>
  <c r="AD673" i="1"/>
  <c r="AD2356" i="1"/>
  <c r="AD4460" i="1"/>
  <c r="AD2579" i="1"/>
  <c r="AD4540" i="1"/>
  <c r="AD2609" i="1"/>
  <c r="AD2434" i="1"/>
  <c r="AD720" i="1"/>
  <c r="AD15" i="1"/>
  <c r="AD2283" i="1"/>
  <c r="AD3433" i="1"/>
  <c r="AD2260" i="1"/>
  <c r="AD1417" i="1"/>
  <c r="AD1345" i="1"/>
  <c r="AD3250" i="1"/>
  <c r="AD3048" i="1"/>
  <c r="AD1323" i="1"/>
  <c r="AD3989" i="1"/>
  <c r="AD3273" i="1"/>
  <c r="AD1734" i="1"/>
  <c r="AD3226" i="1"/>
  <c r="AD159" i="1"/>
  <c r="AD247" i="1"/>
  <c r="AD392" i="1"/>
  <c r="AD2720" i="1"/>
  <c r="AD765" i="1"/>
  <c r="AD14" i="1"/>
  <c r="AD3049" i="1"/>
  <c r="AD230" i="1"/>
  <c r="AD56" i="1"/>
  <c r="AD97" i="1"/>
  <c r="AD943" i="1"/>
  <c r="AD2697" i="1"/>
  <c r="AD1437" i="1"/>
  <c r="AD1268" i="1"/>
  <c r="AD3075" i="1"/>
  <c r="AD4392" i="1"/>
  <c r="AD4354" i="1"/>
  <c r="AD652" i="1"/>
  <c r="AD1367" i="1"/>
  <c r="AD700" i="1"/>
  <c r="AD2231" i="1"/>
  <c r="AD3855" i="1"/>
  <c r="AD3085" i="1"/>
  <c r="AD4159" i="1"/>
  <c r="AD2319" i="1"/>
  <c r="AD4334" i="1"/>
  <c r="AD1347" i="1"/>
  <c r="AD3664" i="1"/>
  <c r="AD1038" i="1"/>
  <c r="AD3196" i="1"/>
  <c r="AD3983" i="1"/>
  <c r="AD1452" i="1"/>
  <c r="AD1161" i="1"/>
  <c r="AD319" i="1"/>
  <c r="AD4182" i="1"/>
  <c r="AD4349" i="1"/>
  <c r="AD1643" i="1"/>
  <c r="AD3801" i="1"/>
  <c r="AD2918" i="1"/>
  <c r="AD1147" i="1"/>
  <c r="AD1682" i="1"/>
  <c r="AD3251" i="1"/>
  <c r="AD4335" i="1"/>
  <c r="AD1135" i="1"/>
  <c r="AD2710" i="1"/>
  <c r="AD2398" i="1"/>
  <c r="AD4280" i="1"/>
  <c r="AD1692" i="1"/>
  <c r="AD3687" i="1"/>
  <c r="AD3068" i="1"/>
  <c r="AD150" i="1"/>
  <c r="AD1798" i="1"/>
  <c r="AD4152" i="1"/>
  <c r="AD2929" i="1"/>
  <c r="AD4386" i="1"/>
  <c r="AD2330" i="1"/>
  <c r="AD2462" i="1"/>
  <c r="AD3098" i="1"/>
  <c r="AD3373" i="1"/>
  <c r="AD3125" i="1"/>
  <c r="AD2564" i="1"/>
  <c r="AD1642" i="1"/>
  <c r="AD3432" i="1"/>
  <c r="AD627" i="1"/>
  <c r="AD1925" i="1"/>
  <c r="AD314" i="1"/>
  <c r="AD1573" i="1"/>
  <c r="AD1739" i="1"/>
  <c r="AD2492" i="1"/>
  <c r="AD690" i="1"/>
  <c r="AD1110" i="1"/>
  <c r="AD4048" i="1"/>
  <c r="AD4203" i="1"/>
  <c r="AD936" i="1"/>
  <c r="AD79" i="1"/>
  <c r="AD869" i="1"/>
  <c r="AD3609" i="1"/>
  <c r="AD221" i="1"/>
  <c r="AD4140" i="1"/>
  <c r="AD1031" i="1"/>
  <c r="AD2939" i="1"/>
  <c r="AD1829" i="1"/>
  <c r="AD1353" i="1"/>
  <c r="AD2909" i="1"/>
  <c r="AD544" i="1"/>
  <c r="AD2289" i="1"/>
  <c r="AD1040" i="1"/>
  <c r="AD4456" i="1"/>
  <c r="AD3672" i="1"/>
  <c r="AD1189" i="1"/>
  <c r="AD1497" i="1"/>
  <c r="AD1359" i="1"/>
  <c r="AD1606" i="1"/>
  <c r="AD4459" i="1"/>
  <c r="AD4075" i="1"/>
  <c r="AD3159" i="1"/>
  <c r="AD418" i="1"/>
  <c r="AD3230" i="1"/>
  <c r="AD2297" i="1"/>
  <c r="AD1234" i="1"/>
  <c r="AD911" i="1"/>
  <c r="AD4406" i="1"/>
  <c r="AD4" i="1"/>
  <c r="AD3520" i="1"/>
  <c r="AD4495" i="1"/>
  <c r="AD4425" i="1"/>
  <c r="AD704" i="1"/>
  <c r="AD78" i="1"/>
  <c r="AD1448" i="1"/>
  <c r="AD4408" i="1"/>
  <c r="AD152" i="1"/>
  <c r="AD4202" i="1"/>
  <c r="AD3175" i="1"/>
  <c r="AD1514" i="1"/>
  <c r="AD177" i="1"/>
  <c r="AD604" i="1"/>
  <c r="AD1003" i="1"/>
  <c r="AD43" i="1"/>
  <c r="AD2990" i="1"/>
  <c r="AD1612" i="1"/>
  <c r="AD2240" i="1"/>
  <c r="AD4340" i="1"/>
  <c r="AD1365" i="1"/>
  <c r="AD587" i="1"/>
  <c r="AD3541" i="1"/>
  <c r="AD3984" i="1"/>
  <c r="AD3364" i="1"/>
  <c r="AD4100" i="1"/>
  <c r="AD2082" i="1"/>
  <c r="AD899" i="1"/>
  <c r="AD2280" i="1"/>
  <c r="AD3431" i="1"/>
  <c r="AD4122" i="1"/>
  <c r="AD317" i="1"/>
  <c r="AD590" i="1"/>
  <c r="AD236" i="1"/>
  <c r="AD2276" i="1"/>
  <c r="AD2665" i="1"/>
  <c r="AD1780" i="1"/>
  <c r="AD1749" i="1"/>
  <c r="AD1050" i="1"/>
  <c r="AD3522" i="1"/>
  <c r="AD3567" i="1"/>
  <c r="AD1725" i="1"/>
  <c r="AD2968" i="1"/>
  <c r="AD4064" i="1"/>
  <c r="AD250" i="1"/>
  <c r="AD3721" i="1"/>
  <c r="AD1469" i="1"/>
  <c r="AD2846" i="1"/>
  <c r="AD142" i="1"/>
  <c r="AD440" i="1"/>
  <c r="AD2980" i="1"/>
  <c r="AD1296" i="1"/>
  <c r="AD4149" i="1"/>
  <c r="AD3065" i="1"/>
  <c r="AD2786" i="1"/>
  <c r="AD1852" i="1"/>
  <c r="AD1136" i="1"/>
  <c r="AD3386" i="1"/>
  <c r="AD2947" i="1"/>
  <c r="AD1121" i="1"/>
  <c r="AD2510" i="1"/>
  <c r="AD3862" i="1"/>
  <c r="AD3454" i="1"/>
  <c r="AD526" i="1"/>
  <c r="AD4049" i="1"/>
  <c r="AD1991" i="1"/>
  <c r="AD4061" i="1"/>
  <c r="AD2682" i="1"/>
  <c r="AD1574" i="1"/>
  <c r="AD3385" i="1"/>
  <c r="AD419" i="1"/>
  <c r="AD812" i="1"/>
  <c r="AD836" i="1"/>
  <c r="AD4027" i="1"/>
  <c r="AD589" i="1"/>
  <c r="AD698" i="1"/>
  <c r="AD3887" i="1"/>
  <c r="AD4330" i="1"/>
  <c r="AD1921" i="1"/>
  <c r="AD3663" i="1"/>
  <c r="AD909" i="1"/>
  <c r="AD4015" i="1"/>
  <c r="AD2641" i="1"/>
  <c r="AD1869" i="1"/>
  <c r="AD3965" i="1"/>
  <c r="AD3050" i="1"/>
  <c r="AD938" i="1"/>
  <c r="AD2512" i="1"/>
  <c r="AD2401" i="1"/>
  <c r="AD2709" i="1"/>
  <c r="AD4439" i="1"/>
  <c r="AD825" i="1"/>
  <c r="AD1321" i="1"/>
  <c r="AD35" i="1"/>
  <c r="AD554" i="1"/>
  <c r="AD3867" i="1"/>
  <c r="AD2888" i="1"/>
  <c r="AD1902" i="1"/>
  <c r="AD2090" i="1"/>
  <c r="AD3814" i="1"/>
  <c r="AD730" i="1"/>
  <c r="AD1177" i="1"/>
  <c r="AD3516" i="1"/>
  <c r="AD2270" i="1"/>
  <c r="AD310" i="1"/>
  <c r="AD3215" i="1"/>
  <c r="AD4095" i="1"/>
  <c r="AD2267" i="1"/>
  <c r="AD711" i="1"/>
  <c r="AD3556" i="1"/>
  <c r="AD1788" i="1"/>
  <c r="AD4187" i="1"/>
  <c r="AD2901" i="1"/>
  <c r="AD2741" i="1"/>
  <c r="AD3086" i="1"/>
  <c r="AD583" i="1"/>
  <c r="AD806" i="1"/>
  <c r="AD3465" i="1"/>
  <c r="AD2031" i="1"/>
  <c r="AD2699" i="1"/>
  <c r="AD1377" i="1"/>
  <c r="AD1597" i="1"/>
  <c r="AD598" i="1"/>
  <c r="AD3954" i="1"/>
  <c r="AD1677" i="1"/>
  <c r="AD1159" i="1"/>
  <c r="AD4427" i="1"/>
  <c r="AD1195" i="1"/>
  <c r="AD4488" i="1"/>
  <c r="AD3880" i="1"/>
  <c r="AD4181" i="1"/>
  <c r="AD4040" i="1"/>
  <c r="AD2696" i="1"/>
  <c r="AD2229" i="1"/>
  <c r="AD4345" i="1"/>
  <c r="AD1896" i="1"/>
  <c r="AD2828" i="1"/>
  <c r="AD835" i="1"/>
  <c r="AD3653" i="1"/>
  <c r="AD3928" i="1"/>
  <c r="AD375" i="1"/>
  <c r="AD298" i="1"/>
  <c r="AD667" i="1"/>
  <c r="AD3356" i="1"/>
  <c r="AD574" i="1"/>
  <c r="AD2252" i="1"/>
  <c r="AD1235" i="1"/>
  <c r="AD4053" i="1"/>
  <c r="AD2188" i="1"/>
  <c r="AD2814" i="1"/>
  <c r="AD3715" i="1"/>
  <c r="AD2836" i="1"/>
  <c r="AD3232" i="1"/>
  <c r="AD291" i="1"/>
  <c r="AD490" i="1"/>
  <c r="AD2081" i="1"/>
  <c r="AD1703" i="1"/>
  <c r="AD2743" i="1"/>
  <c r="AD4402" i="1"/>
  <c r="AD3666" i="1"/>
  <c r="AD820" i="1"/>
  <c r="AD2018" i="1"/>
  <c r="AD645" i="1"/>
  <c r="AD4283" i="1"/>
  <c r="AD3686" i="1"/>
  <c r="AD1716" i="1"/>
  <c r="AD4336" i="1"/>
  <c r="AD799" i="1"/>
  <c r="AD1992" i="1"/>
  <c r="AD4378" i="1"/>
  <c r="AD3918" i="1"/>
  <c r="AD3367" i="1"/>
  <c r="AD1427" i="1"/>
  <c r="AD2538" i="1"/>
  <c r="AD2497" i="1"/>
  <c r="AD4534" i="1"/>
  <c r="AD3023" i="1"/>
  <c r="AD3381" i="1"/>
  <c r="AD4002" i="1"/>
  <c r="AD2793" i="1"/>
  <c r="AD2195" i="1"/>
  <c r="AD1816" i="1"/>
  <c r="AD1564" i="1"/>
  <c r="AD3031" i="1"/>
  <c r="AD2127" i="1"/>
  <c r="AD3225" i="1"/>
  <c r="AD1861" i="1"/>
  <c r="AD36" i="1"/>
  <c r="AD2511" i="1"/>
  <c r="AD3829" i="1"/>
  <c r="AD2725" i="1"/>
  <c r="AD202" i="1"/>
  <c r="AD981" i="1"/>
  <c r="AD369" i="1"/>
  <c r="AD1061" i="1"/>
  <c r="AD3025" i="1"/>
  <c r="AD4309" i="1"/>
  <c r="AD2675" i="1"/>
  <c r="AD4036" i="1"/>
  <c r="AD714" i="1"/>
  <c r="AD2405" i="1"/>
  <c r="AD1771" i="1"/>
  <c r="AD592" i="1"/>
  <c r="AD2209" i="1"/>
  <c r="AD1156" i="1"/>
  <c r="AD972" i="1"/>
  <c r="AD2020" i="1"/>
  <c r="AD2626" i="1"/>
  <c r="AD4205" i="1"/>
  <c r="AD4232" i="1"/>
  <c r="AD3316" i="1"/>
  <c r="AD3090" i="1"/>
  <c r="AD2169" i="1"/>
  <c r="AD2999" i="1"/>
  <c r="AD1373" i="1"/>
  <c r="AD3020" i="1"/>
  <c r="AD3572" i="1"/>
  <c r="AD3784" i="1"/>
  <c r="AD3678" i="1"/>
  <c r="AD2602" i="1"/>
  <c r="AD3555" i="1"/>
  <c r="AD4196" i="1"/>
  <c r="AD147" i="1"/>
  <c r="AD3282" i="1"/>
  <c r="AD2527" i="1"/>
  <c r="AD2840" i="1"/>
  <c r="AD597" i="1"/>
  <c r="AD538" i="1"/>
  <c r="AD4501" i="1"/>
  <c r="AD3116" i="1"/>
  <c r="AD4383" i="1"/>
  <c r="AD954" i="1"/>
  <c r="AD2004" i="1"/>
  <c r="AD1872" i="1"/>
  <c r="AD3447" i="1"/>
  <c r="AD653" i="1"/>
  <c r="AD1919" i="1"/>
  <c r="AD4452" i="1"/>
  <c r="AD3859" i="1"/>
  <c r="AD947" i="1"/>
  <c r="AD454" i="1"/>
  <c r="AD2350" i="1"/>
  <c r="AD2087" i="1"/>
  <c r="AD282" i="1"/>
  <c r="AD4104" i="1"/>
  <c r="AD1654" i="1"/>
  <c r="AD3500" i="1"/>
  <c r="AD3357" i="1"/>
  <c r="AD453" i="1"/>
  <c r="AD682" i="1"/>
  <c r="AD3936" i="1"/>
  <c r="AD3681" i="1"/>
  <c r="AD850" i="1"/>
  <c r="AD2309" i="1"/>
  <c r="AD3473" i="1"/>
  <c r="AD4458" i="1"/>
  <c r="AD1311" i="1"/>
  <c r="AD2378" i="1"/>
  <c r="AD2688" i="1"/>
  <c r="AD2396" i="1"/>
  <c r="AD3388" i="1"/>
  <c r="AD3774" i="1"/>
  <c r="AD1974" i="1"/>
  <c r="AD2680" i="1"/>
  <c r="AD120" i="1"/>
  <c r="AD3478" i="1"/>
  <c r="AD3379" i="1"/>
  <c r="AD2870" i="1"/>
  <c r="AD2873" i="1"/>
  <c r="AD4037" i="1"/>
  <c r="AD898" i="1"/>
  <c r="AD3660" i="1"/>
  <c r="AD1675" i="1"/>
  <c r="AD4087" i="1"/>
  <c r="AD279" i="1"/>
  <c r="AD1614" i="1"/>
  <c r="AD2096" i="1"/>
  <c r="AD3047" i="1"/>
  <c r="AD273" i="1"/>
  <c r="AD1808" i="1"/>
  <c r="AD3636" i="1"/>
  <c r="AD1835" i="1"/>
  <c r="AD215" i="1"/>
  <c r="AD831" i="1"/>
  <c r="AD3383" i="1"/>
  <c r="AD2488" i="1"/>
  <c r="AD4397" i="1"/>
  <c r="AD368" i="1"/>
  <c r="AD843" i="1"/>
  <c r="AD471" i="1"/>
  <c r="AD1978" i="1"/>
  <c r="AD394" i="1"/>
  <c r="AD326" i="1"/>
  <c r="AD2587" i="1"/>
  <c r="AD2230" i="1"/>
  <c r="AD1316" i="1"/>
  <c r="AD4530" i="1"/>
  <c r="AD2735" i="1"/>
  <c r="AD1538" i="1"/>
  <c r="AD3001" i="1"/>
  <c r="AD3420" i="1"/>
  <c r="AD1660" i="1"/>
  <c r="AD2568" i="1"/>
  <c r="AD4468" i="1"/>
  <c r="AD3391" i="1"/>
  <c r="AD3409" i="1"/>
  <c r="AD572" i="1"/>
  <c r="AD141" i="1"/>
  <c r="AD4060" i="1"/>
  <c r="AD2800" i="1"/>
  <c r="AD973" i="1"/>
  <c r="AD1293" i="1"/>
  <c r="AD4450" i="1"/>
  <c r="AD492" i="1"/>
  <c r="AD3275" i="1"/>
  <c r="AD940" i="1"/>
  <c r="AD1806" i="1"/>
  <c r="AD4415" i="1"/>
  <c r="AD183" i="1"/>
  <c r="AD1822" i="1"/>
  <c r="AD4167" i="1"/>
  <c r="AD1315" i="1"/>
  <c r="AD594" i="1"/>
  <c r="AD2737" i="1"/>
  <c r="AD999" i="1"/>
  <c r="AD1001" i="1"/>
  <c r="AD3257" i="1"/>
  <c r="AD4130" i="1"/>
  <c r="AD3693" i="1"/>
  <c r="AD1966" i="1"/>
  <c r="AD4031" i="1"/>
  <c r="AD3146" i="1"/>
  <c r="AD1397" i="1"/>
  <c r="AD3134" i="1"/>
  <c r="AD980" i="1"/>
  <c r="AD4094" i="1"/>
  <c r="AD3645" i="1"/>
  <c r="AD1424" i="1"/>
  <c r="AD1687" i="1"/>
  <c r="AD1406" i="1"/>
  <c r="AD2179" i="1"/>
  <c r="AD146" i="1"/>
  <c r="AD729" i="1"/>
  <c r="AD1555" i="1"/>
  <c r="AD3536" i="1"/>
  <c r="AD3073" i="1"/>
  <c r="AD2372" i="1"/>
  <c r="AD792" i="1"/>
  <c r="AD1532" i="1"/>
  <c r="AD4270" i="1"/>
  <c r="AD949" i="1"/>
  <c r="AD1783" i="1"/>
  <c r="AD849" i="1"/>
  <c r="AD1969" i="1"/>
  <c r="AD3489" i="1"/>
  <c r="AD1866" i="1"/>
  <c r="AD1993" i="1"/>
  <c r="AD4117" i="1"/>
  <c r="AD4103" i="1"/>
  <c r="AD4153" i="1"/>
  <c r="AD1949" i="1"/>
  <c r="AD1082" i="1"/>
  <c r="AD1595" i="1"/>
  <c r="AD1987" i="1"/>
  <c r="AD384" i="1"/>
  <c r="AD2764" i="1"/>
  <c r="AD929" i="1"/>
  <c r="AD3845" i="1"/>
  <c r="AD3417" i="1"/>
  <c r="AD4533" i="1"/>
  <c r="AD4557" i="1"/>
  <c r="AD2560" i="1"/>
  <c r="AD2064" i="1"/>
  <c r="AD654" i="1"/>
  <c r="AD424" i="1"/>
  <c r="AD691" i="1"/>
  <c r="AD3713" i="1"/>
  <c r="AD2334" i="1"/>
  <c r="AD370" i="1"/>
  <c r="AD1226" i="1"/>
  <c r="AD3878" i="1"/>
  <c r="AD1011" i="1"/>
  <c r="AD1460" i="1"/>
  <c r="AD4329" i="1"/>
  <c r="AD4120" i="1"/>
  <c r="AD2580" i="1"/>
  <c r="AD3292" i="1"/>
  <c r="AD118" i="1"/>
  <c r="AD411" i="1"/>
  <c r="AD3436" i="1"/>
  <c r="AD2070" i="1"/>
  <c r="AD2189" i="1"/>
  <c r="AD425" i="1"/>
  <c r="AD748" i="1"/>
  <c r="AD4377" i="1"/>
  <c r="AD3491" i="1"/>
  <c r="AD931" i="1"/>
  <c r="AD1566" i="1"/>
  <c r="AD3544" i="1"/>
  <c r="AD1482" i="1"/>
  <c r="AD351" i="1"/>
  <c r="AD2084" i="1"/>
  <c r="AD1029" i="1"/>
  <c r="AD4028" i="1"/>
  <c r="AD1374" i="1"/>
  <c r="AD2616" i="1"/>
  <c r="AD2317" i="1"/>
  <c r="AD4112" i="1"/>
  <c r="AD971" i="1"/>
  <c r="AD3993" i="1"/>
  <c r="AD916" i="1"/>
  <c r="AD2333" i="1"/>
  <c r="AD1088" i="1"/>
  <c r="AD1008" i="1"/>
  <c r="AD1132" i="1"/>
  <c r="AD3294" i="1"/>
  <c r="AD4207" i="1"/>
  <c r="AD728" i="1"/>
  <c r="AD1516" i="1"/>
  <c r="AD4045" i="1"/>
  <c r="AD420" i="1"/>
  <c r="AD4200" i="1"/>
  <c r="AD1451" i="1"/>
  <c r="AD2111" i="1"/>
  <c r="AD3341" i="1"/>
  <c r="AD4123" i="1"/>
  <c r="AD786" i="1"/>
  <c r="AD570" i="1"/>
  <c r="AD2247" i="1"/>
  <c r="AD1529" i="1"/>
  <c r="AD1126" i="1"/>
  <c r="AD4404" i="1"/>
  <c r="AD2658" i="1"/>
  <c r="AD3133" i="1"/>
  <c r="AD320" i="1"/>
  <c r="AD3342" i="1"/>
  <c r="AD4282" i="1"/>
  <c r="AD252" i="1"/>
  <c r="AD2702" i="1"/>
  <c r="AD2695" i="1"/>
  <c r="AD106" i="1"/>
  <c r="AD2485" i="1"/>
  <c r="AD1209" i="1"/>
  <c r="AD2457" i="1"/>
  <c r="AD2200" i="1"/>
  <c r="AD2519" i="1"/>
  <c r="AD4163" i="1"/>
  <c r="AD3162" i="1"/>
  <c r="AD4322" i="1"/>
  <c r="AD1988" i="1"/>
  <c r="AD4206" i="1"/>
  <c r="AD3976" i="1"/>
  <c r="AD904" i="1"/>
  <c r="AD2501" i="1"/>
  <c r="AD3022" i="1"/>
  <c r="AD1025" i="1"/>
  <c r="AD3748" i="1"/>
  <c r="AD1563" i="1"/>
  <c r="AD798" i="1"/>
  <c r="AD1066" i="1"/>
  <c r="AD2513" i="1"/>
  <c r="AD346" i="1"/>
  <c r="AD1906" i="1"/>
  <c r="AD4246" i="1"/>
  <c r="AD709" i="1"/>
  <c r="AD637" i="1"/>
  <c r="AD582" i="1"/>
  <c r="AD3797" i="1"/>
  <c r="AD2877" i="1"/>
  <c r="AD2379" i="1"/>
  <c r="AD4306" i="1"/>
  <c r="AD4382" i="1"/>
  <c r="AD364" i="1"/>
  <c r="AD342" i="1"/>
  <c r="AD559" i="1"/>
  <c r="AD2900" i="1"/>
  <c r="AD2591" i="1"/>
  <c r="AD576" i="1"/>
  <c r="AD8" i="1"/>
  <c r="AD4333" i="1"/>
  <c r="AD2612" i="1"/>
  <c r="AD2442" i="1"/>
  <c r="AD1269" i="1"/>
  <c r="AD3220" i="1"/>
  <c r="AD807" i="1"/>
  <c r="AD2518" i="1"/>
  <c r="AD3332" i="1"/>
  <c r="AD2160" i="1"/>
  <c r="AD4157" i="1"/>
  <c r="AD3945" i="1"/>
  <c r="AD2588" i="1"/>
  <c r="AD276" i="1"/>
  <c r="AD1198" i="1"/>
  <c r="AD96" i="1"/>
  <c r="AD3580" i="1"/>
  <c r="AD1923" i="1"/>
  <c r="AD2428" i="1"/>
  <c r="AD1362" i="1"/>
  <c r="AD1475" i="1"/>
  <c r="AD1142" i="1"/>
  <c r="AD2478" i="1"/>
  <c r="AD1241" i="1"/>
  <c r="AD3532" i="1"/>
  <c r="AD4297" i="1"/>
  <c r="AD3071" i="1"/>
  <c r="AD1858" i="1"/>
  <c r="AD2985" i="1"/>
  <c r="AD464" i="1"/>
  <c r="AD3518" i="1"/>
  <c r="AD1802" i="1"/>
  <c r="AD1487" i="1"/>
  <c r="AD1294" i="1"/>
  <c r="AD1450" i="1"/>
  <c r="AD4102" i="1"/>
  <c r="AD617" i="1"/>
  <c r="AD365" i="1"/>
  <c r="AD4111" i="1"/>
  <c r="AD3973" i="1"/>
  <c r="AD1565" i="1"/>
  <c r="AD1871" i="1"/>
  <c r="AD1827" i="1"/>
  <c r="AD2573" i="1"/>
  <c r="AD2155" i="1"/>
  <c r="AD1096" i="1"/>
  <c r="AD3521" i="1"/>
  <c r="AD1963" i="1"/>
  <c r="AD2698" i="1"/>
  <c r="AD3310" i="1"/>
  <c r="AD4324" i="1"/>
  <c r="AD3963" i="1"/>
  <c r="AD2819" i="1"/>
  <c r="AD3999" i="1"/>
  <c r="AD4215" i="1"/>
  <c r="AD296" i="1"/>
  <c r="AD3145" i="1"/>
  <c r="AD3731" i="1"/>
  <c r="AD3646" i="1"/>
  <c r="AD1434" i="1"/>
  <c r="AD2377" i="1"/>
  <c r="AD1423" i="1"/>
  <c r="AD306" i="1"/>
  <c r="AD3115" i="1"/>
  <c r="AD2572" i="1"/>
  <c r="AD1242" i="1"/>
  <c r="AD1174" i="1"/>
  <c r="AD3849" i="1"/>
  <c r="AD2825" i="1"/>
  <c r="AD657" i="1"/>
  <c r="AD2265" i="1"/>
  <c r="AD1333" i="1"/>
  <c r="AD3488" i="1"/>
  <c r="AD1468" i="1"/>
  <c r="AD4041" i="1"/>
  <c r="AD2818" i="1"/>
  <c r="AD880" i="1"/>
  <c r="AD4228" i="1"/>
  <c r="AD2022" i="1"/>
  <c r="AD3866" i="1"/>
  <c r="AD2186" i="1"/>
  <c r="AD1439" i="1"/>
  <c r="AD1111" i="1"/>
  <c r="AD2353" i="1"/>
  <c r="AD2201" i="1"/>
  <c r="AD4198" i="1"/>
  <c r="AD3667" i="1"/>
  <c r="AD2753" i="1"/>
  <c r="AD37" i="1"/>
  <c r="AD3782" i="1"/>
  <c r="AD4487" i="1"/>
  <c r="AD713" i="1"/>
  <c r="AD4108" i="1"/>
  <c r="AD608" i="1"/>
  <c r="AD636" i="1"/>
  <c r="AD3755" i="1"/>
  <c r="AD4321" i="1"/>
  <c r="AD2134" i="1"/>
  <c r="AD4128" i="1"/>
  <c r="AD3421" i="1"/>
  <c r="AD3361" i="1"/>
  <c r="AD3605" i="1"/>
  <c r="AD1247" i="1"/>
  <c r="AD628" i="1"/>
  <c r="AD1210" i="1"/>
  <c r="AD3775" i="1"/>
  <c r="AD111" i="1"/>
  <c r="AD4223" i="1"/>
  <c r="AD3188" i="1"/>
  <c r="AD1933" i="1"/>
  <c r="AD2951" i="1"/>
  <c r="AD4428" i="1"/>
  <c r="AD1672" i="1"/>
  <c r="AD3615" i="1"/>
  <c r="AD2769" i="1"/>
  <c r="AD958" i="1"/>
  <c r="AD3676" i="1"/>
  <c r="AD1950" i="1"/>
  <c r="AD2432" i="1"/>
  <c r="AD1237" i="1"/>
  <c r="AD837" i="1"/>
  <c r="AD2362" i="1"/>
  <c r="AD3505" i="1"/>
  <c r="AD447" i="1"/>
  <c r="AD4081" i="1"/>
  <c r="AD4486" i="1"/>
  <c r="AD427" i="1"/>
  <c r="AD511" i="1"/>
  <c r="AD789" i="1"/>
  <c r="AD2058" i="1"/>
  <c r="AD4503" i="1"/>
  <c r="AD2948" i="1"/>
  <c r="AD200" i="1"/>
  <c r="AD4523" i="1"/>
  <c r="AD4339" i="1"/>
  <c r="AD1155" i="1"/>
  <c r="AD3881" i="1"/>
  <c r="AD1959" i="1"/>
  <c r="AD3128" i="1"/>
  <c r="AD1857" i="1"/>
  <c r="AD1474" i="1"/>
  <c r="AD1009" i="1"/>
  <c r="AD2578" i="1"/>
  <c r="AD2482" i="1"/>
  <c r="AD3458" i="1"/>
  <c r="AD2346" i="1"/>
  <c r="AD4038" i="1"/>
  <c r="AD4056" i="1"/>
  <c r="AD1625" i="1"/>
  <c r="AD3837" i="1"/>
  <c r="AD2480" i="1"/>
  <c r="AD1522" i="1"/>
  <c r="AD4156" i="1"/>
  <c r="AD4271" i="1"/>
  <c r="AD1382" i="1"/>
  <c r="AD1898" i="1"/>
  <c r="AD4143" i="1"/>
  <c r="AD3323" i="1"/>
  <c r="AD2254" i="1"/>
  <c r="AD428" i="1"/>
  <c r="AD1418" i="1"/>
  <c r="AD103" i="1"/>
  <c r="AD3838" i="1"/>
  <c r="AD4126" i="1"/>
  <c r="AD3813" i="1"/>
  <c r="AD3000" i="1"/>
  <c r="AD3661" i="1"/>
  <c r="AD3927" i="1"/>
  <c r="AD689" i="1"/>
  <c r="AD1048" i="1"/>
  <c r="AD2318" i="1"/>
  <c r="AD1284" i="1"/>
  <c r="AD2141" i="1"/>
  <c r="AD199" i="1"/>
  <c r="AD3400" i="1"/>
  <c r="AD3744" i="1"/>
  <c r="AD932" i="1"/>
  <c r="AD2992" i="1"/>
  <c r="AD1619" i="1"/>
  <c r="AD3683" i="1"/>
  <c r="AD4016" i="1"/>
  <c r="AD1091" i="1"/>
  <c r="AD4547" i="1"/>
  <c r="AD2505" i="1"/>
  <c r="AD658" i="1"/>
  <c r="AD2603" i="1"/>
  <c r="AD3040" i="1"/>
  <c r="AD3015" i="1"/>
  <c r="AD355" i="1"/>
  <c r="AD329" i="1"/>
  <c r="AD2726" i="1"/>
  <c r="AD3191" i="1"/>
  <c r="AD1256" i="1"/>
  <c r="AD1086" i="1"/>
  <c r="AD100" i="1"/>
  <c r="AD2643" i="1"/>
  <c r="AD2476" i="1"/>
  <c r="AD1551" i="1"/>
  <c r="AD3113" i="1"/>
  <c r="AD3765" i="1"/>
  <c r="AD3594" i="1"/>
  <c r="AD2998" i="1"/>
  <c r="AD1457" i="1"/>
  <c r="AD3290" i="1"/>
  <c r="AD753" i="1"/>
  <c r="AD4407" i="1"/>
  <c r="AD756" i="1"/>
  <c r="AD912" i="1"/>
  <c r="AD2056" i="1"/>
  <c r="AD3525" i="1"/>
  <c r="AD350" i="1"/>
  <c r="AD3549" i="1"/>
  <c r="AD2801" i="1"/>
  <c r="AD4364" i="1"/>
  <c r="AD1233" i="1"/>
  <c r="AD1917" i="1"/>
  <c r="AD3183" i="1"/>
  <c r="AD2235" i="1"/>
  <c r="AD3189" i="1"/>
  <c r="AD1960" i="1"/>
  <c r="AD231" i="1"/>
  <c r="AD1684" i="1"/>
  <c r="AD3172" i="1"/>
  <c r="AD21" i="1"/>
  <c r="AD2256" i="1"/>
  <c r="AD1240" i="1"/>
  <c r="AD406" i="1"/>
  <c r="AD1733" i="1"/>
  <c r="AD2026" i="1"/>
  <c r="AD2954" i="1"/>
  <c r="AD4134" i="1"/>
  <c r="AD2427" i="1"/>
  <c r="AD3030" i="1"/>
  <c r="AD2137" i="1"/>
  <c r="AD1850" i="1"/>
  <c r="AD2703" i="1"/>
  <c r="AD3229" i="1"/>
  <c r="AD4367" i="1"/>
  <c r="AD1225" i="1"/>
  <c r="AD2102" i="1"/>
  <c r="AD2032" i="1"/>
  <c r="AD708" i="1"/>
  <c r="AD1908" i="1"/>
  <c r="AD975" i="1"/>
  <c r="AD3264" i="1"/>
  <c r="AD502" i="1"/>
  <c r="AD3553" i="1"/>
  <c r="AD3148" i="1"/>
  <c r="AD3861" i="1"/>
  <c r="AD4550" i="1"/>
  <c r="AD2225" i="1"/>
  <c r="AD1844" i="1"/>
  <c r="AD66" i="1"/>
  <c r="AD3598" i="1"/>
  <c r="AD2778" i="1"/>
  <c r="AD1722" i="1"/>
  <c r="AD1105" i="1"/>
  <c r="AD2966" i="1"/>
  <c r="AD414" i="1"/>
  <c r="AD2556" i="1"/>
  <c r="AD548" i="1"/>
  <c r="AD891" i="1"/>
  <c r="AD1980" i="1"/>
  <c r="AD3088" i="1"/>
  <c r="AD389" i="1"/>
  <c r="AD884" i="1"/>
  <c r="AD140" i="1"/>
  <c r="AD2331" i="1"/>
  <c r="AD1879" i="1"/>
  <c r="AD2916" i="1"/>
  <c r="AD1205" i="1"/>
  <c r="AD1674" i="1"/>
  <c r="AD1911" i="1"/>
  <c r="AD1285" i="1"/>
  <c r="AD2701" i="1"/>
  <c r="AD1696" i="1"/>
  <c r="AD4092" i="1"/>
  <c r="AD988" i="1"/>
  <c r="AD4444" i="1"/>
  <c r="AD4353" i="1"/>
  <c r="AD732" i="1"/>
  <c r="AD4262" i="1"/>
  <c r="AD257" i="1"/>
  <c r="AD3121" i="1"/>
  <c r="AD3328" i="1"/>
  <c r="AD2364" i="1"/>
  <c r="AD2132" i="1"/>
  <c r="AD173" i="1"/>
  <c r="AD2424" i="1"/>
  <c r="AD2711" i="1"/>
  <c r="AD1693" i="1"/>
  <c r="AD4006" i="1"/>
  <c r="AD2842" i="1"/>
  <c r="AD4399" i="1"/>
  <c r="AD3021" i="1"/>
  <c r="AD226" i="1"/>
  <c r="AD193" i="1"/>
  <c r="AD2522" i="1"/>
  <c r="AD840" i="1"/>
  <c r="AD1505" i="1"/>
  <c r="AD3122" i="1"/>
  <c r="AD568" i="1"/>
  <c r="AD4469" i="1"/>
  <c r="AD3291" i="1"/>
  <c r="AD1098" i="1"/>
  <c r="AD2744" i="1"/>
  <c r="AD1495" i="1"/>
  <c r="AD4541" i="1"/>
  <c r="AD3937" i="1"/>
  <c r="AD2745" i="1"/>
  <c r="AD2343" i="1"/>
  <c r="AD4325" i="1"/>
  <c r="AD2956" i="1"/>
  <c r="AD2341" i="1"/>
  <c r="AD507" i="1"/>
  <c r="AD24" i="1"/>
  <c r="AD3168" i="1"/>
  <c r="AD4173" i="1"/>
  <c r="AD1804" i="1"/>
  <c r="AD771" i="1"/>
  <c r="AD2345" i="1"/>
  <c r="AD4393" i="1"/>
  <c r="AD3703" i="1"/>
  <c r="AD2293" i="1"/>
  <c r="AD2772" i="1"/>
  <c r="AD2977" i="1"/>
  <c r="AD3779" i="1"/>
  <c r="AD2138" i="1"/>
  <c r="AD160" i="1"/>
  <c r="AD3038" i="1"/>
  <c r="AD4258" i="1"/>
  <c r="AD2313" i="1"/>
  <c r="AD4180" i="1"/>
  <c r="AD2178" i="1"/>
  <c r="AD3424" i="1"/>
  <c r="AD3719" i="1"/>
  <c r="AD3197" i="1"/>
  <c r="AD1731" i="1"/>
  <c r="AD1986" i="1"/>
  <c r="AD725" i="1"/>
  <c r="AD1422" i="1"/>
  <c r="AD3281" i="1"/>
  <c r="AD1372" i="1"/>
  <c r="AD2684" i="1"/>
  <c r="AD2610" i="1"/>
  <c r="AD2429" i="1"/>
  <c r="AD1883" i="1"/>
  <c r="AD2721" i="1"/>
  <c r="AD1097" i="1"/>
  <c r="AD1216" i="1"/>
  <c r="AD110" i="1"/>
  <c r="AD2839" i="1"/>
  <c r="AD4307" i="1"/>
  <c r="AD51" i="1"/>
  <c r="AD804" i="1"/>
  <c r="AD551" i="1"/>
  <c r="AD4145" i="1"/>
  <c r="AD265" i="1"/>
  <c r="AD2469" i="1"/>
  <c r="AD4125" i="1"/>
  <c r="AD2221" i="1"/>
  <c r="AD3378" i="1"/>
  <c r="AD3412" i="1"/>
  <c r="AD2237" i="1"/>
  <c r="AD2136" i="1"/>
  <c r="AD3597" i="1"/>
  <c r="AD4224" i="1"/>
  <c r="AD1601" i="1"/>
  <c r="AD188" i="1"/>
  <c r="AD3967" i="1"/>
  <c r="AD995" i="1"/>
  <c r="AD2905" i="1"/>
  <c r="AD3450" i="1"/>
  <c r="AD3223" i="1"/>
  <c r="AD4371" i="1"/>
  <c r="AD266" i="1"/>
  <c r="AD832" i="1"/>
  <c r="AD2554" i="1"/>
  <c r="AD3997" i="1"/>
  <c r="AD3352" i="1"/>
  <c r="AD2210" i="1"/>
  <c r="AD1989" i="1"/>
  <c r="AD1299" i="1"/>
  <c r="AD1260" i="1"/>
  <c r="AD3252" i="1"/>
  <c r="AD2359" i="1"/>
  <c r="AD133" i="1"/>
  <c r="AD3817" i="1"/>
  <c r="AD4313" i="1"/>
  <c r="AD2154" i="1"/>
  <c r="AD2320" i="1"/>
  <c r="AD569" i="1"/>
  <c r="AD1729" i="1"/>
  <c r="AD1554" i="1"/>
  <c r="AD3560" i="1"/>
  <c r="AD525" i="1"/>
  <c r="AD2805" i="1"/>
  <c r="AD4478" i="1"/>
  <c r="AD1972" i="1"/>
  <c r="AD4556" i="1"/>
  <c r="AD2439" i="1"/>
  <c r="AD1578" i="1"/>
  <c r="AD4388" i="1"/>
  <c r="AD1064" i="1"/>
  <c r="AD650" i="1"/>
  <c r="AD1894" i="1"/>
  <c r="AD3300" i="1"/>
  <c r="AD2285" i="1"/>
  <c r="AD4254" i="1"/>
  <c r="AD2755" i="1"/>
  <c r="AD3673" i="1"/>
  <c r="AD3847" i="1"/>
  <c r="AD1188" i="1"/>
  <c r="AD3907" i="1"/>
  <c r="AD3469" i="1"/>
  <c r="AD1166" i="1"/>
  <c r="AD1767" i="1"/>
  <c r="AD2239" i="1"/>
  <c r="AD3045" i="1"/>
  <c r="AD2055" i="1"/>
  <c r="AD4176" i="1"/>
  <c r="AD3155" i="1"/>
  <c r="AD3399" i="1"/>
  <c r="AD1979" i="1"/>
  <c r="AD1994" i="1"/>
  <c r="AD675" i="1"/>
  <c r="AD3118" i="1"/>
  <c r="AD3642" i="1"/>
  <c r="AD1429" i="1"/>
  <c r="AD4089" i="1"/>
  <c r="AD1645" i="1"/>
  <c r="AD2271" i="1"/>
  <c r="AD2555" i="1"/>
  <c r="AD4396" i="1"/>
  <c r="AD550" i="1"/>
  <c r="AD1681" i="1"/>
  <c r="AD1462" i="1"/>
  <c r="AD3437" i="1"/>
  <c r="AD2493" i="1"/>
  <c r="AD3753" i="1"/>
  <c r="AD4432" i="1"/>
  <c r="AD2859" i="1"/>
  <c r="AD1304" i="1"/>
  <c r="AD1889" i="1"/>
  <c r="AD1882" i="1"/>
  <c r="AD1524" i="1"/>
  <c r="AD283" i="1"/>
  <c r="AD2691" i="1"/>
  <c r="AD2541" i="1"/>
  <c r="AD4088" i="1"/>
  <c r="AD2756" i="1"/>
  <c r="AD500" i="1"/>
  <c r="AD4310" i="1"/>
  <c r="AD408" i="1"/>
  <c r="AD234" i="1"/>
  <c r="AD2997" i="1"/>
  <c r="AD2041" i="1"/>
  <c r="AD3621" i="1"/>
  <c r="AD802" i="1"/>
  <c r="AD2754" i="1"/>
  <c r="AD964" i="1"/>
  <c r="AD3643" i="1"/>
  <c r="AD3682" i="1"/>
  <c r="AD1335" i="1"/>
  <c r="AD289" i="1"/>
  <c r="AD3946" i="1"/>
  <c r="AD625" i="1"/>
  <c r="AD1676" i="1"/>
  <c r="AD1664" i="1"/>
  <c r="AD4059" i="1"/>
  <c r="AD712" i="1"/>
  <c r="AD2979" i="1"/>
  <c r="AD1016" i="1"/>
  <c r="AD2156" i="1"/>
  <c r="AD2705" i="1"/>
  <c r="AD3340" i="1"/>
  <c r="AD3843" i="1"/>
  <c r="AD2941" i="1"/>
  <c r="AD2752" i="1"/>
  <c r="AD1638" i="1"/>
  <c r="AD2494" i="1"/>
  <c r="AD2206" i="1"/>
  <c r="AD4437" i="1"/>
  <c r="AD1182" i="1"/>
  <c r="AD2834" i="1"/>
  <c r="AD1617" i="1"/>
  <c r="AD3320" i="1"/>
  <c r="AD249" i="1"/>
  <c r="AD4042" i="1"/>
  <c r="AD3718" i="1"/>
  <c r="AD3628" i="1"/>
  <c r="AD3625" i="1"/>
  <c r="AD1973" i="1"/>
  <c r="AD841" i="1"/>
  <c r="AD4010" i="1"/>
  <c r="AD4186" i="1"/>
  <c r="AD1924" i="1"/>
  <c r="AD238" i="1"/>
  <c r="AD3430" i="1"/>
  <c r="AD4525" i="1"/>
  <c r="AD2585" i="1"/>
  <c r="AD3498" i="1"/>
  <c r="AD1548" i="1"/>
  <c r="AD470" i="1"/>
  <c r="AD1800" i="1"/>
  <c r="AD1202" i="1"/>
  <c r="AD4071" i="1"/>
  <c r="AD2079" i="1"/>
  <c r="AD2366" i="1"/>
  <c r="AD4085" i="1"/>
  <c r="AD1667" i="1"/>
  <c r="AD2952" i="1"/>
  <c r="AD1513" i="1"/>
  <c r="AD1264" i="1"/>
  <c r="AD169" i="1"/>
  <c r="AD4023" i="1"/>
  <c r="AD2042" i="1"/>
  <c r="AD1710" i="1"/>
  <c r="AD647" i="1"/>
  <c r="AD3968" i="1"/>
  <c r="AD4192" i="1"/>
  <c r="AD112" i="1"/>
  <c r="AD1181" i="1"/>
  <c r="AD2757" i="1"/>
  <c r="AD1104" i="1"/>
  <c r="AD1426" i="1"/>
  <c r="AD4024" i="1"/>
  <c r="AD3283" i="1"/>
  <c r="AD89" i="1"/>
  <c r="AD2802" i="1"/>
  <c r="AD2563" i="1"/>
  <c r="AD2110" i="1"/>
  <c r="AD3875" i="1"/>
  <c r="AD4435" i="1"/>
  <c r="AD2944" i="1"/>
  <c r="AD1035" i="1"/>
  <c r="AD49" i="1"/>
  <c r="AD456" i="1"/>
  <c r="AD3695" i="1"/>
  <c r="AD2246" i="1"/>
  <c r="AD2557" i="1"/>
  <c r="AD170" i="1"/>
  <c r="AD3766" i="1"/>
  <c r="AD2487" i="1"/>
  <c r="AD1267" i="1"/>
  <c r="AD987" i="1"/>
  <c r="AD2475" i="1"/>
  <c r="AD719" i="1"/>
  <c r="AD3614" i="1"/>
  <c r="AD2152" i="1"/>
  <c r="AD2766" i="1"/>
  <c r="AD3751" i="1"/>
  <c r="AD2148" i="1"/>
  <c r="AD4473" i="1"/>
  <c r="AD620" i="1"/>
  <c r="AD4528" i="1"/>
  <c r="AD1691" i="1"/>
  <c r="AD1396" i="1"/>
  <c r="AD2061" i="1"/>
  <c r="AD2785" i="1"/>
  <c r="AD1511" i="1"/>
  <c r="AD529" i="1"/>
  <c r="AD621" i="1"/>
  <c r="AD2368" i="1"/>
  <c r="AD121" i="1"/>
  <c r="AD3192" i="1"/>
  <c r="AD3909" i="1"/>
  <c r="AD3170" i="1"/>
  <c r="AD3236" i="1"/>
  <c r="AD429" i="1"/>
  <c r="AD976" i="1"/>
  <c r="AD2520" i="1"/>
  <c r="AD2804" i="1"/>
  <c r="AD2749" i="1"/>
  <c r="AD4502" i="1"/>
  <c r="AD1076" i="1"/>
  <c r="AD751" i="1"/>
  <c r="AD3258" i="1"/>
  <c r="AD3925" i="1"/>
  <c r="AD3759" i="1"/>
  <c r="AD2535" i="1"/>
  <c r="AD761" i="1"/>
  <c r="AD2286" i="1"/>
  <c r="AD3169" i="1"/>
  <c r="AD1042" i="1"/>
  <c r="AD3308" i="1"/>
  <c r="AD4214" i="1"/>
  <c r="AD2227" i="1"/>
  <c r="AD1078" i="1"/>
  <c r="AD3872" i="1"/>
  <c r="AD3063" i="1"/>
  <c r="AD2062" i="1"/>
  <c r="AD2885" i="1"/>
  <c r="AD3377" i="1"/>
  <c r="AD501" i="1"/>
  <c r="AD3635" i="1"/>
  <c r="AD4109" i="1"/>
  <c r="AD3078" i="1"/>
  <c r="AD1391" i="1"/>
  <c r="AD2491" i="1"/>
  <c r="AD2664" i="1"/>
  <c r="AD2049" i="1"/>
  <c r="AD1698" i="1"/>
  <c r="AD859" i="1"/>
  <c r="AD924" i="1"/>
  <c r="AD2943" i="1"/>
  <c r="AD3776" i="1"/>
  <c r="AD192" i="1"/>
  <c r="AD2869" i="1"/>
  <c r="AD254" i="1"/>
  <c r="AD1180" i="1"/>
  <c r="AD3011" i="1"/>
  <c r="AD1592" i="1"/>
  <c r="AD3185" i="1"/>
  <c r="AD2421" i="1"/>
  <c r="AD2323" i="1"/>
  <c r="AD3530" i="1"/>
  <c r="AD352" i="1"/>
  <c r="AD3639" i="1"/>
  <c r="AD4151" i="1"/>
  <c r="AD2145" i="1"/>
  <c r="AD3194" i="1"/>
  <c r="AD1485" i="1"/>
  <c r="AD171" i="1"/>
  <c r="AD485" i="1"/>
  <c r="AD1351" i="1"/>
  <c r="AD555" i="1"/>
  <c r="AD1243" i="1"/>
  <c r="AD1332" i="1"/>
  <c r="AD3578" i="1"/>
  <c r="AD694" i="1"/>
  <c r="AD2371" i="1"/>
  <c r="AD2975" i="1"/>
  <c r="AD512" i="1"/>
  <c r="AD2890" i="1"/>
  <c r="AD4229" i="1"/>
  <c r="AD4245" i="1"/>
  <c r="AD1770" i="1"/>
  <c r="AD2481" i="1"/>
  <c r="AD660" i="1"/>
  <c r="AD4218" i="1"/>
  <c r="AD944" i="1"/>
  <c r="AD2199" i="1"/>
  <c r="AD1322" i="1"/>
  <c r="AD3922" i="1"/>
  <c r="AD2656" i="1"/>
  <c r="AD680" i="1"/>
  <c r="AD1965" i="1"/>
  <c r="AD1443" i="1"/>
  <c r="AD1647" i="1"/>
  <c r="AD4068" i="1"/>
  <c r="AD4376" i="1"/>
  <c r="AD3783" i="1"/>
  <c r="AD1458" i="1"/>
  <c r="AD2406" i="1"/>
  <c r="AD697" i="1"/>
  <c r="AD4341" i="1"/>
  <c r="AD2747" i="1"/>
  <c r="AD229" i="1"/>
  <c r="AD3548" i="1"/>
  <c r="AD376" i="1"/>
  <c r="AD2983" i="1"/>
  <c r="AD3915" i="1"/>
  <c r="AD2816" i="1"/>
  <c r="AD2904" i="1"/>
  <c r="AD875" i="1"/>
  <c r="AD3571" i="1"/>
  <c r="AD1521" i="1"/>
  <c r="AD1559" i="1"/>
  <c r="AD32" i="1"/>
  <c r="AD2913" i="1"/>
  <c r="AD1059" i="1"/>
  <c r="AD2806" i="1"/>
  <c r="AD165" i="1"/>
  <c r="AD1748" i="1"/>
  <c r="AD1775" i="1"/>
  <c r="AD795" i="1"/>
  <c r="AD1062" i="1"/>
  <c r="AD1656" i="1"/>
  <c r="AD3554" i="1"/>
  <c r="AD2821" i="1"/>
  <c r="AD1763" i="1"/>
  <c r="AD211" i="1"/>
  <c r="AD108" i="1"/>
  <c r="AD3392" i="1"/>
  <c r="AD2897" i="1"/>
  <c r="AD2433" i="1"/>
  <c r="AD1477" i="1"/>
  <c r="AD1721" i="1"/>
  <c r="AD3094" i="1"/>
  <c r="AD2526" i="1"/>
  <c r="AD1648" i="1"/>
  <c r="AD2100" i="1"/>
  <c r="AD1030" i="1"/>
  <c r="AD1741" i="1"/>
  <c r="AD2955" i="1"/>
  <c r="AD436" i="1"/>
  <c r="AD4387" i="1"/>
  <c r="AD3601" i="1"/>
  <c r="AD3883" i="1"/>
  <c r="AD2342" i="1"/>
  <c r="AD1955" i="1"/>
  <c r="AD382" i="1"/>
  <c r="AD3747" i="1"/>
  <c r="AD1251" i="1"/>
  <c r="AD3708" i="1"/>
  <c r="AD2973" i="1"/>
  <c r="AD2950" i="1"/>
  <c r="AD3914" i="1"/>
  <c r="AD1786" i="1"/>
  <c r="AD1759" i="1"/>
  <c r="AD3874" i="1"/>
  <c r="AD2120" i="1"/>
  <c r="AD3891" i="1"/>
  <c r="AD2787" i="1"/>
  <c r="AD1393" i="1"/>
  <c r="AD391" i="1"/>
  <c r="AD3737" i="1"/>
  <c r="AD2534" i="1"/>
  <c r="AD2768" i="1"/>
  <c r="AD2172" i="1"/>
  <c r="AD3786" i="1"/>
  <c r="AD2187" i="1"/>
  <c r="AD1446" i="1"/>
  <c r="AD3177" i="1"/>
  <c r="AD214" i="1"/>
  <c r="AD2275" i="1"/>
  <c r="AD982" i="1"/>
  <c r="AD740" i="1"/>
  <c r="AD4276" i="1"/>
  <c r="AD796" i="1"/>
  <c r="AD4227" i="1"/>
  <c r="AD4055" i="1"/>
  <c r="AD860" i="1"/>
  <c r="AD1932" i="1"/>
  <c r="AD2831" i="1"/>
  <c r="AD285" i="1"/>
  <c r="AD3423" i="1"/>
  <c r="AD925" i="1"/>
  <c r="AD915" i="1"/>
  <c r="AD2261" i="1"/>
  <c r="AD168" i="1"/>
  <c r="AD3951" i="1"/>
  <c r="AD4062" i="1"/>
  <c r="AD74" i="1"/>
  <c r="AD2647" i="1"/>
  <c r="AD3916" i="1"/>
  <c r="AD4532" i="1"/>
  <c r="AD2370" i="1"/>
  <c r="AD2582" i="1"/>
  <c r="AD3502" i="1"/>
  <c r="AD4247" i="1"/>
  <c r="AD3707" i="1"/>
  <c r="AD3127" i="1"/>
  <c r="AD2146" i="1"/>
  <c r="AD2569" i="1"/>
  <c r="AD1811" i="1"/>
  <c r="AD2092" i="1"/>
  <c r="AD3195" i="1"/>
  <c r="AD1012" i="1"/>
  <c r="AD1378" i="1"/>
  <c r="AD4358" i="1"/>
  <c r="AD746" i="1"/>
  <c r="AD232" i="1"/>
  <c r="AD1605" i="1"/>
  <c r="AD4144" i="1"/>
  <c r="AD3896" i="1"/>
  <c r="AD3840" i="1"/>
  <c r="AD1876" i="1"/>
  <c r="AD4252" i="1"/>
  <c r="AD3733" i="1"/>
  <c r="AD1289" i="1"/>
  <c r="AD243" i="1"/>
  <c r="AD3363" i="1"/>
  <c r="AD1997" i="1"/>
  <c r="AD3977" i="1"/>
  <c r="AD1412" i="1"/>
  <c r="AD4511" i="1"/>
  <c r="AD4308" i="1"/>
  <c r="AD955" i="1"/>
  <c r="AD281" i="1"/>
  <c r="AD3692" i="1"/>
  <c r="AD3990" i="1"/>
  <c r="AD522" i="1"/>
  <c r="AD1355" i="1"/>
  <c r="AD3368" i="1"/>
  <c r="AD4138" i="1"/>
  <c r="AD3573" i="1"/>
  <c r="AD1114" i="1"/>
  <c r="AD4131" i="1"/>
  <c r="AD2862" i="1"/>
  <c r="AD824" i="1"/>
  <c r="AD4372" i="1"/>
  <c r="AD3603" i="1"/>
  <c r="AD3374" i="1"/>
  <c r="AD3102" i="1"/>
  <c r="AD397" i="1"/>
  <c r="AD744" i="1"/>
  <c r="AD307" i="1"/>
  <c r="AD933" i="1"/>
  <c r="AD3446" i="1"/>
  <c r="AD2987" i="1"/>
  <c r="AD1779" i="1"/>
  <c r="AD1106" i="1"/>
  <c r="AD46" i="1"/>
  <c r="AD4344" i="1"/>
  <c r="AD2964" i="1"/>
  <c r="AD1916" i="1"/>
  <c r="AD1819" i="1"/>
  <c r="AD1019" i="1"/>
  <c r="AD2107" i="1"/>
  <c r="AD3735" i="1"/>
  <c r="AD612" i="1"/>
  <c r="AD3537" i="1"/>
  <c r="AD2771" i="1"/>
  <c r="AD2700" i="1"/>
  <c r="AD2296" i="1"/>
  <c r="AD1705" i="1"/>
  <c r="AD4443" i="1"/>
  <c r="AD3493" i="1"/>
  <c r="AD1414" i="1"/>
  <c r="AD3265" i="1"/>
  <c r="AD3539" i="1"/>
  <c r="AD2575" i="1"/>
  <c r="AD2792" i="1"/>
  <c r="AD3607" i="1"/>
  <c r="AD3444" i="1"/>
  <c r="AD4296" i="1"/>
  <c r="AD95" i="1"/>
  <c r="AD2687" i="1"/>
  <c r="AD4462" i="1"/>
  <c r="AD3008" i="1"/>
  <c r="AD735" i="1"/>
  <c r="AD483" i="1"/>
  <c r="AD3763" i="1"/>
  <c r="AD1356" i="1"/>
  <c r="AD2576" i="1"/>
  <c r="AD2653" i="1"/>
  <c r="AD3679" i="1"/>
  <c r="AD1400" i="1"/>
  <c r="AD1043" i="1"/>
  <c r="AD3972" i="1"/>
  <c r="AD73" i="1"/>
  <c r="AD1790" i="1"/>
  <c r="AD267" i="1"/>
  <c r="AD2387" i="1"/>
  <c r="AD3497" i="1"/>
  <c r="AD386" i="1"/>
  <c r="AD3326" i="1"/>
  <c r="AD1193" i="1"/>
  <c r="AD1570" i="1"/>
  <c r="AD3592" i="1"/>
  <c r="AD794" i="1"/>
  <c r="AD3244" i="1"/>
  <c r="AD1553" i="1"/>
  <c r="AD669" i="1"/>
  <c r="AD4485" i="1"/>
  <c r="AD2180" i="1"/>
  <c r="AD622" i="1"/>
  <c r="AD2440" i="1"/>
  <c r="AD1342" i="1"/>
  <c r="AD19" i="1"/>
  <c r="AD3416" i="1"/>
  <c r="AD1812" i="1"/>
  <c r="AD2085" i="1"/>
  <c r="AD4051" i="1"/>
  <c r="AD2304" i="1"/>
  <c r="AD3143" i="1"/>
  <c r="AD4463" i="1"/>
  <c r="AD4409" i="1"/>
  <c r="AD3689" i="1"/>
  <c r="AD3711" i="1"/>
  <c r="AD3947" i="1"/>
  <c r="AD3305" i="1"/>
  <c r="AD1512" i="1"/>
  <c r="AD4539" i="1"/>
  <c r="AD2024" i="1"/>
  <c r="AD3986" i="1"/>
  <c r="AD435" i="1"/>
  <c r="AD2208" i="1"/>
  <c r="AD3442" i="1"/>
  <c r="AD3349" i="1"/>
  <c r="AD1539" i="1"/>
  <c r="AD778" i="1"/>
  <c r="AD934" i="1"/>
  <c r="AD3046" i="1"/>
  <c r="AD596" i="1"/>
  <c r="AD2403" i="1"/>
  <c r="AD1765" i="1"/>
  <c r="AD1213" i="1"/>
  <c r="AD2795" i="1"/>
  <c r="AD4298" i="1"/>
  <c r="AD4417" i="1"/>
  <c r="AD4521" i="1"/>
  <c r="AD3028" i="1"/>
  <c r="AD3608" i="1"/>
  <c r="AD3202" i="1"/>
  <c r="AD4384" i="1"/>
  <c r="AD23" i="1"/>
  <c r="AD4025" i="1"/>
  <c r="AD2649" i="1"/>
  <c r="AD3806" i="1"/>
  <c r="AD3037" i="1"/>
  <c r="AD3519" i="1"/>
  <c r="AD2226" i="1"/>
  <c r="AD3120" i="1"/>
  <c r="AD398" i="1"/>
  <c r="AD2692" i="1"/>
  <c r="AD3187" i="1"/>
  <c r="AD3130" i="1"/>
  <c r="AD1652" i="1"/>
  <c r="AD3757" i="1"/>
  <c r="AD119" i="1"/>
  <c r="AD873" i="1"/>
  <c r="AD524" i="1"/>
  <c r="AD2426" i="1"/>
  <c r="AD2571" i="1"/>
  <c r="AD1250" i="1"/>
  <c r="AD2978" i="1"/>
  <c r="AD1065" i="1"/>
  <c r="AD1320" i="1"/>
  <c r="AD68" i="1"/>
  <c r="AD197" i="1"/>
  <c r="AD1801" i="1"/>
  <c r="AD2211" i="1"/>
  <c r="AD4529" i="1"/>
  <c r="AD684" i="1"/>
  <c r="AD4302" i="1"/>
  <c r="AD151" i="1"/>
  <c r="AD3716" i="1"/>
  <c r="AD4052" i="1"/>
  <c r="AD2125" i="1"/>
  <c r="AD1297" i="1"/>
  <c r="AD2250" i="1"/>
  <c r="AD275" i="1"/>
  <c r="AD2456" i="1"/>
  <c r="AD2009" i="1"/>
  <c r="AD417" i="1"/>
  <c r="AD3950" i="1"/>
  <c r="AD2946" i="1"/>
  <c r="AD2224" i="1"/>
  <c r="AD2761" i="1"/>
  <c r="AD1187" i="1"/>
  <c r="AD3476" i="1"/>
  <c r="AD2622" i="1"/>
  <c r="AD2021" i="1"/>
  <c r="AD1215" i="1"/>
  <c r="AD104" i="1"/>
  <c r="AD1964" i="1"/>
  <c r="AD76" i="1"/>
  <c r="AD926" i="1"/>
  <c r="AD4259" i="1"/>
  <c r="AD1976" i="1"/>
  <c r="AD2119" i="1"/>
  <c r="AD1982" i="1"/>
  <c r="AD4391" i="1"/>
  <c r="AD776" i="1"/>
  <c r="AD1368" i="1"/>
  <c r="AD642" i="1"/>
  <c r="AD3224" i="1"/>
  <c r="AD1809" i="1"/>
  <c r="AD2861" i="1"/>
  <c r="AD4426" i="1"/>
  <c r="AD3787" i="1"/>
  <c r="AD3351" i="1"/>
  <c r="AD2306" i="1"/>
  <c r="AD2903" i="1"/>
  <c r="AD4189" i="1"/>
  <c r="AD442" i="1"/>
  <c r="AD3099" i="1"/>
  <c r="AD493" i="1"/>
  <c r="AD750" i="1"/>
  <c r="AD2394" i="1"/>
  <c r="AD678" i="1"/>
  <c r="AD4506" i="1"/>
  <c r="AD336" i="1"/>
  <c r="AD1388" i="1"/>
  <c r="AD4070" i="1"/>
  <c r="AD2099" i="1"/>
  <c r="AD2268" i="1"/>
  <c r="AD1041" i="1"/>
  <c r="AD3293" i="1"/>
  <c r="AD148" i="1"/>
  <c r="AD4039" i="1"/>
  <c r="AD4121" i="1"/>
  <c r="AD997" i="1"/>
  <c r="AD90" i="1"/>
  <c r="AD4020" i="1"/>
  <c r="AD263" i="1"/>
  <c r="AD253" i="1"/>
  <c r="AD3705" i="1"/>
  <c r="AD1630" i="1"/>
  <c r="AD2835" i="1"/>
  <c r="AD473" i="1"/>
  <c r="AD3903" i="1"/>
  <c r="AD996" i="1"/>
  <c r="AD937" i="1"/>
  <c r="AD1068" i="1"/>
  <c r="AD603" i="1"/>
  <c r="AD1874" i="1"/>
  <c r="AD433" i="1"/>
  <c r="AD2516" i="1"/>
  <c r="AD3245" i="1"/>
  <c r="AD83" i="1"/>
  <c r="AD4436" i="1"/>
  <c r="AD1125" i="1"/>
  <c r="AD2972" i="1"/>
  <c r="AD1151" i="1"/>
  <c r="AD3906" i="1"/>
  <c r="AD2106" i="1"/>
  <c r="AD3562" i="1"/>
  <c r="AD178" i="1"/>
  <c r="AD2779" i="1"/>
  <c r="AD126" i="1"/>
  <c r="AD2566" i="1"/>
  <c r="AD3284" i="1"/>
  <c r="AD233" i="1"/>
  <c r="AD1298" i="1"/>
  <c r="AD1985" i="1"/>
  <c r="AD3274" i="1"/>
  <c r="AD2423" i="1"/>
  <c r="AD2670" i="1"/>
  <c r="AD4091" i="1"/>
  <c r="AD2894" i="1"/>
  <c r="AD3228" i="1"/>
  <c r="AD1472" i="1"/>
  <c r="AD1484" i="1"/>
  <c r="AD4346" i="1"/>
  <c r="AD2464" i="1"/>
  <c r="AD2928" i="1"/>
  <c r="AD4185" i="1"/>
  <c r="AD1637" i="1"/>
  <c r="AD3654" i="1"/>
  <c r="AD2893" i="1"/>
  <c r="AD1509" i="1"/>
  <c r="AD2182" i="1"/>
  <c r="AD69" i="1"/>
  <c r="AD734" i="1"/>
  <c r="AD762" i="1"/>
  <c r="AD71" i="1"/>
  <c r="AD3931" i="1"/>
  <c r="AD1818" i="1"/>
  <c r="AD3675" i="1"/>
  <c r="AD1392" i="1"/>
  <c r="AD156" i="1"/>
  <c r="AD3994" i="1"/>
  <c r="AD2051" i="1"/>
  <c r="AD2963" i="1"/>
  <c r="AD3333" i="1"/>
  <c r="AD2139" i="1"/>
  <c r="AD3089" i="1"/>
  <c r="AD3233" i="1"/>
  <c r="AD2746" i="1"/>
  <c r="AD125" i="1"/>
  <c r="AD1633" i="1"/>
  <c r="AD1384" i="1"/>
  <c r="AD1214" i="1"/>
  <c r="AD1478" i="1"/>
  <c r="AD3589" i="1"/>
  <c r="AD4361" i="1"/>
  <c r="AD25" i="1"/>
  <c r="AD1712" i="1"/>
  <c r="AD1757" i="1"/>
  <c r="AD2549" i="1"/>
  <c r="AD2734" i="1"/>
  <c r="AD3307" i="1"/>
  <c r="AD991" i="1"/>
  <c r="AD341" i="1"/>
  <c r="AD2820" i="1"/>
  <c r="AD601" i="1"/>
  <c r="AD2101" i="1"/>
  <c r="AD2669" i="1"/>
  <c r="AD3406" i="1"/>
  <c r="AD2683" i="1"/>
  <c r="AD2550" i="1"/>
  <c r="AD70" i="1"/>
  <c r="AD2177" i="1"/>
  <c r="AD497" i="1"/>
  <c r="AD3688" i="1"/>
  <c r="AD871" i="1"/>
  <c r="AD2118" i="1"/>
  <c r="AD4000" i="1"/>
  <c r="AD3745" i="1"/>
  <c r="AD3198" i="1"/>
  <c r="AD3456" i="1"/>
  <c r="AD775" i="1"/>
  <c r="AD1607" i="1"/>
  <c r="AD1938" i="1"/>
  <c r="AD1946" i="1"/>
  <c r="AD153" i="1"/>
  <c r="AD580" i="1"/>
  <c r="AD2162" i="1"/>
  <c r="AD3869" i="1"/>
  <c r="AD1254" i="1"/>
  <c r="AD1390" i="1"/>
  <c r="AD4078" i="1"/>
  <c r="AD251" i="1"/>
  <c r="AD114" i="1"/>
  <c r="AD499" i="1"/>
  <c r="AD3585" i="1"/>
  <c r="AD3339" i="1"/>
  <c r="AD3542" i="1"/>
  <c r="AD889" i="1"/>
  <c r="AD1015" i="1"/>
  <c r="AD3844" i="1"/>
  <c r="AD2023" i="1"/>
  <c r="AD2385" i="1"/>
  <c r="AD3260" i="1"/>
  <c r="AD3287" i="1"/>
  <c r="AD3704" i="1"/>
  <c r="AD312" i="1"/>
  <c r="AD1796" i="1"/>
  <c r="AD862" i="1"/>
  <c r="AD2338" i="1"/>
  <c r="AD2185" i="1"/>
  <c r="AD2631" i="1"/>
  <c r="AD4467" i="1"/>
  <c r="AD1977" i="1"/>
  <c r="AD2668" i="1"/>
  <c r="AD2165" i="1"/>
  <c r="AD1310" i="1"/>
  <c r="AD1823" i="1"/>
  <c r="AD4281" i="1"/>
  <c r="AD2514" i="1"/>
  <c r="AD4235" i="1"/>
  <c r="AD138" i="1"/>
  <c r="AD1639" i="1"/>
  <c r="AD3149" i="1"/>
  <c r="AD2558" i="1"/>
  <c r="AD1067" i="1"/>
  <c r="AD878" i="1"/>
  <c r="AD791" i="1"/>
  <c r="AD742" i="1"/>
  <c r="AD3114" i="1"/>
  <c r="AD2970" i="1"/>
  <c r="AD2892" i="1"/>
  <c r="AD1797" i="1"/>
  <c r="AD2517" i="1"/>
  <c r="AD3569" i="1"/>
  <c r="AD2850" i="1"/>
  <c r="AD2838" i="1"/>
  <c r="AD3617" i="1"/>
  <c r="AD656" i="1"/>
  <c r="AD450" i="1"/>
  <c r="AD4470" i="1"/>
  <c r="AD185" i="1"/>
  <c r="AD1263" i="1"/>
  <c r="AD206" i="1"/>
  <c r="AD1436" i="1"/>
  <c r="AD3876" i="1"/>
  <c r="AD1309" i="1"/>
  <c r="AD3123" i="1"/>
  <c r="AD848" i="1"/>
  <c r="AD449" i="1"/>
  <c r="AD1152" i="1"/>
  <c r="AD1971" i="1"/>
  <c r="AD2536" i="1"/>
  <c r="AD4422" i="1"/>
  <c r="AD3649" i="1"/>
  <c r="AD3279" i="1"/>
  <c r="AD1523" i="1"/>
  <c r="AD3082" i="1"/>
  <c r="AD2875" i="1"/>
  <c r="AD1510" i="1"/>
  <c r="AD731" i="1"/>
  <c r="AD3254" i="1"/>
  <c r="AD3072" i="1"/>
  <c r="AD1303" i="1"/>
  <c r="AD896" i="1"/>
  <c r="AD167" i="1"/>
  <c r="AD2803" i="1"/>
  <c r="AE2803" i="1" l="1"/>
  <c r="AE167" i="1"/>
  <c r="AE896" i="1"/>
  <c r="AE1303" i="1"/>
  <c r="AE3072" i="1"/>
  <c r="AE3254" i="1"/>
  <c r="AE731" i="1"/>
  <c r="AE1510" i="1"/>
  <c r="AE2875" i="1"/>
  <c r="AE3082" i="1"/>
  <c r="AE1523" i="1"/>
  <c r="AE3279" i="1"/>
  <c r="AE3649" i="1"/>
  <c r="AE4422" i="1"/>
  <c r="AE2536" i="1"/>
  <c r="AE1971" i="1"/>
  <c r="AE1152" i="1"/>
  <c r="AE449" i="1"/>
  <c r="AE848" i="1"/>
  <c r="AE3123" i="1"/>
  <c r="AE1309" i="1"/>
  <c r="AE3876" i="1"/>
  <c r="AE1436" i="1"/>
  <c r="AE206" i="1"/>
  <c r="AE1263" i="1"/>
  <c r="AE185" i="1"/>
  <c r="AE4470" i="1"/>
  <c r="AE450" i="1"/>
  <c r="AE656" i="1"/>
  <c r="AE3617" i="1"/>
  <c r="AE2838" i="1"/>
  <c r="AE2850" i="1"/>
  <c r="AE3569" i="1"/>
  <c r="AE2517" i="1"/>
  <c r="AE1797" i="1"/>
  <c r="AE2892" i="1"/>
  <c r="AE2970" i="1"/>
  <c r="AE3114" i="1"/>
  <c r="AE742" i="1"/>
  <c r="AE791" i="1"/>
  <c r="AE878" i="1"/>
  <c r="AE1067" i="1"/>
  <c r="AE2558" i="1"/>
  <c r="AE3149" i="1"/>
  <c r="AE1639" i="1"/>
  <c r="AE138" i="1"/>
  <c r="AE4235" i="1"/>
  <c r="AE2514" i="1"/>
  <c r="AE4281" i="1"/>
  <c r="AE1823" i="1"/>
  <c r="AE1310" i="1"/>
  <c r="AE2165" i="1"/>
  <c r="AE2668" i="1"/>
  <c r="AE1977" i="1"/>
  <c r="AE4467" i="1"/>
  <c r="AE2631" i="1"/>
  <c r="AE2185" i="1"/>
  <c r="AE2338" i="1"/>
  <c r="AE862" i="1"/>
  <c r="AE1796" i="1"/>
  <c r="AE312" i="1"/>
  <c r="AE3704" i="1"/>
  <c r="AE3287" i="1"/>
  <c r="AE3260" i="1"/>
  <c r="AE2385" i="1"/>
  <c r="AE2023" i="1"/>
  <c r="AE3844" i="1"/>
  <c r="AE1015" i="1"/>
  <c r="AE889" i="1"/>
  <c r="AE3542" i="1"/>
  <c r="AE3339" i="1"/>
  <c r="AE3585" i="1"/>
  <c r="AE499" i="1"/>
  <c r="AE114" i="1"/>
  <c r="AE251" i="1"/>
  <c r="AE4078" i="1"/>
  <c r="AE1390" i="1"/>
  <c r="AE1254" i="1"/>
  <c r="AE3869" i="1"/>
  <c r="AE2162" i="1"/>
  <c r="AE580" i="1"/>
  <c r="AE153" i="1"/>
  <c r="AE1946" i="1"/>
  <c r="AE1938" i="1"/>
  <c r="AE1607" i="1"/>
  <c r="AE775" i="1"/>
  <c r="AE3456" i="1"/>
  <c r="AE3198" i="1"/>
  <c r="AE3745" i="1"/>
  <c r="AE4000" i="1"/>
  <c r="AE2118" i="1"/>
  <c r="AE871" i="1"/>
  <c r="AE3688" i="1"/>
  <c r="AE497" i="1"/>
  <c r="AE2177" i="1"/>
  <c r="AE70" i="1"/>
  <c r="AE2550" i="1"/>
  <c r="AE2683" i="1"/>
  <c r="AE3406" i="1"/>
  <c r="AE2669" i="1"/>
  <c r="AE2101" i="1"/>
  <c r="AE601" i="1"/>
  <c r="AE2820" i="1"/>
  <c r="AE341" i="1"/>
  <c r="AE991" i="1"/>
  <c r="AE3307" i="1"/>
  <c r="AE2734" i="1"/>
  <c r="AE2549" i="1"/>
  <c r="AE1757" i="1"/>
  <c r="AE1712" i="1"/>
  <c r="AE25" i="1"/>
  <c r="AE4361" i="1"/>
  <c r="AE3589" i="1"/>
  <c r="AE1478" i="1"/>
  <c r="AE1214" i="1"/>
  <c r="AE1384" i="1"/>
  <c r="AE1633" i="1"/>
  <c r="AE125" i="1"/>
  <c r="AE2746" i="1"/>
  <c r="AE3233" i="1"/>
  <c r="AE3089" i="1"/>
  <c r="AE2139" i="1"/>
  <c r="AE3333" i="1"/>
  <c r="AE2963" i="1"/>
  <c r="AE2051" i="1"/>
  <c r="AE3994" i="1"/>
  <c r="AE156" i="1"/>
  <c r="AE1392" i="1"/>
  <c r="AE3675" i="1"/>
  <c r="AE1818" i="1"/>
  <c r="AE3931" i="1"/>
  <c r="AE71" i="1"/>
  <c r="AE762" i="1"/>
  <c r="AE734" i="1"/>
  <c r="AE69" i="1"/>
  <c r="AE2182" i="1"/>
  <c r="AE1509" i="1"/>
  <c r="AE2893" i="1"/>
  <c r="AE3654" i="1"/>
  <c r="AE1637" i="1"/>
  <c r="AE4185" i="1"/>
  <c r="AE2928" i="1"/>
  <c r="AE2464" i="1"/>
  <c r="AE4346" i="1"/>
  <c r="AE1484" i="1"/>
  <c r="AE1472" i="1"/>
  <c r="AE3228" i="1"/>
  <c r="AE2894" i="1"/>
  <c r="AE4091" i="1"/>
  <c r="AE2670" i="1"/>
  <c r="AE2423" i="1"/>
  <c r="AE3274" i="1"/>
  <c r="AE1985" i="1"/>
  <c r="AE1298" i="1"/>
  <c r="AE233" i="1"/>
  <c r="AE3284" i="1"/>
  <c r="AE2566" i="1"/>
  <c r="AE126" i="1"/>
  <c r="AE2779" i="1"/>
  <c r="AE178" i="1"/>
  <c r="AE3562" i="1"/>
  <c r="AE2106" i="1"/>
  <c r="AE3906" i="1"/>
  <c r="AE1151" i="1"/>
  <c r="AE2972" i="1"/>
  <c r="AE1125" i="1"/>
  <c r="AE4436" i="1"/>
  <c r="AE83" i="1"/>
  <c r="AE3245" i="1"/>
  <c r="AE2516" i="1"/>
  <c r="AE433" i="1"/>
  <c r="AE1874" i="1"/>
  <c r="AE603" i="1"/>
  <c r="AE1068" i="1"/>
  <c r="AE937" i="1"/>
  <c r="AE996" i="1"/>
  <c r="AE3903" i="1"/>
  <c r="AE473" i="1"/>
  <c r="AE2835" i="1"/>
  <c r="AE1630" i="1"/>
  <c r="AE3705" i="1"/>
  <c r="AE253" i="1"/>
  <c r="AE263" i="1"/>
  <c r="AE4020" i="1"/>
  <c r="AE90" i="1"/>
  <c r="AE997" i="1"/>
  <c r="AE4121" i="1"/>
  <c r="AE4039" i="1"/>
  <c r="AE148" i="1"/>
  <c r="AE3293" i="1"/>
  <c r="AE1041" i="1"/>
  <c r="AE2268" i="1"/>
  <c r="AE2099" i="1"/>
  <c r="AE4070" i="1"/>
  <c r="AE1388" i="1"/>
  <c r="AE336" i="1"/>
  <c r="AE4506" i="1"/>
  <c r="AE678" i="1"/>
  <c r="AE2394" i="1"/>
  <c r="AE750" i="1"/>
  <c r="AE493" i="1"/>
  <c r="AE3099" i="1"/>
  <c r="AE442" i="1"/>
  <c r="AE4189" i="1"/>
  <c r="AE2903" i="1"/>
  <c r="AE2306" i="1"/>
  <c r="AE3351" i="1"/>
  <c r="AE3787" i="1"/>
  <c r="AE4426" i="1"/>
  <c r="AE2861" i="1"/>
  <c r="AE1809" i="1"/>
  <c r="AE3224" i="1"/>
  <c r="AE642" i="1"/>
  <c r="AE1368" i="1"/>
  <c r="AE776" i="1"/>
  <c r="AE4391" i="1"/>
  <c r="AE1982" i="1"/>
  <c r="AE2119" i="1"/>
  <c r="AE1976" i="1"/>
  <c r="AE4259" i="1"/>
  <c r="AE926" i="1"/>
  <c r="AE76" i="1"/>
  <c r="AE1964" i="1"/>
  <c r="AE104" i="1"/>
  <c r="AE1215" i="1"/>
  <c r="AE2021" i="1"/>
  <c r="AE2622" i="1"/>
  <c r="AE3476" i="1"/>
  <c r="AE1187" i="1"/>
  <c r="AE2761" i="1"/>
  <c r="AE2224" i="1"/>
  <c r="AE2946" i="1"/>
  <c r="AE3950" i="1"/>
  <c r="AE417" i="1"/>
  <c r="AE2009" i="1"/>
  <c r="AE2456" i="1"/>
  <c r="AE275" i="1"/>
  <c r="AE2250" i="1"/>
  <c r="AE1297" i="1"/>
  <c r="AE2125" i="1"/>
  <c r="AE4052" i="1"/>
  <c r="AE3716" i="1"/>
  <c r="AE151" i="1"/>
  <c r="AE4302" i="1"/>
  <c r="AE684" i="1"/>
  <c r="AE4529" i="1"/>
  <c r="AE2211" i="1"/>
  <c r="AE1801" i="1"/>
  <c r="AE197" i="1"/>
  <c r="AE68" i="1"/>
  <c r="AE1320" i="1"/>
  <c r="AE1065" i="1"/>
  <c r="AE2978" i="1"/>
  <c r="AE1250" i="1"/>
  <c r="AE2571" i="1"/>
  <c r="AE2426" i="1"/>
  <c r="AE524" i="1"/>
  <c r="AE873" i="1"/>
  <c r="AE119" i="1"/>
  <c r="AE3757" i="1"/>
  <c r="AE1652" i="1"/>
  <c r="AE3130" i="1"/>
  <c r="AE3187" i="1"/>
  <c r="AE2692" i="1"/>
  <c r="AE398" i="1"/>
  <c r="AE3120" i="1"/>
  <c r="AE2226" i="1"/>
  <c r="AE3519" i="1"/>
  <c r="AE3037" i="1"/>
  <c r="AE3806" i="1"/>
  <c r="AE2649" i="1"/>
  <c r="AE4025" i="1"/>
  <c r="AE23" i="1"/>
  <c r="AE4384" i="1"/>
  <c r="AE3202" i="1"/>
  <c r="AE3608" i="1"/>
  <c r="AE3028" i="1"/>
  <c r="AE4521" i="1"/>
  <c r="AE4417" i="1"/>
  <c r="AE4298" i="1"/>
  <c r="AE2795" i="1"/>
  <c r="AE1213" i="1"/>
  <c r="AE1765" i="1"/>
  <c r="AE2403" i="1"/>
  <c r="AE596" i="1"/>
  <c r="AE3046" i="1"/>
  <c r="AE934" i="1"/>
  <c r="AE778" i="1"/>
  <c r="AE1539" i="1"/>
  <c r="AE3349" i="1"/>
  <c r="AE3442" i="1"/>
  <c r="AE2208" i="1"/>
  <c r="AE435" i="1"/>
  <c r="AE3986" i="1"/>
  <c r="AE2024" i="1"/>
  <c r="AE4539" i="1"/>
  <c r="AE1512" i="1"/>
  <c r="AE3305" i="1"/>
  <c r="AE3947" i="1"/>
  <c r="AE3711" i="1"/>
  <c r="AE3689" i="1"/>
  <c r="AE4409" i="1"/>
  <c r="AE4463" i="1"/>
  <c r="AE3143" i="1"/>
  <c r="AE2304" i="1"/>
  <c r="AE4051" i="1"/>
  <c r="AE2085" i="1"/>
  <c r="AE1812" i="1"/>
  <c r="AE3416" i="1"/>
  <c r="AE19" i="1"/>
  <c r="AE1342" i="1"/>
  <c r="AE2440" i="1"/>
  <c r="AE622" i="1"/>
  <c r="AE2180" i="1"/>
  <c r="AE4485" i="1"/>
  <c r="AE669" i="1"/>
  <c r="AE1553" i="1"/>
  <c r="AE3244" i="1"/>
  <c r="AE794" i="1"/>
  <c r="AE3592" i="1"/>
  <c r="AE1570" i="1"/>
  <c r="AE1193" i="1"/>
  <c r="AE3326" i="1"/>
  <c r="AE386" i="1"/>
  <c r="AE3497" i="1"/>
  <c r="AE2387" i="1"/>
  <c r="AE267" i="1"/>
  <c r="AE1790" i="1"/>
  <c r="AE73" i="1"/>
  <c r="AE3972" i="1"/>
  <c r="AE1043" i="1"/>
  <c r="AE1400" i="1"/>
  <c r="AE3679" i="1"/>
  <c r="AE2653" i="1"/>
  <c r="AE2576" i="1"/>
  <c r="AE1356" i="1"/>
  <c r="AE3763" i="1"/>
  <c r="AE483" i="1"/>
  <c r="AE735" i="1"/>
  <c r="AE3008" i="1"/>
  <c r="AE4462" i="1"/>
  <c r="AE2687" i="1"/>
  <c r="AE95" i="1"/>
  <c r="AE4296" i="1"/>
  <c r="AE3444" i="1"/>
  <c r="AE3607" i="1"/>
  <c r="AE2792" i="1"/>
  <c r="AE2575" i="1"/>
  <c r="AE3539" i="1"/>
  <c r="AE3265" i="1"/>
  <c r="AE1414" i="1"/>
  <c r="AE3493" i="1"/>
  <c r="AE4443" i="1"/>
  <c r="AE1705" i="1"/>
  <c r="AE2296" i="1"/>
  <c r="AE2700" i="1"/>
  <c r="AE2771" i="1"/>
  <c r="AE3537" i="1"/>
  <c r="AE612" i="1"/>
  <c r="AE3735" i="1"/>
  <c r="AE2107" i="1"/>
  <c r="AE1019" i="1"/>
  <c r="AE1819" i="1"/>
  <c r="AE1916" i="1"/>
  <c r="AE2964" i="1"/>
  <c r="AE4344" i="1"/>
  <c r="AE46" i="1"/>
  <c r="AE1106" i="1"/>
  <c r="AE1779" i="1"/>
  <c r="AE2987" i="1"/>
  <c r="AE3446" i="1"/>
  <c r="AE933" i="1"/>
  <c r="AE307" i="1"/>
  <c r="AE744" i="1"/>
  <c r="AE397" i="1"/>
  <c r="AE3102" i="1"/>
  <c r="AE3374" i="1"/>
  <c r="AE3603" i="1"/>
  <c r="AE4372" i="1"/>
  <c r="AE824" i="1"/>
  <c r="AE2862" i="1"/>
  <c r="AE4131" i="1"/>
  <c r="AE1114" i="1"/>
  <c r="AE3573" i="1"/>
  <c r="AE4138" i="1"/>
  <c r="AE3368" i="1"/>
  <c r="AE1355" i="1"/>
  <c r="AE522" i="1"/>
  <c r="AE3990" i="1"/>
  <c r="AE3692" i="1"/>
  <c r="AE281" i="1"/>
  <c r="AE955" i="1"/>
  <c r="AE4308" i="1"/>
  <c r="AE4511" i="1"/>
  <c r="AE1412" i="1"/>
  <c r="AE3977" i="1"/>
  <c r="AE1997" i="1"/>
  <c r="AE3363" i="1"/>
  <c r="AE243" i="1"/>
  <c r="AE1289" i="1"/>
  <c r="AE3733" i="1"/>
  <c r="AE4252" i="1"/>
  <c r="AE1876" i="1"/>
  <c r="AE3840" i="1"/>
  <c r="AE3896" i="1"/>
  <c r="AE4144" i="1"/>
  <c r="AE1605" i="1"/>
  <c r="AE232" i="1"/>
  <c r="AE746" i="1"/>
  <c r="AE4358" i="1"/>
  <c r="AE1378" i="1"/>
  <c r="AE1012" i="1"/>
  <c r="AE3195" i="1"/>
  <c r="AE2092" i="1"/>
  <c r="AE1811" i="1"/>
  <c r="AE2569" i="1"/>
  <c r="AE2146" i="1"/>
  <c r="AE3127" i="1"/>
  <c r="AE3707" i="1"/>
  <c r="AE4247" i="1"/>
  <c r="AE3502" i="1"/>
  <c r="AE2582" i="1"/>
  <c r="AE2370" i="1"/>
  <c r="AE4532" i="1"/>
  <c r="AE3916" i="1"/>
  <c r="AE2647" i="1"/>
  <c r="AE74" i="1"/>
  <c r="AE4062" i="1"/>
  <c r="AE3951" i="1"/>
  <c r="AE168" i="1"/>
  <c r="AE2261" i="1"/>
  <c r="AE915" i="1"/>
  <c r="AE925" i="1"/>
  <c r="AE3423" i="1"/>
  <c r="AE285" i="1"/>
  <c r="AE2831" i="1"/>
  <c r="AE1932" i="1"/>
  <c r="AE860" i="1"/>
  <c r="AE4055" i="1"/>
  <c r="AE4227" i="1"/>
  <c r="AE796" i="1"/>
  <c r="AE4276" i="1"/>
  <c r="AE740" i="1"/>
  <c r="AE982" i="1"/>
  <c r="AE2275" i="1"/>
  <c r="AE214" i="1"/>
  <c r="AE3177" i="1"/>
  <c r="AE1446" i="1"/>
  <c r="AE2187" i="1"/>
  <c r="AE3786" i="1"/>
  <c r="AE2172" i="1"/>
  <c r="AE2768" i="1"/>
  <c r="AE2534" i="1"/>
  <c r="AE3737" i="1"/>
  <c r="AE391" i="1"/>
  <c r="AE1393" i="1"/>
  <c r="AE2787" i="1"/>
  <c r="AE3891" i="1"/>
  <c r="AE2120" i="1"/>
  <c r="AE3874" i="1"/>
  <c r="AE1759" i="1"/>
  <c r="AE1786" i="1"/>
  <c r="AE3914" i="1"/>
  <c r="AE2950" i="1"/>
  <c r="AE2973" i="1"/>
  <c r="AE3708" i="1"/>
  <c r="AE1251" i="1"/>
  <c r="AE3747" i="1"/>
  <c r="AE382" i="1"/>
  <c r="AE1955" i="1"/>
  <c r="AE2342" i="1"/>
  <c r="AE3883" i="1"/>
  <c r="AE3601" i="1"/>
  <c r="AE4387" i="1"/>
  <c r="AE436" i="1"/>
  <c r="AE2955" i="1"/>
  <c r="AE1741" i="1"/>
  <c r="AE1030" i="1"/>
  <c r="AE2100" i="1"/>
  <c r="AE1648" i="1"/>
  <c r="AE2526" i="1"/>
  <c r="AE3094" i="1"/>
  <c r="AE1721" i="1"/>
  <c r="AE1477" i="1"/>
  <c r="AE2433" i="1"/>
  <c r="AE2897" i="1"/>
  <c r="AE3392" i="1"/>
  <c r="AE108" i="1"/>
  <c r="AE211" i="1"/>
  <c r="AE1763" i="1"/>
  <c r="AE2821" i="1"/>
  <c r="AE3554" i="1"/>
  <c r="AE1656" i="1"/>
  <c r="AE1062" i="1"/>
  <c r="AE795" i="1"/>
  <c r="AE1775" i="1"/>
  <c r="AE1748" i="1"/>
  <c r="AE165" i="1"/>
  <c r="AE2806" i="1"/>
  <c r="AE1059" i="1"/>
  <c r="AE2913" i="1"/>
  <c r="AE32" i="1"/>
  <c r="AE1559" i="1"/>
  <c r="AE1521" i="1"/>
  <c r="AE3571" i="1"/>
  <c r="AE875" i="1"/>
  <c r="AE2904" i="1"/>
  <c r="AE2816" i="1"/>
  <c r="AE3915" i="1"/>
  <c r="AE2983" i="1"/>
  <c r="AE376" i="1"/>
  <c r="AE3548" i="1"/>
  <c r="AE229" i="1"/>
  <c r="AE2747" i="1"/>
  <c r="AE4341" i="1"/>
  <c r="AE697" i="1"/>
  <c r="AE2406" i="1"/>
  <c r="AE1458" i="1"/>
  <c r="AE3783" i="1"/>
  <c r="AE4376" i="1"/>
  <c r="AE4068" i="1"/>
  <c r="AE1647" i="1"/>
  <c r="AE1443" i="1"/>
  <c r="AE1965" i="1"/>
  <c r="AE680" i="1"/>
  <c r="AE2656" i="1"/>
  <c r="AE3922" i="1"/>
  <c r="AE1322" i="1"/>
  <c r="AE2199" i="1"/>
  <c r="AE944" i="1"/>
  <c r="AE4218" i="1"/>
  <c r="AE660" i="1"/>
  <c r="AE2481" i="1"/>
  <c r="AE1770" i="1"/>
  <c r="AE4245" i="1"/>
  <c r="AE4229" i="1"/>
  <c r="AE2890" i="1"/>
  <c r="AE512" i="1"/>
  <c r="AE2975" i="1"/>
  <c r="AE2371" i="1"/>
  <c r="AE694" i="1"/>
  <c r="AE3578" i="1"/>
  <c r="AE1332" i="1"/>
  <c r="AE1243" i="1"/>
  <c r="AE555" i="1"/>
  <c r="AE1351" i="1"/>
  <c r="AE485" i="1"/>
  <c r="AE171" i="1"/>
  <c r="AE1485" i="1"/>
  <c r="AE3194" i="1"/>
  <c r="AE2145" i="1"/>
  <c r="AE4151" i="1"/>
  <c r="AE3639" i="1"/>
  <c r="AE352" i="1"/>
  <c r="AE3530" i="1"/>
  <c r="AE2323" i="1"/>
  <c r="AE2421" i="1"/>
  <c r="AE3185" i="1"/>
  <c r="AE1592" i="1"/>
  <c r="AE3011" i="1"/>
  <c r="AE1180" i="1"/>
  <c r="AE254" i="1"/>
  <c r="AE2869" i="1"/>
  <c r="AE192" i="1"/>
  <c r="AE3776" i="1"/>
  <c r="AE2943" i="1"/>
  <c r="AE924" i="1"/>
  <c r="AE859" i="1"/>
  <c r="AE1698" i="1"/>
  <c r="AE2049" i="1"/>
  <c r="AE2664" i="1"/>
  <c r="AE2491" i="1"/>
  <c r="AE1391" i="1"/>
  <c r="AE3078" i="1"/>
  <c r="AE4109" i="1"/>
  <c r="AE3635" i="1"/>
  <c r="AE501" i="1"/>
  <c r="AE3377" i="1"/>
  <c r="AE2885" i="1"/>
  <c r="AE2062" i="1"/>
  <c r="AE3063" i="1"/>
  <c r="AE3872" i="1"/>
  <c r="AE1078" i="1"/>
  <c r="AE2227" i="1"/>
  <c r="AE4214" i="1"/>
  <c r="AE3308" i="1"/>
  <c r="AE1042" i="1"/>
  <c r="AE3169" i="1"/>
  <c r="AE2286" i="1"/>
  <c r="AE761" i="1"/>
  <c r="AE2535" i="1"/>
  <c r="AE3759" i="1"/>
  <c r="AE3925" i="1"/>
  <c r="AE3258" i="1"/>
  <c r="AE751" i="1"/>
  <c r="AE1076" i="1"/>
  <c r="AE4502" i="1"/>
  <c r="AE2749" i="1"/>
  <c r="AE2804" i="1"/>
  <c r="AE2520" i="1"/>
  <c r="AE976" i="1"/>
  <c r="AE429" i="1"/>
  <c r="AE3236" i="1"/>
  <c r="AE3170" i="1"/>
  <c r="AE3909" i="1"/>
  <c r="AE3192" i="1"/>
  <c r="AE121" i="1"/>
  <c r="AE2368" i="1"/>
  <c r="AE621" i="1"/>
  <c r="AE529" i="1"/>
  <c r="AE1511" i="1"/>
  <c r="AE2785" i="1"/>
  <c r="AE2061" i="1"/>
  <c r="AE1396" i="1"/>
  <c r="AE1691" i="1"/>
  <c r="AE4528" i="1"/>
  <c r="AE620" i="1"/>
  <c r="AE4473" i="1"/>
  <c r="AE2148" i="1"/>
  <c r="AE3751" i="1"/>
  <c r="AE2766" i="1"/>
  <c r="AE2152" i="1"/>
  <c r="AE3614" i="1"/>
  <c r="AE719" i="1"/>
  <c r="AE2475" i="1"/>
  <c r="AE987" i="1"/>
  <c r="AE1267" i="1"/>
  <c r="AE2487" i="1"/>
  <c r="AE3766" i="1"/>
  <c r="AE170" i="1"/>
  <c r="AE2557" i="1"/>
  <c r="AE2246" i="1"/>
  <c r="AE3695" i="1"/>
  <c r="AE456" i="1"/>
  <c r="AE49" i="1"/>
  <c r="AE1035" i="1"/>
  <c r="AE2944" i="1"/>
  <c r="AE4435" i="1"/>
  <c r="AE3875" i="1"/>
  <c r="AE2110" i="1"/>
  <c r="AE2563" i="1"/>
  <c r="AE2802" i="1"/>
  <c r="AE89" i="1"/>
  <c r="AE3283" i="1"/>
  <c r="AE4024" i="1"/>
  <c r="AE1426" i="1"/>
  <c r="AE1104" i="1"/>
  <c r="AE2757" i="1"/>
  <c r="AE1181" i="1"/>
  <c r="AE112" i="1"/>
  <c r="AE4192" i="1"/>
  <c r="AE3968" i="1"/>
  <c r="AE647" i="1"/>
  <c r="AE1710" i="1"/>
  <c r="AE2042" i="1"/>
  <c r="AE4023" i="1"/>
  <c r="AE169" i="1"/>
  <c r="AE1264" i="1"/>
  <c r="AE1513" i="1"/>
  <c r="AE2952" i="1"/>
  <c r="AE1667" i="1"/>
  <c r="AE4085" i="1"/>
  <c r="AE2366" i="1"/>
  <c r="AE2079" i="1"/>
  <c r="AE4071" i="1"/>
  <c r="AE1202" i="1"/>
  <c r="AE1800" i="1"/>
  <c r="AE470" i="1"/>
  <c r="AE1548" i="1"/>
  <c r="AE3498" i="1"/>
  <c r="AE2585" i="1"/>
  <c r="AE4525" i="1"/>
  <c r="AE3430" i="1"/>
  <c r="AE238" i="1"/>
  <c r="AE1924" i="1"/>
  <c r="AE4186" i="1"/>
  <c r="AE4010" i="1"/>
  <c r="AE841" i="1"/>
  <c r="AE1973" i="1"/>
  <c r="AE3625" i="1"/>
  <c r="AE3628" i="1"/>
  <c r="AE3718" i="1"/>
  <c r="AE4042" i="1"/>
  <c r="AE249" i="1"/>
  <c r="AE3320" i="1"/>
  <c r="AE1617" i="1"/>
  <c r="AE2834" i="1"/>
  <c r="AE1182" i="1"/>
  <c r="AE4437" i="1"/>
  <c r="AE2206" i="1"/>
  <c r="AE2494" i="1"/>
  <c r="AE1638" i="1"/>
  <c r="AE2752" i="1"/>
  <c r="AE2941" i="1"/>
  <c r="AE3843" i="1"/>
  <c r="AE3340" i="1"/>
  <c r="AE2705" i="1"/>
  <c r="AE2156" i="1"/>
  <c r="AE1016" i="1"/>
  <c r="AE2979" i="1"/>
  <c r="AE712" i="1"/>
  <c r="AE4059" i="1"/>
  <c r="AE1664" i="1"/>
  <c r="AE1676" i="1"/>
  <c r="AE625" i="1"/>
  <c r="AE3946" i="1"/>
  <c r="AE289" i="1"/>
  <c r="AE1335" i="1"/>
  <c r="AE3682" i="1"/>
  <c r="AE3643" i="1"/>
  <c r="AE964" i="1"/>
  <c r="AE2754" i="1"/>
  <c r="AE802" i="1"/>
  <c r="AE3621" i="1"/>
  <c r="AE2041" i="1"/>
  <c r="AE2997" i="1"/>
  <c r="AE234" i="1"/>
  <c r="AE408" i="1"/>
  <c r="AE4310" i="1"/>
  <c r="AE500" i="1"/>
  <c r="AE2756" i="1"/>
  <c r="AE4088" i="1"/>
  <c r="AE2541" i="1"/>
  <c r="AE2691" i="1"/>
  <c r="AE283" i="1"/>
  <c r="AE1524" i="1"/>
  <c r="AE1882" i="1"/>
  <c r="AE1889" i="1"/>
  <c r="AE1304" i="1"/>
  <c r="AE2859" i="1"/>
  <c r="AE4432" i="1"/>
  <c r="AE3753" i="1"/>
  <c r="AE2493" i="1"/>
  <c r="AE3437" i="1"/>
  <c r="AE1462" i="1"/>
  <c r="AE1681" i="1"/>
  <c r="AE550" i="1"/>
  <c r="AE4396" i="1"/>
  <c r="AE2555" i="1"/>
  <c r="AE2271" i="1"/>
  <c r="AE1645" i="1"/>
  <c r="AE4089" i="1"/>
  <c r="AE1429" i="1"/>
  <c r="AE3642" i="1"/>
  <c r="AE3118" i="1"/>
  <c r="AE675" i="1"/>
  <c r="AE1994" i="1"/>
  <c r="AE1979" i="1"/>
  <c r="AE3399" i="1"/>
  <c r="AE3155" i="1"/>
  <c r="AE4176" i="1"/>
  <c r="AE2055" i="1"/>
  <c r="AE3045" i="1"/>
  <c r="AE2239" i="1"/>
  <c r="AE1767" i="1"/>
  <c r="AE1166" i="1"/>
  <c r="AE3469" i="1"/>
  <c r="AE3907" i="1"/>
  <c r="AE1188" i="1"/>
  <c r="AE3847" i="1"/>
  <c r="AE3673" i="1"/>
  <c r="AE2755" i="1"/>
  <c r="AE4254" i="1"/>
  <c r="AE2285" i="1"/>
  <c r="AE3300" i="1"/>
  <c r="AE1894" i="1"/>
  <c r="AE650" i="1"/>
  <c r="AE1064" i="1"/>
  <c r="AE4388" i="1"/>
  <c r="AE1578" i="1"/>
  <c r="AE2439" i="1"/>
  <c r="AE4556" i="1"/>
  <c r="AE1972" i="1"/>
  <c r="AE4478" i="1"/>
  <c r="AE2805" i="1"/>
  <c r="AE525" i="1"/>
  <c r="AE3560" i="1"/>
  <c r="AE1554" i="1"/>
  <c r="AE1729" i="1"/>
  <c r="AE569" i="1"/>
  <c r="AE2320" i="1"/>
  <c r="AE2154" i="1"/>
  <c r="AE4313" i="1"/>
  <c r="AE3817" i="1"/>
  <c r="AE133" i="1"/>
  <c r="AE2359" i="1"/>
  <c r="AE3252" i="1"/>
  <c r="AE1260" i="1"/>
  <c r="AE1299" i="1"/>
  <c r="AE1989" i="1"/>
  <c r="AE2210" i="1"/>
  <c r="AE3352" i="1"/>
  <c r="AE3997" i="1"/>
  <c r="AE2554" i="1"/>
  <c r="AE832" i="1"/>
  <c r="AE266" i="1"/>
  <c r="AE4371" i="1"/>
  <c r="AE3223" i="1"/>
  <c r="AE3450" i="1"/>
  <c r="AE2905" i="1"/>
  <c r="AE995" i="1"/>
  <c r="AE3967" i="1"/>
  <c r="AE188" i="1"/>
  <c r="AE1601" i="1"/>
  <c r="AE4224" i="1"/>
  <c r="AE3597" i="1"/>
  <c r="AE2136" i="1"/>
  <c r="AE2237" i="1"/>
  <c r="AE3412" i="1"/>
  <c r="AE3378" i="1"/>
  <c r="AE2221" i="1"/>
  <c r="AE4125" i="1"/>
  <c r="AE2469" i="1"/>
  <c r="AE265" i="1"/>
  <c r="AE4145" i="1"/>
  <c r="AE551" i="1"/>
  <c r="AE804" i="1"/>
  <c r="AE51" i="1"/>
  <c r="AE4307" i="1"/>
  <c r="AE2839" i="1"/>
  <c r="AE110" i="1"/>
  <c r="AE1216" i="1"/>
  <c r="AE1097" i="1"/>
  <c r="AE2721" i="1"/>
  <c r="AE1883" i="1"/>
  <c r="AE2429" i="1"/>
  <c r="AE2610" i="1"/>
  <c r="AE2684" i="1"/>
  <c r="AE1372" i="1"/>
  <c r="AE3281" i="1"/>
  <c r="AE1422" i="1"/>
  <c r="AE725" i="1"/>
  <c r="AE1986" i="1"/>
  <c r="AE1731" i="1"/>
  <c r="AE3197" i="1"/>
  <c r="AE3719" i="1"/>
  <c r="AE3424" i="1"/>
  <c r="AE2178" i="1"/>
  <c r="AE4180" i="1"/>
  <c r="AE2313" i="1"/>
  <c r="AE4258" i="1"/>
  <c r="AE3038" i="1"/>
  <c r="AE160" i="1"/>
  <c r="AE2138" i="1"/>
  <c r="AE3779" i="1"/>
  <c r="AE2977" i="1"/>
  <c r="AE2772" i="1"/>
  <c r="AE2293" i="1"/>
  <c r="AE3703" i="1"/>
  <c r="AE4393" i="1"/>
  <c r="AE2345" i="1"/>
  <c r="AE771" i="1"/>
  <c r="AE1804" i="1"/>
  <c r="AE4173" i="1"/>
  <c r="AE3168" i="1"/>
  <c r="AE24" i="1"/>
  <c r="AE507" i="1"/>
  <c r="AE2341" i="1"/>
  <c r="AE2956" i="1"/>
  <c r="AE4325" i="1"/>
  <c r="AE2343" i="1"/>
  <c r="AE2745" i="1"/>
  <c r="AE3937" i="1"/>
  <c r="AE4541" i="1"/>
  <c r="AE1495" i="1"/>
  <c r="AE2744" i="1"/>
  <c r="AE1098" i="1"/>
  <c r="AE3291" i="1"/>
  <c r="AE4469" i="1"/>
  <c r="AE568" i="1"/>
  <c r="AE3122" i="1"/>
  <c r="AE1505" i="1"/>
  <c r="AE840" i="1"/>
  <c r="AE2522" i="1"/>
  <c r="AE193" i="1"/>
  <c r="AE226" i="1"/>
  <c r="AE3021" i="1"/>
  <c r="AE4399" i="1"/>
  <c r="AE2842" i="1"/>
  <c r="AE4006" i="1"/>
  <c r="AE1693" i="1"/>
  <c r="AE2711" i="1"/>
  <c r="AE2424" i="1"/>
  <c r="AE173" i="1"/>
  <c r="AE2132" i="1"/>
  <c r="AE2364" i="1"/>
  <c r="AE3328" i="1"/>
  <c r="AE3121" i="1"/>
  <c r="AE257" i="1"/>
  <c r="AE4262" i="1"/>
  <c r="AE732" i="1"/>
  <c r="AE4353" i="1"/>
  <c r="AE4444" i="1"/>
  <c r="AE988" i="1"/>
  <c r="AE4092" i="1"/>
  <c r="AE1696" i="1"/>
  <c r="AE2701" i="1"/>
  <c r="AE1285" i="1"/>
  <c r="AE1911" i="1"/>
  <c r="AE1674" i="1"/>
  <c r="AE1205" i="1"/>
  <c r="AE2916" i="1"/>
  <c r="AE1879" i="1"/>
  <c r="AE2331" i="1"/>
  <c r="AE140" i="1"/>
  <c r="AE884" i="1"/>
  <c r="AE389" i="1"/>
  <c r="AE3088" i="1"/>
  <c r="AE1980" i="1"/>
  <c r="AE891" i="1"/>
  <c r="AE548" i="1"/>
  <c r="AE2556" i="1"/>
  <c r="AE414" i="1"/>
  <c r="AE2966" i="1"/>
  <c r="AE1105" i="1"/>
  <c r="AE1722" i="1"/>
  <c r="AE2778" i="1"/>
  <c r="AE3598" i="1"/>
  <c r="AE66" i="1"/>
  <c r="AE1844" i="1"/>
  <c r="AE2225" i="1"/>
  <c r="AE4550" i="1"/>
  <c r="AE3861" i="1"/>
  <c r="AE3148" i="1"/>
  <c r="AE3553" i="1"/>
  <c r="AE502" i="1"/>
  <c r="AE3264" i="1"/>
  <c r="AE975" i="1"/>
  <c r="AE1908" i="1"/>
  <c r="AE708" i="1"/>
  <c r="AE2032" i="1"/>
  <c r="AE2102" i="1"/>
  <c r="AE1225" i="1"/>
  <c r="AE4367" i="1"/>
  <c r="AE3229" i="1"/>
  <c r="AE2703" i="1"/>
  <c r="AE1850" i="1"/>
  <c r="AE2137" i="1"/>
  <c r="AE3030" i="1"/>
  <c r="AE2427" i="1"/>
  <c r="AE4134" i="1"/>
  <c r="AE2954" i="1"/>
  <c r="AE2026" i="1"/>
  <c r="AE1733" i="1"/>
  <c r="AE406" i="1"/>
  <c r="AE1240" i="1"/>
  <c r="AE2256" i="1"/>
  <c r="AE21" i="1"/>
  <c r="AE3172" i="1"/>
  <c r="AE1684" i="1"/>
  <c r="AE231" i="1"/>
  <c r="AE1960" i="1"/>
  <c r="AE3189" i="1"/>
  <c r="AE2235" i="1"/>
  <c r="AE3183" i="1"/>
  <c r="AE1917" i="1"/>
  <c r="AE1233" i="1"/>
  <c r="AE4364" i="1"/>
  <c r="AE2801" i="1"/>
  <c r="AE3549" i="1"/>
  <c r="AE350" i="1"/>
  <c r="AE3525" i="1"/>
  <c r="AE2056" i="1"/>
  <c r="AE912" i="1"/>
  <c r="AE756" i="1"/>
  <c r="AE4407" i="1"/>
  <c r="AE753" i="1"/>
  <c r="AE3290" i="1"/>
  <c r="AE1457" i="1"/>
  <c r="AE2998" i="1"/>
  <c r="AE3594" i="1"/>
  <c r="AE3765" i="1"/>
  <c r="AE3113" i="1"/>
  <c r="AE1551" i="1"/>
  <c r="AE2476" i="1"/>
  <c r="AE2643" i="1"/>
  <c r="AE100" i="1"/>
  <c r="AE1086" i="1"/>
  <c r="AE1256" i="1"/>
  <c r="AE3191" i="1"/>
  <c r="AE2726" i="1"/>
  <c r="AE329" i="1"/>
  <c r="AE355" i="1"/>
  <c r="AE3015" i="1"/>
  <c r="AE3040" i="1"/>
  <c r="AE2603" i="1"/>
  <c r="AE658" i="1"/>
  <c r="AE2505" i="1"/>
  <c r="AE4547" i="1"/>
  <c r="AE1091" i="1"/>
  <c r="AE4016" i="1"/>
  <c r="AE3683" i="1"/>
  <c r="AE1619" i="1"/>
  <c r="AE2992" i="1"/>
  <c r="AE932" i="1"/>
  <c r="AE3744" i="1"/>
  <c r="AE3400" i="1"/>
  <c r="AE199" i="1"/>
  <c r="AE2141" i="1"/>
  <c r="AE1284" i="1"/>
  <c r="AE2318" i="1"/>
  <c r="AE1048" i="1"/>
  <c r="AE689" i="1"/>
  <c r="AE3927" i="1"/>
  <c r="AE3661" i="1"/>
  <c r="AE3000" i="1"/>
  <c r="AE3813" i="1"/>
  <c r="AE4126" i="1"/>
  <c r="AE3838" i="1"/>
  <c r="AE103" i="1"/>
  <c r="AE1418" i="1"/>
  <c r="AE428" i="1"/>
  <c r="AE2254" i="1"/>
  <c r="AE3323" i="1"/>
  <c r="AE4143" i="1"/>
  <c r="AE1898" i="1"/>
  <c r="AE1382" i="1"/>
  <c r="AE4271" i="1"/>
  <c r="AE4156" i="1"/>
  <c r="AE1522" i="1"/>
  <c r="AE2480" i="1"/>
  <c r="AE3837" i="1"/>
  <c r="AE1625" i="1"/>
  <c r="AE4056" i="1"/>
  <c r="AE4038" i="1"/>
  <c r="AE2346" i="1"/>
  <c r="AE3458" i="1"/>
  <c r="AE2482" i="1"/>
  <c r="AE2578" i="1"/>
  <c r="AE1009" i="1"/>
  <c r="AE1474" i="1"/>
  <c r="AE1857" i="1"/>
  <c r="AE3128" i="1"/>
  <c r="AE1959" i="1"/>
  <c r="AE3881" i="1"/>
  <c r="AE1155" i="1"/>
  <c r="AE4339" i="1"/>
  <c r="AE4523" i="1"/>
  <c r="AE200" i="1"/>
  <c r="AE2948" i="1"/>
  <c r="AE4503" i="1"/>
  <c r="AE2058" i="1"/>
  <c r="AE789" i="1"/>
  <c r="AE511" i="1"/>
  <c r="AE427" i="1"/>
  <c r="AE4486" i="1"/>
  <c r="AE4081" i="1"/>
  <c r="AE447" i="1"/>
  <c r="AE3505" i="1"/>
  <c r="AE2362" i="1"/>
  <c r="AE837" i="1"/>
  <c r="AE1237" i="1"/>
  <c r="AE2432" i="1"/>
  <c r="AE1950" i="1"/>
  <c r="AE3676" i="1"/>
  <c r="AE958" i="1"/>
  <c r="AE2769" i="1"/>
  <c r="AE3615" i="1"/>
  <c r="AE1672" i="1"/>
  <c r="AE4428" i="1"/>
  <c r="AE2951" i="1"/>
  <c r="AE1933" i="1"/>
  <c r="AE3188" i="1"/>
  <c r="AE4223" i="1"/>
  <c r="AE111" i="1"/>
  <c r="AE3775" i="1"/>
  <c r="AE1210" i="1"/>
  <c r="AE628" i="1"/>
  <c r="AE1247" i="1"/>
  <c r="AE3605" i="1"/>
  <c r="AE3361" i="1"/>
  <c r="AE3421" i="1"/>
  <c r="AE4128" i="1"/>
  <c r="AE2134" i="1"/>
  <c r="AE4321" i="1"/>
  <c r="AE3755" i="1"/>
  <c r="AE636" i="1"/>
  <c r="AE608" i="1"/>
  <c r="AE4108" i="1"/>
  <c r="AE713" i="1"/>
  <c r="AE4487" i="1"/>
  <c r="AE3782" i="1"/>
  <c r="AE37" i="1"/>
  <c r="AE2753" i="1"/>
  <c r="AE3667" i="1"/>
  <c r="AE4198" i="1"/>
  <c r="AE2201" i="1"/>
  <c r="AE2353" i="1"/>
  <c r="AE1111" i="1"/>
  <c r="AE1439" i="1"/>
  <c r="AE2186" i="1"/>
  <c r="AE3866" i="1"/>
  <c r="AE2022" i="1"/>
  <c r="AE4228" i="1"/>
  <c r="AE880" i="1"/>
  <c r="AE2818" i="1"/>
  <c r="AE4041" i="1"/>
  <c r="AE1468" i="1"/>
  <c r="AE3488" i="1"/>
  <c r="AE1333" i="1"/>
  <c r="AE2265" i="1"/>
  <c r="AE657" i="1"/>
  <c r="AE2825" i="1"/>
  <c r="AE3849" i="1"/>
  <c r="AE1174" i="1"/>
  <c r="AE1242" i="1"/>
  <c r="AE2572" i="1"/>
  <c r="AE3115" i="1"/>
  <c r="AE306" i="1"/>
  <c r="AE1423" i="1"/>
  <c r="AE2377" i="1"/>
  <c r="AE1434" i="1"/>
  <c r="AE3646" i="1"/>
  <c r="AE3731" i="1"/>
  <c r="AE3145" i="1"/>
  <c r="AE296" i="1"/>
  <c r="AE4215" i="1"/>
  <c r="AE3999" i="1"/>
  <c r="AE2819" i="1"/>
  <c r="AE3963" i="1"/>
  <c r="AE4324" i="1"/>
  <c r="AE3310" i="1"/>
  <c r="AE2698" i="1"/>
  <c r="AE1963" i="1"/>
  <c r="AE3521" i="1"/>
  <c r="AE1096" i="1"/>
  <c r="AE2155" i="1"/>
  <c r="AE2573" i="1"/>
  <c r="AE1827" i="1"/>
  <c r="AE1871" i="1"/>
  <c r="AE1565" i="1"/>
  <c r="AE3973" i="1"/>
  <c r="AE4111" i="1"/>
  <c r="AE365" i="1"/>
  <c r="AE617" i="1"/>
  <c r="AE4102" i="1"/>
  <c r="AE1450" i="1"/>
  <c r="AE1294" i="1"/>
  <c r="AE1487" i="1"/>
  <c r="AE1802" i="1"/>
  <c r="AE3518" i="1"/>
  <c r="AE464" i="1"/>
  <c r="AE2985" i="1"/>
  <c r="AE1858" i="1"/>
  <c r="AE3071" i="1"/>
  <c r="AE4297" i="1"/>
  <c r="AE3532" i="1"/>
  <c r="AE1241" i="1"/>
  <c r="AE2478" i="1"/>
  <c r="AE1142" i="1"/>
  <c r="AE1475" i="1"/>
  <c r="AE1362" i="1"/>
  <c r="AE2428" i="1"/>
  <c r="AE1923" i="1"/>
  <c r="AE3580" i="1"/>
  <c r="AE96" i="1"/>
  <c r="AE1198" i="1"/>
  <c r="AE276" i="1"/>
  <c r="AE2588" i="1"/>
  <c r="AE3945" i="1"/>
  <c r="AE4157" i="1"/>
  <c r="AE2160" i="1"/>
  <c r="AE3332" i="1"/>
  <c r="AE2518" i="1"/>
  <c r="AE807" i="1"/>
  <c r="AE3220" i="1"/>
  <c r="AE1269" i="1"/>
  <c r="AE2442" i="1"/>
  <c r="AE2612" i="1"/>
  <c r="AE4333" i="1"/>
  <c r="AE8" i="1"/>
  <c r="AE576" i="1"/>
  <c r="AE2591" i="1"/>
  <c r="AE2900" i="1"/>
  <c r="AE559" i="1"/>
  <c r="AE342" i="1"/>
  <c r="AE364" i="1"/>
  <c r="AE4382" i="1"/>
  <c r="AE4306" i="1"/>
  <c r="AE2379" i="1"/>
  <c r="AE2877" i="1"/>
  <c r="AE3797" i="1"/>
  <c r="AE582" i="1"/>
  <c r="AE637" i="1"/>
  <c r="AE709" i="1"/>
  <c r="AE4246" i="1"/>
  <c r="AE1906" i="1"/>
  <c r="AE346" i="1"/>
  <c r="AE2513" i="1"/>
  <c r="AE1066" i="1"/>
  <c r="AE798" i="1"/>
  <c r="AE1563" i="1"/>
  <c r="AE3748" i="1"/>
  <c r="AE1025" i="1"/>
  <c r="AE3022" i="1"/>
  <c r="AE2501" i="1"/>
  <c r="AE904" i="1"/>
  <c r="AE3976" i="1"/>
  <c r="AE4206" i="1"/>
  <c r="AE1988" i="1"/>
  <c r="AE4322" i="1"/>
  <c r="AE3162" i="1"/>
  <c r="AE4163" i="1"/>
  <c r="AE2519" i="1"/>
  <c r="AE2200" i="1"/>
  <c r="AE2457" i="1"/>
  <c r="AE1209" i="1"/>
  <c r="AE2485" i="1"/>
  <c r="AE106" i="1"/>
  <c r="AE2695" i="1"/>
  <c r="AE2702" i="1"/>
  <c r="AE252" i="1"/>
  <c r="AE4282" i="1"/>
  <c r="AE3342" i="1"/>
  <c r="AE320" i="1"/>
  <c r="AE3133" i="1"/>
  <c r="AE2658" i="1"/>
  <c r="AE4404" i="1"/>
  <c r="AE1126" i="1"/>
  <c r="AE1529" i="1"/>
  <c r="AE2247" i="1"/>
  <c r="AE570" i="1"/>
  <c r="AE786" i="1"/>
  <c r="AE4123" i="1"/>
  <c r="AE3341" i="1"/>
  <c r="AE2111" i="1"/>
  <c r="AE1451" i="1"/>
  <c r="AE4200" i="1"/>
  <c r="AE420" i="1"/>
  <c r="AE4045" i="1"/>
  <c r="AE1516" i="1"/>
  <c r="AE728" i="1"/>
  <c r="AE4207" i="1"/>
  <c r="AE3294" i="1"/>
  <c r="AE1132" i="1"/>
  <c r="AE1008" i="1"/>
  <c r="AE1088" i="1"/>
  <c r="AE2333" i="1"/>
  <c r="AE916" i="1"/>
  <c r="AE3993" i="1"/>
  <c r="AE971" i="1"/>
  <c r="AE4112" i="1"/>
  <c r="AE2317" i="1"/>
  <c r="AE2616" i="1"/>
  <c r="AE1374" i="1"/>
  <c r="AE4028" i="1"/>
  <c r="AE1029" i="1"/>
  <c r="AE2084" i="1"/>
  <c r="AE351" i="1"/>
  <c r="AE1482" i="1"/>
  <c r="AE3544" i="1"/>
  <c r="AE1566" i="1"/>
  <c r="AE931" i="1"/>
  <c r="AE3491" i="1"/>
  <c r="AE4377" i="1"/>
  <c r="AE748" i="1"/>
  <c r="AE425" i="1"/>
  <c r="AE2189" i="1"/>
  <c r="AE2070" i="1"/>
  <c r="AE3436" i="1"/>
  <c r="AE411" i="1"/>
  <c r="AE118" i="1"/>
  <c r="AE3292" i="1"/>
  <c r="AE2580" i="1"/>
  <c r="AE4120" i="1"/>
  <c r="AE4329" i="1"/>
  <c r="AE1460" i="1"/>
  <c r="AE1011" i="1"/>
  <c r="AE3878" i="1"/>
  <c r="AE1226" i="1"/>
  <c r="AE370" i="1"/>
  <c r="AE2334" i="1"/>
  <c r="AE3713" i="1"/>
  <c r="AE691" i="1"/>
  <c r="AE424" i="1"/>
  <c r="AE654" i="1"/>
  <c r="AE2064" i="1"/>
  <c r="AE2560" i="1"/>
  <c r="AE4557" i="1"/>
  <c r="AE4533" i="1"/>
  <c r="AE3417" i="1"/>
  <c r="AE3845" i="1"/>
  <c r="AE929" i="1"/>
  <c r="AE2764" i="1"/>
  <c r="AE384" i="1"/>
  <c r="AE1987" i="1"/>
  <c r="AE1595" i="1"/>
  <c r="AE1082" i="1"/>
  <c r="AE1949" i="1"/>
  <c r="AE4153" i="1"/>
  <c r="AE4103" i="1"/>
  <c r="AE4117" i="1"/>
  <c r="AE1993" i="1"/>
  <c r="AE1866" i="1"/>
  <c r="AE3489" i="1"/>
  <c r="AE1969" i="1"/>
  <c r="AE849" i="1"/>
  <c r="AE1783" i="1"/>
  <c r="AE949" i="1"/>
  <c r="AE4270" i="1"/>
  <c r="AE1532" i="1"/>
  <c r="AE792" i="1"/>
  <c r="AE2372" i="1"/>
  <c r="AE3073" i="1"/>
  <c r="AE3536" i="1"/>
  <c r="AE1555" i="1"/>
  <c r="AE729" i="1"/>
  <c r="AE146" i="1"/>
  <c r="AE2179" i="1"/>
  <c r="AE1406" i="1"/>
  <c r="AE1687" i="1"/>
  <c r="AE1424" i="1"/>
  <c r="AE3645" i="1"/>
  <c r="AE4094" i="1"/>
  <c r="AE980" i="1"/>
  <c r="AE3134" i="1"/>
  <c r="AE1397" i="1"/>
  <c r="AE3146" i="1"/>
  <c r="AE4031" i="1"/>
  <c r="AE1966" i="1"/>
  <c r="AE3693" i="1"/>
  <c r="AE4130" i="1"/>
  <c r="AE3257" i="1"/>
  <c r="AE1001" i="1"/>
  <c r="AE999" i="1"/>
  <c r="AE2737" i="1"/>
  <c r="AE594" i="1"/>
  <c r="AE1315" i="1"/>
  <c r="AE4167" i="1"/>
  <c r="AE1822" i="1"/>
  <c r="AE183" i="1"/>
  <c r="AE4415" i="1"/>
  <c r="AE1806" i="1"/>
  <c r="AE940" i="1"/>
  <c r="AE3275" i="1"/>
  <c r="AE492" i="1"/>
  <c r="AE4450" i="1"/>
  <c r="AE1293" i="1"/>
  <c r="AE973" i="1"/>
  <c r="AE2800" i="1"/>
  <c r="AE4060" i="1"/>
  <c r="AE141" i="1"/>
  <c r="AE572" i="1"/>
  <c r="AE3409" i="1"/>
  <c r="AE3391" i="1"/>
  <c r="AE4468" i="1"/>
  <c r="AE2568" i="1"/>
  <c r="AE1660" i="1"/>
  <c r="AE3420" i="1"/>
  <c r="AE3001" i="1"/>
  <c r="AE1538" i="1"/>
  <c r="AE2735" i="1"/>
  <c r="AE4530" i="1"/>
  <c r="AE1316" i="1"/>
  <c r="AE2230" i="1"/>
  <c r="AE2587" i="1"/>
  <c r="AE326" i="1"/>
  <c r="AE394" i="1"/>
  <c r="AE1978" i="1"/>
  <c r="AE471" i="1"/>
  <c r="AE843" i="1"/>
  <c r="AE368" i="1"/>
  <c r="AE4397" i="1"/>
  <c r="AE2488" i="1"/>
  <c r="AE3383" i="1"/>
  <c r="AE831" i="1"/>
  <c r="AE215" i="1"/>
  <c r="AE1835" i="1"/>
  <c r="AE3636" i="1"/>
  <c r="AE1808" i="1"/>
  <c r="AE273" i="1"/>
  <c r="AE3047" i="1"/>
  <c r="AE2096" i="1"/>
  <c r="AE1614" i="1"/>
  <c r="AE279" i="1"/>
  <c r="AE4087" i="1"/>
  <c r="AE1675" i="1"/>
  <c r="AE3660" i="1"/>
  <c r="AE898" i="1"/>
  <c r="AE4037" i="1"/>
  <c r="AE2873" i="1"/>
  <c r="AE2870" i="1"/>
  <c r="AE3379" i="1"/>
  <c r="AE3478" i="1"/>
  <c r="AE120" i="1"/>
  <c r="AE2680" i="1"/>
  <c r="AE1974" i="1"/>
  <c r="AE3774" i="1"/>
  <c r="AE3388" i="1"/>
  <c r="AE2396" i="1"/>
  <c r="AE2688" i="1"/>
  <c r="AE2378" i="1"/>
  <c r="AE1311" i="1"/>
  <c r="AE4458" i="1"/>
  <c r="AE3473" i="1"/>
  <c r="AE2309" i="1"/>
  <c r="AE850" i="1"/>
  <c r="AE3681" i="1"/>
  <c r="AE3936" i="1"/>
  <c r="AE682" i="1"/>
  <c r="AE453" i="1"/>
  <c r="AE3357" i="1"/>
  <c r="AE3500" i="1"/>
  <c r="AE1654" i="1"/>
  <c r="AE4104" i="1"/>
  <c r="AE282" i="1"/>
  <c r="AE2087" i="1"/>
  <c r="AE2350" i="1"/>
  <c r="AE454" i="1"/>
  <c r="AE947" i="1"/>
  <c r="AE3859" i="1"/>
  <c r="AE4452" i="1"/>
  <c r="AE1919" i="1"/>
  <c r="AE653" i="1"/>
  <c r="AE3447" i="1"/>
  <c r="AE1872" i="1"/>
  <c r="AE2004" i="1"/>
  <c r="AE954" i="1"/>
  <c r="AE4383" i="1"/>
  <c r="AE3116" i="1"/>
  <c r="AE4501" i="1"/>
  <c r="AE538" i="1"/>
  <c r="AE597" i="1"/>
  <c r="AE2840" i="1"/>
  <c r="AE2527" i="1"/>
  <c r="AE3282" i="1"/>
  <c r="AE147" i="1"/>
  <c r="AE4196" i="1"/>
  <c r="AE3555" i="1"/>
  <c r="AE2602" i="1"/>
  <c r="AE3678" i="1"/>
  <c r="AE3784" i="1"/>
  <c r="AE3572" i="1"/>
  <c r="AE3020" i="1"/>
  <c r="AE1373" i="1"/>
  <c r="AE2999" i="1"/>
  <c r="AE2169" i="1"/>
  <c r="AE3090" i="1"/>
  <c r="AE3316" i="1"/>
  <c r="AE4232" i="1"/>
  <c r="AE4205" i="1"/>
  <c r="AE2626" i="1"/>
  <c r="AE2020" i="1"/>
  <c r="AE972" i="1"/>
  <c r="AE1156" i="1"/>
  <c r="AE2209" i="1"/>
  <c r="AE592" i="1"/>
  <c r="AE1771" i="1"/>
  <c r="AE2405" i="1"/>
  <c r="AE714" i="1"/>
  <c r="AE4036" i="1"/>
  <c r="AE2675" i="1"/>
  <c r="AE4309" i="1"/>
  <c r="AE3025" i="1"/>
  <c r="AE1061" i="1"/>
  <c r="AE369" i="1"/>
  <c r="AE981" i="1"/>
  <c r="AE202" i="1"/>
  <c r="AE2725" i="1"/>
  <c r="AE3829" i="1"/>
  <c r="AE2511" i="1"/>
  <c r="AE36" i="1"/>
  <c r="AE1861" i="1"/>
  <c r="AE3225" i="1"/>
  <c r="AE2127" i="1"/>
  <c r="AE3031" i="1"/>
  <c r="AE1564" i="1"/>
  <c r="AE1816" i="1"/>
  <c r="AE2195" i="1"/>
  <c r="AE2793" i="1"/>
  <c r="AE4002" i="1"/>
  <c r="AE3381" i="1"/>
  <c r="AE3023" i="1"/>
  <c r="AE4534" i="1"/>
  <c r="AE2497" i="1"/>
  <c r="AE2538" i="1"/>
  <c r="AE1427" i="1"/>
  <c r="AE3367" i="1"/>
  <c r="AE3918" i="1"/>
  <c r="AE4378" i="1"/>
  <c r="AE1992" i="1"/>
  <c r="AE799" i="1"/>
  <c r="AE4336" i="1"/>
  <c r="AE1716" i="1"/>
  <c r="AE3686" i="1"/>
  <c r="AE4283" i="1"/>
  <c r="AE645" i="1"/>
  <c r="AE2018" i="1"/>
  <c r="AE820" i="1"/>
  <c r="AE3666" i="1"/>
  <c r="AE4402" i="1"/>
  <c r="AE2743" i="1"/>
  <c r="AE1703" i="1"/>
  <c r="AE2081" i="1"/>
  <c r="AE490" i="1"/>
  <c r="AE291" i="1"/>
  <c r="AE3232" i="1"/>
  <c r="AE2836" i="1"/>
  <c r="AE3715" i="1"/>
  <c r="AE2814" i="1"/>
  <c r="AE2188" i="1"/>
  <c r="AE4053" i="1"/>
  <c r="AE1235" i="1"/>
  <c r="AE2252" i="1"/>
  <c r="AE574" i="1"/>
  <c r="AE3356" i="1"/>
  <c r="AE667" i="1"/>
  <c r="AE298" i="1"/>
  <c r="AE375" i="1"/>
  <c r="AE3928" i="1"/>
  <c r="AE3653" i="1"/>
  <c r="AE835" i="1"/>
  <c r="AE2828" i="1"/>
  <c r="AE1896" i="1"/>
  <c r="AE4345" i="1"/>
  <c r="AE2229" i="1"/>
  <c r="AE2696" i="1"/>
  <c r="AE4040" i="1"/>
  <c r="AE4181" i="1"/>
  <c r="AE3880" i="1"/>
  <c r="AE4488" i="1"/>
  <c r="AE1195" i="1"/>
  <c r="AE4427" i="1"/>
  <c r="AE1159" i="1"/>
  <c r="AE1677" i="1"/>
  <c r="AE3954" i="1"/>
  <c r="AE598" i="1"/>
  <c r="AE1597" i="1"/>
  <c r="AE1377" i="1"/>
  <c r="AE2699" i="1"/>
  <c r="AE2031" i="1"/>
  <c r="AE3465" i="1"/>
  <c r="AE806" i="1"/>
  <c r="AE583" i="1"/>
  <c r="AE3086" i="1"/>
  <c r="AE2741" i="1"/>
  <c r="AE2901" i="1"/>
  <c r="AE4187" i="1"/>
  <c r="AE1788" i="1"/>
  <c r="AE3556" i="1"/>
  <c r="AE711" i="1"/>
  <c r="AE2267" i="1"/>
  <c r="AE4095" i="1"/>
  <c r="AE3215" i="1"/>
  <c r="AE310" i="1"/>
  <c r="AE2270" i="1"/>
  <c r="AE3516" i="1"/>
  <c r="AE1177" i="1"/>
  <c r="AE730" i="1"/>
  <c r="AE3814" i="1"/>
  <c r="AE2090" i="1"/>
  <c r="AE1902" i="1"/>
  <c r="AE2888" i="1"/>
  <c r="AE3867" i="1"/>
  <c r="AE554" i="1"/>
  <c r="AE35" i="1"/>
  <c r="AE1321" i="1"/>
  <c r="AE825" i="1"/>
  <c r="AE4439" i="1"/>
  <c r="AE2709" i="1"/>
  <c r="AE2401" i="1"/>
  <c r="AE2512" i="1"/>
  <c r="AE938" i="1"/>
  <c r="AE3050" i="1"/>
  <c r="AE3965" i="1"/>
  <c r="AE1869" i="1"/>
  <c r="AE2641" i="1"/>
  <c r="AE4015" i="1"/>
  <c r="AE909" i="1"/>
  <c r="AE3663" i="1"/>
  <c r="AE1921" i="1"/>
  <c r="AE4330" i="1"/>
  <c r="AE3887" i="1"/>
  <c r="AE698" i="1"/>
  <c r="AE589" i="1"/>
  <c r="AE4027" i="1"/>
  <c r="AE836" i="1"/>
  <c r="AE812" i="1"/>
  <c r="AE419" i="1"/>
  <c r="AE3385" i="1"/>
  <c r="AE1574" i="1"/>
  <c r="AE2682" i="1"/>
  <c r="AE4061" i="1"/>
  <c r="AE1991" i="1"/>
  <c r="AE4049" i="1"/>
  <c r="AE526" i="1"/>
  <c r="AE3454" i="1"/>
  <c r="AE3862" i="1"/>
  <c r="AE2510" i="1"/>
  <c r="AE1121" i="1"/>
  <c r="AE2947" i="1"/>
  <c r="AE3386" i="1"/>
  <c r="AE1136" i="1"/>
  <c r="AE1852" i="1"/>
  <c r="AE2786" i="1"/>
  <c r="AE3065" i="1"/>
  <c r="AE4149" i="1"/>
  <c r="AE1296" i="1"/>
  <c r="AE2980" i="1"/>
  <c r="AE440" i="1"/>
  <c r="AE142" i="1"/>
  <c r="AE2846" i="1"/>
  <c r="AE1469" i="1"/>
  <c r="AE3721" i="1"/>
  <c r="AE250" i="1"/>
  <c r="AE4064" i="1"/>
  <c r="AE2968" i="1"/>
  <c r="AE1725" i="1"/>
  <c r="AE3567" i="1"/>
  <c r="AE3522" i="1"/>
  <c r="AE1050" i="1"/>
  <c r="AE1749" i="1"/>
  <c r="AE1780" i="1"/>
  <c r="AE2665" i="1"/>
  <c r="AE2276" i="1"/>
  <c r="AE236" i="1"/>
  <c r="AE590" i="1"/>
  <c r="AE317" i="1"/>
  <c r="AE4122" i="1"/>
  <c r="AE3431" i="1"/>
  <c r="AE2280" i="1"/>
  <c r="AE899" i="1"/>
  <c r="AE2082" i="1"/>
  <c r="AE4100" i="1"/>
  <c r="AE3364" i="1"/>
  <c r="AE3984" i="1"/>
  <c r="AE3541" i="1"/>
  <c r="AE587" i="1"/>
  <c r="AE1365" i="1"/>
  <c r="AE4340" i="1"/>
  <c r="AE2240" i="1"/>
  <c r="AE1612" i="1"/>
  <c r="AE2990" i="1"/>
  <c r="AE43" i="1"/>
  <c r="AE1003" i="1"/>
  <c r="AE604" i="1"/>
  <c r="AE177" i="1"/>
  <c r="AE1514" i="1"/>
  <c r="AE3175" i="1"/>
  <c r="AE4202" i="1"/>
  <c r="AE152" i="1"/>
  <c r="AE4408" i="1"/>
  <c r="AE1448" i="1"/>
  <c r="AE78" i="1"/>
  <c r="AE704" i="1"/>
  <c r="AE4425" i="1"/>
  <c r="AE4495" i="1"/>
  <c r="AE3520" i="1"/>
  <c r="AE4" i="1"/>
  <c r="AE4406" i="1"/>
  <c r="AE911" i="1"/>
  <c r="AE1234" i="1"/>
  <c r="AE2297" i="1"/>
  <c r="AE3230" i="1"/>
  <c r="AE418" i="1"/>
  <c r="AE3159" i="1"/>
  <c r="AE4075" i="1"/>
  <c r="AE4459" i="1"/>
  <c r="AE1606" i="1"/>
  <c r="AE1359" i="1"/>
  <c r="AE1497" i="1"/>
  <c r="AE1189" i="1"/>
  <c r="AE3672" i="1"/>
  <c r="AE4456" i="1"/>
  <c r="AE1040" i="1"/>
  <c r="AE2289" i="1"/>
  <c r="AE544" i="1"/>
  <c r="AE2909" i="1"/>
  <c r="AE1353" i="1"/>
  <c r="AE1829" i="1"/>
  <c r="AE2939" i="1"/>
  <c r="AE1031" i="1"/>
  <c r="AE4140" i="1"/>
  <c r="AE221" i="1"/>
  <c r="AE3609" i="1"/>
  <c r="AE869" i="1"/>
  <c r="AE79" i="1"/>
  <c r="AE936" i="1"/>
  <c r="AE4203" i="1"/>
  <c r="AE4048" i="1"/>
  <c r="AE1110" i="1"/>
  <c r="AE690" i="1"/>
  <c r="AE2492" i="1"/>
  <c r="AE1739" i="1"/>
  <c r="AE1573" i="1"/>
  <c r="AE314" i="1"/>
  <c r="AE1925" i="1"/>
  <c r="AE627" i="1"/>
  <c r="AE3432" i="1"/>
  <c r="AE1642" i="1"/>
  <c r="AE2564" i="1"/>
  <c r="AE3125" i="1"/>
  <c r="AE3373" i="1"/>
  <c r="AE3098" i="1"/>
  <c r="AE2462" i="1"/>
  <c r="AE2330" i="1"/>
  <c r="AE4386" i="1"/>
  <c r="AE2929" i="1"/>
  <c r="AE4152" i="1"/>
  <c r="AE1798" i="1"/>
  <c r="AE150" i="1"/>
  <c r="AE3068" i="1"/>
  <c r="AE3687" i="1"/>
  <c r="AE1692" i="1"/>
  <c r="AE4280" i="1"/>
  <c r="AE2398" i="1"/>
  <c r="AE2710" i="1"/>
  <c r="AE1135" i="1"/>
  <c r="AE4335" i="1"/>
  <c r="AE3251" i="1"/>
  <c r="AE1682" i="1"/>
  <c r="AE1147" i="1"/>
  <c r="AE2918" i="1"/>
  <c r="AE3801" i="1"/>
  <c r="AE1643" i="1"/>
  <c r="AE4349" i="1"/>
  <c r="AE4182" i="1"/>
  <c r="AE319" i="1"/>
  <c r="AE1161" i="1"/>
  <c r="AE1452" i="1"/>
  <c r="AE3983" i="1"/>
  <c r="AE3196" i="1"/>
  <c r="AE1038" i="1"/>
  <c r="AE3664" i="1"/>
  <c r="AE1347" i="1"/>
  <c r="AE4334" i="1"/>
  <c r="AE2319" i="1"/>
  <c r="AE4159" i="1"/>
  <c r="AE3085" i="1"/>
  <c r="AE3855" i="1"/>
  <c r="AE2231" i="1"/>
  <c r="AE700" i="1"/>
  <c r="AE1367" i="1"/>
  <c r="AE652" i="1"/>
  <c r="AE4354" i="1"/>
  <c r="AE4392" i="1"/>
  <c r="AE3075" i="1"/>
  <c r="AE1268" i="1"/>
  <c r="AE1437" i="1"/>
  <c r="AE2697" i="1"/>
  <c r="AE943" i="1"/>
  <c r="AE97" i="1"/>
  <c r="AE56" i="1"/>
  <c r="AE230" i="1"/>
  <c r="AE3049" i="1"/>
  <c r="AE14" i="1"/>
  <c r="AE765" i="1"/>
  <c r="AE2720" i="1"/>
  <c r="AE392" i="1"/>
  <c r="AE247" i="1"/>
  <c r="AE159" i="1"/>
  <c r="AE3226" i="1"/>
  <c r="AE1734" i="1"/>
  <c r="AE3273" i="1"/>
  <c r="AE3989" i="1"/>
  <c r="AE1323" i="1"/>
  <c r="AE3048" i="1"/>
  <c r="AE3250" i="1"/>
  <c r="AE1345" i="1"/>
  <c r="AE1417" i="1"/>
  <c r="AE2260" i="1"/>
  <c r="AE3433" i="1"/>
  <c r="AE2283" i="1"/>
  <c r="AE15" i="1"/>
  <c r="AE720" i="1"/>
  <c r="AE2434" i="1"/>
  <c r="AE2609" i="1"/>
  <c r="AE4540" i="1"/>
  <c r="AE2579" i="1"/>
  <c r="AE4460" i="1"/>
  <c r="AE2356" i="1"/>
  <c r="AE673" i="1"/>
  <c r="AE2729" i="1"/>
  <c r="AE1561" i="1"/>
  <c r="AE2033" i="1"/>
  <c r="AE2035" i="1"/>
  <c r="AE1407" i="1"/>
  <c r="AE3248" i="1"/>
  <c r="AE585" i="1"/>
  <c r="AE3176" i="1"/>
  <c r="AE28" i="1"/>
  <c r="AE1169" i="1"/>
  <c r="AE533" i="1"/>
  <c r="AE2091" i="1"/>
  <c r="AE2012" i="1"/>
  <c r="AE2650" i="1"/>
  <c r="AE3620" i="1"/>
  <c r="AE2617" i="1"/>
  <c r="AE3053" i="1"/>
  <c r="AE3586" i="1"/>
  <c r="AE644" i="1"/>
  <c r="AE809" i="1"/>
  <c r="AE2660" i="1"/>
  <c r="AE2301" i="1"/>
  <c r="AE2380" i="1"/>
  <c r="AE1830" i="1"/>
  <c r="AE303" i="1"/>
  <c r="AE86" i="1"/>
  <c r="AE4154" i="1"/>
  <c r="AE1486" i="1"/>
  <c r="AE993" i="1"/>
  <c r="AE1146" i="1"/>
  <c r="AE3825" i="1"/>
  <c r="AE3208" i="1"/>
  <c r="AE3850" i="1"/>
  <c r="AE2104" i="1"/>
  <c r="AE2153" i="1"/>
  <c r="AE2879" i="1"/>
  <c r="AE3117" i="1"/>
  <c r="AE3160" i="1"/>
  <c r="AE2168" i="1"/>
  <c r="AE1699" i="1"/>
  <c r="AE3857" i="1"/>
  <c r="AE2784" i="1"/>
  <c r="AE3924" i="1"/>
  <c r="AE3551" i="1"/>
  <c r="AE3584" i="1"/>
  <c r="AE4058" i="1"/>
  <c r="AE1479" i="1"/>
  <c r="AE2878" i="1"/>
  <c r="AE2694" i="1"/>
  <c r="AE2547" i="1"/>
  <c r="AE881" i="1"/>
  <c r="AE4204" i="1"/>
  <c r="AE3531" i="1"/>
  <c r="AE567" i="1"/>
  <c r="AE2410" i="1"/>
  <c r="AE822" i="1"/>
  <c r="AE1527" i="1"/>
  <c r="AE985" i="1"/>
  <c r="AE3669" i="1"/>
  <c r="AE2712" i="1"/>
  <c r="AE225" i="1"/>
  <c r="AE3701" i="1"/>
  <c r="AE2581" i="1"/>
  <c r="AE2864" i="1"/>
  <c r="AE2499" i="1"/>
  <c r="AE3980" i="1"/>
  <c r="AE534" i="1"/>
  <c r="AE539" i="1"/>
  <c r="AE3911" i="1"/>
  <c r="AE2945" i="1"/>
  <c r="AE1575" i="1"/>
  <c r="AE2060" i="1"/>
  <c r="AE3823" i="1"/>
  <c r="AE2508" i="1"/>
  <c r="AE3407" i="1"/>
  <c r="AE2759" i="1"/>
  <c r="AE1970" i="1"/>
  <c r="AE2284" i="1"/>
  <c r="AE4029" i="1"/>
  <c r="AE2074" i="1"/>
  <c r="AE3988" i="1"/>
  <c r="AE1864" i="1"/>
  <c r="AE228" i="1"/>
  <c r="AE2899" i="1"/>
  <c r="AE2799" i="1"/>
  <c r="AE1956" i="1"/>
  <c r="AE3720" i="1"/>
  <c r="AE1118" i="1"/>
  <c r="AE535" i="1"/>
  <c r="AE4221" i="1"/>
  <c r="AE1996" i="1"/>
  <c r="AE2936" i="1"/>
  <c r="AE278" i="1"/>
  <c r="AE1183" i="1"/>
  <c r="AE2277" i="1"/>
  <c r="AE903" i="1"/>
  <c r="AE4284" i="1"/>
  <c r="AE1438" i="1"/>
  <c r="AE2089" i="1"/>
  <c r="AE664" i="1"/>
  <c r="AE2233" i="1"/>
  <c r="AE3269" i="1"/>
  <c r="AE2376" i="1"/>
  <c r="AE2034" i="1"/>
  <c r="AE2984" i="1"/>
  <c r="AE2431" i="1"/>
  <c r="AE1206" i="1"/>
  <c r="AE383" i="1"/>
  <c r="AE907" i="1"/>
  <c r="AE3213" i="1"/>
  <c r="AE1328" i="1"/>
  <c r="AE338" i="1"/>
  <c r="AE60" i="1"/>
  <c r="AE1518" i="1"/>
  <c r="AE3329" i="1"/>
  <c r="AE3212" i="1"/>
  <c r="AE2856" i="1"/>
  <c r="AE2630" i="1"/>
  <c r="AE4008" i="1"/>
  <c r="AE136" i="1"/>
  <c r="AE274" i="1"/>
  <c r="AE914" i="1"/>
  <c r="AE606" i="1"/>
  <c r="AE4475" i="1"/>
  <c r="AE474" i="1"/>
  <c r="AE857" i="1"/>
  <c r="AE4323" i="1"/>
  <c r="AE3153" i="1"/>
  <c r="AE99" i="1"/>
  <c r="AE2142" i="1"/>
  <c r="AE3656" i="1"/>
  <c r="AE4241" i="1"/>
  <c r="AE3422" i="1"/>
  <c r="AE1501" i="1"/>
  <c r="AE3312" i="1"/>
  <c r="AE4190" i="1"/>
  <c r="AE2988" i="1"/>
  <c r="AE17" i="1"/>
  <c r="AE117" i="1"/>
  <c r="AE1277" i="1"/>
  <c r="AE3517" i="1"/>
  <c r="AE1735" i="1"/>
  <c r="AE3419" i="1"/>
  <c r="AE1817" i="1"/>
  <c r="AE3526" i="1"/>
  <c r="AE3816" i="1"/>
  <c r="AE1095" i="1"/>
  <c r="AE518" i="1"/>
  <c r="AE1776" i="1"/>
  <c r="AE3426" i="1"/>
  <c r="AE4188" i="1"/>
  <c r="AE3550" i="1"/>
  <c r="AE3599" i="1"/>
  <c r="AE968" i="1"/>
  <c r="AE388" i="1"/>
  <c r="AE2435" i="1"/>
  <c r="AE2884" i="1"/>
  <c r="AE1720" i="1"/>
  <c r="AE2" i="1"/>
  <c r="AE4338" i="1"/>
  <c r="AE3393" i="1"/>
  <c r="AE4146" i="1"/>
  <c r="AE4472" i="1"/>
  <c r="AE3427" i="1"/>
  <c r="AE280" i="1"/>
  <c r="AE1968" i="1"/>
  <c r="AE1838" i="1"/>
  <c r="AE1100" i="1"/>
  <c r="AE2450" i="1"/>
  <c r="AE262" i="1"/>
  <c r="AE1746" i="1"/>
  <c r="AE4066" i="1"/>
  <c r="AE1255" i="1"/>
  <c r="AE923" i="1"/>
  <c r="AE768" i="1"/>
  <c r="AE3633" i="1"/>
  <c r="AE3242" i="1"/>
  <c r="AE1713" i="1"/>
  <c r="AE1493" i="1"/>
  <c r="AE2507" i="1"/>
  <c r="AE2957" i="1"/>
  <c r="AE2213" i="1"/>
  <c r="AE851" i="1"/>
  <c r="AE2014" i="1"/>
  <c r="AE4479" i="1"/>
  <c r="AE3691" i="1"/>
  <c r="AE1081" i="1"/>
  <c r="AE2291" i="1"/>
  <c r="AE1272" i="1"/>
  <c r="AE3472" i="1"/>
  <c r="AE1502" i="1"/>
  <c r="AE2845" i="1"/>
  <c r="AE1635" i="1"/>
  <c r="AE3441" i="1"/>
  <c r="AE670" i="1"/>
  <c r="AE626" i="1"/>
  <c r="AE537" i="1"/>
  <c r="AE633" i="1"/>
  <c r="AE4379" i="1"/>
  <c r="AE1957" i="1"/>
  <c r="AE4480" i="1"/>
  <c r="AE2413" i="1"/>
  <c r="AE3756" i="1"/>
  <c r="AE505" i="1"/>
  <c r="AE3480" i="1"/>
  <c r="AE677" i="1"/>
  <c r="AE3396" i="1"/>
  <c r="AE1090" i="1"/>
  <c r="AE4239" i="1"/>
  <c r="AE1841" i="1"/>
  <c r="AE4219" i="1"/>
  <c r="AE1937" i="1"/>
  <c r="AE3067" i="1"/>
  <c r="AE1201" i="1"/>
  <c r="AE974" i="1"/>
  <c r="AE1854" i="1"/>
  <c r="AE3528" i="1"/>
  <c r="AE4209" i="1"/>
  <c r="AE782" i="1"/>
  <c r="AE3394" i="1"/>
  <c r="AE3910" i="1"/>
  <c r="AE10" i="1"/>
  <c r="AE354" i="1"/>
  <c r="AE927" i="1"/>
  <c r="AE2673" i="1"/>
  <c r="AE3171" i="1"/>
  <c r="AE431" i="1"/>
  <c r="AE1609" i="1"/>
  <c r="AE2360" i="1"/>
  <c r="AE1138" i="1"/>
  <c r="AE4242" i="1"/>
  <c r="AE2436" i="1"/>
  <c r="AE2671" i="1"/>
  <c r="AE299" i="1"/>
  <c r="AE53" i="1"/>
  <c r="AE4033" i="1"/>
  <c r="AE861" i="1"/>
  <c r="AE3003" i="1"/>
  <c r="AE4043" i="1"/>
  <c r="AE4351" i="1"/>
  <c r="AE2843" i="1"/>
  <c r="AE3074" i="1"/>
  <c r="AE4497" i="1"/>
  <c r="AE1662" i="1"/>
  <c r="AE297" i="1"/>
  <c r="AE3055" i="1"/>
  <c r="AE2143" i="1"/>
  <c r="AE1848" i="1"/>
  <c r="AE1385" i="1"/>
  <c r="AE2183" i="1"/>
  <c r="AE718" i="1"/>
  <c r="AE766" i="1"/>
  <c r="AE3529" i="1"/>
  <c r="AE2228" i="1"/>
  <c r="AE360" i="1"/>
  <c r="AE2241" i="1"/>
  <c r="AE3331" i="1"/>
  <c r="AE1116" i="1"/>
  <c r="AE3949" i="1"/>
  <c r="AE3577" i="1"/>
  <c r="AE3632" i="1"/>
  <c r="AE2655" i="1"/>
  <c r="AE91" i="1"/>
  <c r="AE1914" i="1"/>
  <c r="AE2524" i="1"/>
  <c r="AE1846" i="1"/>
  <c r="AE2559" i="1"/>
  <c r="AE3513" i="1"/>
  <c r="AE1039" i="1"/>
  <c r="AE1072" i="1"/>
  <c r="AE3588" i="1"/>
  <c r="AE4099" i="1"/>
  <c r="AE1176" i="1"/>
  <c r="AE4337" i="1"/>
  <c r="AE4303" i="1"/>
  <c r="AE3354" i="1"/>
  <c r="AE1087" i="1"/>
  <c r="AE3552" i="1"/>
  <c r="AE3785" i="1"/>
  <c r="AE1165" i="1"/>
  <c r="AE4191" i="1"/>
  <c r="AE2490" i="1"/>
  <c r="AE16" i="1"/>
  <c r="AE3942" i="1"/>
  <c r="AE2006" i="1"/>
  <c r="AE2097" i="1"/>
  <c r="AE1544" i="1"/>
  <c r="AE2365" i="1"/>
  <c r="AE288" i="1"/>
  <c r="AE609" i="1"/>
  <c r="AE2657" i="1"/>
  <c r="AE1631" i="1"/>
  <c r="AE2780" i="1"/>
  <c r="AE3227" i="1"/>
  <c r="AE705" i="1"/>
  <c r="AE1826" i="1"/>
  <c r="AE1026" i="1"/>
  <c r="AE2181" i="1"/>
  <c r="AE2728" i="1"/>
  <c r="AE2639" i="1"/>
  <c r="AE1799" i="1"/>
  <c r="AE1004" i="1"/>
  <c r="AE897" i="1"/>
  <c r="AE2574" i="1"/>
  <c r="AE4514" i="1"/>
  <c r="AE1943" i="1"/>
  <c r="AE1758" i="1"/>
  <c r="AE2652" i="1"/>
  <c r="AE4549" i="1"/>
  <c r="AE2833" i="1"/>
  <c r="AE85" i="1"/>
  <c r="AE3796" i="1"/>
  <c r="AE992" i="1"/>
  <c r="AE4107" i="1"/>
  <c r="AE963" i="1"/>
  <c r="AE942" i="1"/>
  <c r="AE707" i="1"/>
  <c r="AE2525" i="1"/>
  <c r="AE3600" i="1"/>
  <c r="AE506" i="1"/>
  <c r="AE4328" i="1"/>
  <c r="AE2302" i="1"/>
  <c r="AE509" i="1"/>
  <c r="AE2217" i="1"/>
  <c r="AE3684" i="1"/>
  <c r="AE3178" i="1"/>
  <c r="AE2827" i="1"/>
  <c r="AE1361" i="1"/>
  <c r="AE13" i="1"/>
  <c r="AE3926" i="1"/>
  <c r="AE504" i="1"/>
  <c r="AE523" i="1"/>
  <c r="AE2638" i="1"/>
  <c r="AE3826" i="1"/>
  <c r="AE366" i="1"/>
  <c r="AE4175" i="1"/>
  <c r="AE3255" i="1"/>
  <c r="AE2629" i="1"/>
  <c r="AE3618" i="1"/>
  <c r="AE4291" i="1"/>
  <c r="AE3440" i="1"/>
  <c r="AE1483" i="1"/>
  <c r="AE3129" i="1"/>
  <c r="AE834" i="1"/>
  <c r="AE2391" i="1"/>
  <c r="AE784" i="1"/>
  <c r="AE3296" i="1"/>
  <c r="AE2459" i="1"/>
  <c r="AE3142" i="1"/>
  <c r="AE182" i="1"/>
  <c r="AE2551" i="1"/>
  <c r="AE1117" i="1"/>
  <c r="AE4496" i="1"/>
  <c r="AE356" i="1"/>
  <c r="AE1344" i="1"/>
  <c r="AE2604" i="1"/>
  <c r="AE3761" i="1"/>
  <c r="AE4079" i="1"/>
  <c r="AE1913" i="1"/>
  <c r="AE1814" i="1"/>
  <c r="AE2103" i="1"/>
  <c r="AE469" i="1"/>
  <c r="AE4347" i="1"/>
  <c r="AE573" i="1"/>
  <c r="AE1855" i="1"/>
  <c r="AE3812" i="1"/>
  <c r="AE244" i="1"/>
  <c r="AE2007" i="1"/>
  <c r="AE2305" i="1"/>
  <c r="AE3360" i="1"/>
  <c r="AE2073" i="1"/>
  <c r="AE2215" i="1"/>
  <c r="AE3167" i="1"/>
  <c r="AE1820" i="1"/>
  <c r="AE1109" i="1"/>
  <c r="AE2075" i="1"/>
  <c r="AE1054" i="1"/>
  <c r="AE4551" i="1"/>
  <c r="AE3334" i="1"/>
  <c r="AE3111" i="1"/>
  <c r="AE1951" i="1"/>
  <c r="AE2191" i="1"/>
  <c r="AE2167" i="1"/>
  <c r="AE1331" i="1"/>
  <c r="AE649" i="1"/>
  <c r="AE1033" i="1"/>
  <c r="AE3677" i="1"/>
  <c r="AE395" i="1"/>
  <c r="AE3152" i="1"/>
  <c r="AE2443" i="1"/>
  <c r="AE966" i="1"/>
  <c r="AE3800" i="1"/>
  <c r="AE1498" i="1"/>
  <c r="AE2384" i="1"/>
  <c r="AE3428" i="1"/>
  <c r="AE1556" i="1"/>
  <c r="AE3277" i="1"/>
  <c r="AE2486" i="1"/>
  <c r="AE2777" i="1"/>
  <c r="AE1624" i="1"/>
  <c r="AE3443" i="1"/>
  <c r="AE3070" i="1"/>
  <c r="AE1051" i="1"/>
  <c r="AE4005" i="1"/>
  <c r="AE4517" i="1"/>
  <c r="AE1634" i="1"/>
  <c r="AE2404" i="1"/>
  <c r="AE1572" i="1"/>
  <c r="AE184" i="1"/>
  <c r="AE2288" i="1"/>
  <c r="AE3327" i="1"/>
  <c r="AE2253" i="1"/>
  <c r="AE1349" i="1"/>
  <c r="AE1312" i="1"/>
  <c r="AE137" i="1"/>
  <c r="AE702" i="1"/>
  <c r="AE2474" i="1"/>
  <c r="AE2166" i="1"/>
  <c r="AE2198" i="1"/>
  <c r="AE4213" i="1"/>
  <c r="AE2849" i="1"/>
  <c r="AE755" i="1"/>
  <c r="AE3781" i="1"/>
  <c r="AE3792" i="1"/>
  <c r="AE2855" i="1"/>
  <c r="AE882" i="1"/>
  <c r="AE92" i="1"/>
  <c r="AE1940" i="1"/>
  <c r="AE764" i="1"/>
  <c r="AE783" i="1"/>
  <c r="AE4548" i="1"/>
  <c r="AE4434" i="1"/>
  <c r="AE1466" i="1"/>
  <c r="AE4074" i="1"/>
  <c r="AE1093" i="1"/>
  <c r="AE3108" i="1"/>
  <c r="AE1709" i="1"/>
  <c r="AE1481" i="1"/>
  <c r="AE3960" i="1"/>
  <c r="AE1825" i="1"/>
  <c r="AE3935" i="1"/>
  <c r="AE4515" i="1"/>
  <c r="AE2266" i="1"/>
  <c r="AE460" i="1"/>
  <c r="AE2498" i="1"/>
  <c r="AE1163" i="1"/>
  <c r="AE2971" i="1"/>
  <c r="AE3124" i="1"/>
  <c r="AE3207" i="1"/>
  <c r="AE602" i="1"/>
  <c r="AE1130" i="1"/>
  <c r="AE1034" i="1"/>
  <c r="AE2149" i="1"/>
  <c r="AE1113" i="1"/>
  <c r="AE651" i="1"/>
  <c r="AE1756" i="1"/>
  <c r="AE737" i="1"/>
  <c r="AE2150" i="1"/>
  <c r="AE2176" i="1"/>
  <c r="AE1981" i="1"/>
  <c r="AE564" i="1"/>
  <c r="AE1945" i="1"/>
  <c r="AE4137" i="1"/>
  <c r="AE3772" i="1"/>
  <c r="AE1306" i="1"/>
  <c r="AE4158" i="1"/>
  <c r="AE115" i="1"/>
  <c r="AE207" i="1"/>
  <c r="AE558" i="1"/>
  <c r="AE2067" i="1"/>
  <c r="AE956" i="1"/>
  <c r="AE4170" i="1"/>
  <c r="AE1440" i="1"/>
  <c r="AE295" i="1"/>
  <c r="AE2040" i="1"/>
  <c r="AE2663" i="1"/>
  <c r="AE685" i="1"/>
  <c r="AE1774" i="1"/>
  <c r="AE3917" i="1"/>
  <c r="AE1907" i="1"/>
  <c r="AE4410" i="1"/>
  <c r="AE3019" i="1"/>
  <c r="AE1596" i="1"/>
  <c r="AE94" i="1"/>
  <c r="AE2933" i="1"/>
  <c r="AE1419" i="1"/>
  <c r="AE1139" i="1"/>
  <c r="AE3184" i="1"/>
  <c r="AE867" i="1"/>
  <c r="AE4454" i="1"/>
  <c r="AE2586" i="1"/>
  <c r="AE3768" i="1"/>
  <c r="AE1847" i="1"/>
  <c r="AE2677" i="1"/>
  <c r="AE3137" i="1"/>
  <c r="AE1859" i="1"/>
  <c r="AE2416" i="1"/>
  <c r="AE2676" i="1"/>
  <c r="AE922" i="1"/>
  <c r="AE2310" i="1"/>
  <c r="AE3892" i="1"/>
  <c r="AE2408" i="1"/>
  <c r="AE1162" i="1"/>
  <c r="AE950" i="1"/>
  <c r="AE1445" i="1"/>
  <c r="AE1632" i="1"/>
  <c r="AE4360" i="1"/>
  <c r="AE2374" i="1"/>
  <c r="AE1586" i="1"/>
  <c r="AE39" i="1"/>
  <c r="AE421" i="1"/>
  <c r="AE1549" i="1"/>
  <c r="AE4464" i="1"/>
  <c r="AE4526" i="1"/>
  <c r="AE2898" i="1"/>
  <c r="AE2811" i="1"/>
  <c r="AE3873" i="1"/>
  <c r="AE1119" i="1"/>
  <c r="AE109" i="1"/>
  <c r="AE362" i="1"/>
  <c r="AE1517" i="1"/>
  <c r="AE415" i="1"/>
  <c r="AE2117" i="1"/>
  <c r="AE4022" i="1"/>
  <c r="AE4019" i="1"/>
  <c r="AE3962" i="1"/>
  <c r="AE3606" i="1"/>
  <c r="AE1380" i="1"/>
  <c r="AE3344" i="1"/>
  <c r="AE1413" i="1"/>
  <c r="AE3841" i="1"/>
  <c r="AE87" i="1"/>
  <c r="AE1324" i="1"/>
  <c r="AE403" i="1"/>
  <c r="AE2274" i="1"/>
  <c r="AE3270" i="1"/>
  <c r="AE3485" i="1"/>
  <c r="AE3059" i="1"/>
  <c r="AE1768" i="1"/>
  <c r="AE496" i="1"/>
  <c r="AE4168" i="1"/>
  <c r="AE4420" i="1"/>
  <c r="AE1766" i="1"/>
  <c r="AE508" i="1"/>
  <c r="AE967" i="1"/>
  <c r="AE3805" i="1"/>
  <c r="AE2095" i="1"/>
  <c r="AE1641" i="1"/>
  <c r="AE607" i="1"/>
  <c r="AE1123" i="1"/>
  <c r="AE1208" i="1"/>
  <c r="AE1616" i="1"/>
  <c r="AE1273" i="1"/>
  <c r="AE124" i="1"/>
  <c r="AE2809" i="1"/>
  <c r="AE826" i="1"/>
  <c r="AE1657" i="1"/>
  <c r="AE3742" i="1"/>
  <c r="AE4510" i="1"/>
  <c r="AE2595" i="1"/>
  <c r="AE1849" i="1"/>
  <c r="AE378" i="1"/>
  <c r="AE2773" i="1"/>
  <c r="AE952" i="1"/>
  <c r="AE2355" i="1"/>
  <c r="AE1683" i="1"/>
  <c r="AE1724" i="1"/>
  <c r="AE2599" i="1"/>
  <c r="AE2689" i="1"/>
  <c r="AE93" i="1"/>
  <c r="AE1389" i="1"/>
  <c r="AE1688" i="1"/>
  <c r="AE3004" i="1"/>
  <c r="AE84" i="1"/>
  <c r="AE817" i="1"/>
  <c r="AE3494" i="1"/>
  <c r="AE3322" i="1"/>
  <c r="AE2454" i="1"/>
  <c r="AE4449" i="1"/>
  <c r="AE4326" i="1"/>
  <c r="AE960" i="1"/>
  <c r="AE1803" i="1"/>
  <c r="AE1350" i="1"/>
  <c r="AE2448" i="1"/>
  <c r="AE1274" i="1"/>
  <c r="AE4226" i="1"/>
  <c r="AE3457" i="1"/>
  <c r="AE1558" i="1"/>
  <c r="AE921" i="1"/>
  <c r="AE1649" i="1"/>
  <c r="AE437" i="1"/>
  <c r="AE2349" i="1"/>
  <c r="AE624" i="1"/>
  <c r="AE4489" i="1"/>
  <c r="AE1219" i="1"/>
  <c r="AE3131" i="1"/>
  <c r="AE1020" i="1"/>
  <c r="AE846" i="1"/>
  <c r="AE3576" i="1"/>
  <c r="AE4300" i="1"/>
  <c r="AE4115" i="1"/>
  <c r="AE2458" i="1"/>
  <c r="AE4465" i="1"/>
  <c r="AE3626" i="1"/>
  <c r="AE410" i="1"/>
  <c r="AE1160" i="1"/>
  <c r="AE4471" i="1"/>
  <c r="AE2636" i="1"/>
  <c r="AE2548" i="1"/>
  <c r="AE1455" i="1"/>
  <c r="AE162" i="1"/>
  <c r="AE4222" i="1"/>
  <c r="AE2770" i="1"/>
  <c r="AE2976" i="1"/>
  <c r="AE908" i="1"/>
  <c r="AE4448" i="1"/>
  <c r="AE2724" i="1"/>
  <c r="AE1157" i="1"/>
  <c r="AE1490" i="1"/>
  <c r="AE1246" i="1"/>
  <c r="AE1948" i="1"/>
  <c r="AE4096" i="1"/>
  <c r="AE2258" i="1"/>
  <c r="AE616" i="1"/>
  <c r="AE55" i="1"/>
  <c r="AE3699" i="1"/>
  <c r="AE2402" i="1"/>
  <c r="AE1330" i="1"/>
  <c r="AE4098" i="1"/>
  <c r="AE4288" i="1"/>
  <c r="AE2932" i="1"/>
  <c r="AE2196" i="1"/>
  <c r="AE998" i="1"/>
  <c r="AE371" i="1"/>
  <c r="AE3612" i="1"/>
  <c r="AE3727" i="1"/>
  <c r="AE3952" i="1"/>
  <c r="AE1120" i="1"/>
  <c r="AE1747" i="1"/>
  <c r="AE1459" i="1"/>
  <c r="AE2583" i="1"/>
  <c r="AE814" i="1"/>
  <c r="AE989" i="1"/>
  <c r="AE1473" i="1"/>
  <c r="AE3321" i="1"/>
  <c r="AE1890" i="1"/>
  <c r="AE3201" i="1"/>
  <c r="AE4113" i="1"/>
  <c r="AE4160" i="1"/>
  <c r="AE1599" i="1"/>
  <c r="AE4498" i="1"/>
  <c r="AE4442" i="1"/>
  <c r="AE780" i="1"/>
  <c r="AE315" i="1"/>
  <c r="AE1998" i="1"/>
  <c r="AE1807" i="1"/>
  <c r="AE359" i="1"/>
  <c r="AE1613" i="1"/>
  <c r="AE1550" i="1"/>
  <c r="AE1671" i="1"/>
  <c r="AE1884" i="1"/>
  <c r="AE1191" i="1"/>
  <c r="AE3959" i="1"/>
  <c r="AE327" i="1"/>
  <c r="AE2043" i="1"/>
  <c r="AE2008" i="1"/>
  <c r="AE3302" i="1"/>
  <c r="AE2619" i="1"/>
  <c r="AE2335" i="1"/>
  <c r="AE655" i="1"/>
  <c r="AE2299" i="1"/>
  <c r="AE4132" i="1"/>
  <c r="AE3018" i="1"/>
  <c r="AE2425" i="1"/>
  <c r="AE2467" i="1"/>
  <c r="AE717" i="1"/>
  <c r="AE662" i="1"/>
  <c r="AE3087" i="1"/>
  <c r="AE3623" i="1"/>
  <c r="AE3820" i="1"/>
  <c r="AE2251" i="1"/>
  <c r="AE484" i="1"/>
  <c r="AE2942" i="1"/>
  <c r="AE3913" i="1"/>
  <c r="AE3206" i="1"/>
  <c r="AE3888" i="1"/>
  <c r="AE3403" i="1"/>
  <c r="AE3348" i="1"/>
  <c r="AE3474" i="1"/>
  <c r="AE1792" i="1"/>
  <c r="AE1764" i="1"/>
  <c r="AE4249" i="1"/>
  <c r="AE2732" i="1"/>
  <c r="AE2477" i="1"/>
  <c r="AE701" i="1"/>
  <c r="AE1736" i="1"/>
  <c r="AE4433" i="1"/>
  <c r="AE2321" i="1"/>
  <c r="AE1743" i="1"/>
  <c r="AE3877" i="1"/>
  <c r="AE268" i="1"/>
  <c r="AE710" i="1"/>
  <c r="AE5" i="1"/>
  <c r="AE4295" i="1"/>
  <c r="AE1129" i="1"/>
  <c r="AE339" i="1"/>
  <c r="AE481" i="1"/>
  <c r="AE1588" i="1"/>
  <c r="AE1128" i="1"/>
  <c r="AE4359" i="1"/>
  <c r="AE969" i="1"/>
  <c r="AE910" i="1"/>
  <c r="AE1744" i="1"/>
  <c r="AE715" i="1"/>
  <c r="AE2627" i="1"/>
  <c r="AE2151" i="1"/>
  <c r="AE2871" i="1"/>
  <c r="AE3096" i="1"/>
  <c r="AE2332" i="1"/>
  <c r="AE3507" i="1"/>
  <c r="AE3002" i="1"/>
  <c r="AE4538" i="1"/>
  <c r="AE2249" i="1"/>
  <c r="AE2248" i="1"/>
  <c r="AE1433" i="1"/>
  <c r="AE3141" i="1"/>
  <c r="AE3640" i="1"/>
  <c r="AE4256" i="1"/>
  <c r="AE2194" i="1"/>
  <c r="AE2205" i="1"/>
  <c r="AE2449" i="1"/>
  <c r="AE308" i="1"/>
  <c r="AE542" i="1"/>
  <c r="AE1726" i="1"/>
  <c r="AE1926" i="1"/>
  <c r="AE3217" i="1"/>
  <c r="AE2958" i="1"/>
  <c r="AE1500" i="1"/>
  <c r="AE2857" i="1"/>
  <c r="AE3978" i="1"/>
  <c r="AE1252" i="1"/>
  <c r="AE3138" i="1"/>
  <c r="AE1371" i="1"/>
  <c r="AE1690" i="1"/>
  <c r="AE242" i="1"/>
  <c r="AE2532" i="1"/>
  <c r="AE920" i="1"/>
  <c r="AE4269" i="1"/>
  <c r="AE4184" i="1"/>
  <c r="AE3668" i="1"/>
  <c r="AE4389" i="1"/>
  <c r="AE357" i="1"/>
  <c r="AE3943" i="1"/>
  <c r="AE4231" i="1"/>
  <c r="AE1379" i="1"/>
  <c r="AE2336" i="1"/>
  <c r="AE1888" i="1"/>
  <c r="AE4032" i="1"/>
  <c r="AE2810" i="1"/>
  <c r="AE957" i="1"/>
  <c r="AE3884" i="1"/>
  <c r="AE2163" i="1"/>
  <c r="AE2823" i="1"/>
  <c r="AE3204" i="1"/>
  <c r="AE4047" i="1"/>
  <c r="AE402" i="1"/>
  <c r="AE726" i="1"/>
  <c r="AE2078" i="1"/>
  <c r="AE189" i="1"/>
  <c r="AE3504" i="1"/>
  <c r="AE166" i="1"/>
  <c r="AE696" i="1"/>
  <c r="AE2052" i="1"/>
  <c r="AE2937" i="1"/>
  <c r="AE2565" i="1"/>
  <c r="AE4483" i="1"/>
  <c r="AE390" i="1"/>
  <c r="AE2422" i="1"/>
  <c r="AE1935" i="1"/>
  <c r="AE1190" i="1"/>
  <c r="AE321" i="1"/>
  <c r="AE2222" i="1"/>
  <c r="AE830" i="1"/>
  <c r="AE4238" i="1"/>
  <c r="AE3706" i="1"/>
  <c r="AE47" i="1"/>
  <c r="AE2126" i="1"/>
  <c r="AE1425" i="1"/>
  <c r="AE3920" i="1"/>
  <c r="AE1737" i="1"/>
  <c r="AE261" i="1"/>
  <c r="AE3346" i="1"/>
  <c r="AE387" i="1"/>
  <c r="AE404" i="1"/>
  <c r="AE2046" i="1"/>
  <c r="AE2303" i="1"/>
  <c r="AE3898" i="1"/>
  <c r="AE195" i="1"/>
  <c r="AE3482" i="1"/>
  <c r="AE4492" i="1"/>
  <c r="AE331" i="1"/>
  <c r="AE1402" i="1"/>
  <c r="AE264" i="1"/>
  <c r="AE3971" i="1"/>
  <c r="AE385" i="1"/>
  <c r="AE4169" i="1"/>
  <c r="AE2121" i="1"/>
  <c r="AE2940" i="1"/>
  <c r="AE239" i="1"/>
  <c r="AE2797" i="1"/>
  <c r="AE2991" i="1"/>
  <c r="AE578" i="1"/>
  <c r="AE1622" i="1"/>
  <c r="AE890" i="1"/>
  <c r="AE3234" i="1"/>
  <c r="AE269" i="1"/>
  <c r="AE3335" i="1"/>
  <c r="AE1856" i="1"/>
  <c r="AE2807" i="1"/>
  <c r="AE3939" i="1"/>
  <c r="AE4018" i="1"/>
  <c r="AE164" i="1"/>
  <c r="AE769" i="1"/>
  <c r="AE1887" i="1"/>
  <c r="AE1655" i="1"/>
  <c r="AE292" i="1"/>
  <c r="AE316" i="1"/>
  <c r="AE844" i="1"/>
  <c r="AE2910" i="1"/>
  <c r="AE1057" i="1"/>
  <c r="AE2523" i="1"/>
  <c r="AE2455" i="1"/>
  <c r="AE1430" i="1"/>
  <c r="AE3629" i="1"/>
  <c r="AE3540" i="1"/>
  <c r="AE472" i="1"/>
  <c r="AE3041" i="1"/>
  <c r="AE4316" i="1"/>
  <c r="AE477" i="1"/>
  <c r="AE59" i="1"/>
  <c r="AE1228" i="1"/>
  <c r="AE895" i="1"/>
  <c r="AE1275" i="1"/>
  <c r="AE4431" i="1"/>
  <c r="AE4165" i="1"/>
  <c r="AE4179" i="1"/>
  <c r="AE2917" i="1"/>
  <c r="AE2324" i="1"/>
  <c r="AE3370" i="1"/>
  <c r="AE2389" i="1"/>
  <c r="AE3253" i="1"/>
  <c r="AE1261" i="1"/>
  <c r="AE174" i="1"/>
  <c r="AE1077" i="1"/>
  <c r="AE4494" i="1"/>
  <c r="AE377" i="1"/>
  <c r="AE1178" i="1"/>
  <c r="AE4106" i="1"/>
  <c r="AE50" i="1"/>
  <c r="AE3722" i="1"/>
  <c r="AE2037" i="1"/>
  <c r="AE1629" i="1"/>
  <c r="AE829" i="1"/>
  <c r="AE2808" i="1"/>
  <c r="AE4076" i="1"/>
  <c r="AE4083" i="1"/>
  <c r="AE1815" i="1"/>
  <c r="AE1947" i="1"/>
  <c r="AE3091" i="1"/>
  <c r="AE1772" i="1"/>
  <c r="AE1053" i="1"/>
  <c r="AE741" i="1"/>
  <c r="AE2751" i="1"/>
  <c r="AE434" i="1"/>
  <c r="AE1851" i="1"/>
  <c r="AE2852" i="1"/>
  <c r="AE1880" i="1"/>
  <c r="AE1037" i="1"/>
  <c r="AE2053" i="1"/>
  <c r="AE516" i="1"/>
  <c r="AE302" i="1"/>
  <c r="AE1541" i="1"/>
  <c r="AE34" i="1"/>
  <c r="AE3161" i="1"/>
  <c r="AE3100" i="1"/>
  <c r="AE328" i="1"/>
  <c r="AE4524" i="1"/>
  <c r="AE2140" i="1"/>
  <c r="AE3724" i="1"/>
  <c r="AE1794" i="1"/>
  <c r="AE2159" i="1"/>
  <c r="AE1608" i="1"/>
  <c r="AE52" i="1"/>
  <c r="AE3933" i="1"/>
  <c r="AE1230" i="1"/>
  <c r="AE2509" i="1"/>
  <c r="AE519" i="1"/>
  <c r="AE48" i="1"/>
  <c r="AE294" i="1"/>
  <c r="AE1192" i="1"/>
  <c r="AE4133" i="1"/>
  <c r="AE3622" i="1"/>
  <c r="AE3246" i="1"/>
  <c r="AE3413" i="1"/>
  <c r="AE1868" i="1"/>
  <c r="AE1604" i="1"/>
  <c r="AE4274" i="1"/>
  <c r="AE2415" i="1"/>
  <c r="AE3398" i="1"/>
  <c r="AE4044" i="1"/>
  <c r="AE3670" i="1"/>
  <c r="AE772" i="1"/>
  <c r="AE1084" i="1"/>
  <c r="AE1626" i="1"/>
  <c r="AE3563" i="1"/>
  <c r="AE4114" i="1"/>
  <c r="AE4255" i="1"/>
  <c r="AE205" i="1"/>
  <c r="AE1836" i="1"/>
  <c r="AE4172" i="1"/>
  <c r="AE3173" i="1"/>
  <c r="AE4162" i="1"/>
  <c r="AE872" i="1"/>
  <c r="AE1663" i="1"/>
  <c r="AE374" i="1"/>
  <c r="AE1562" i="1"/>
  <c r="AE3710" i="1"/>
  <c r="AE2348" i="1"/>
  <c r="AE3451" i="1"/>
  <c r="AE610" i="1"/>
  <c r="AE212" i="1"/>
  <c r="AE1545" i="1"/>
  <c r="AE2618" i="1"/>
  <c r="AE1244" i="1"/>
  <c r="AE2815" i="1"/>
  <c r="AE149" i="1"/>
  <c r="AE4552" i="1"/>
  <c r="AE3975" i="1"/>
  <c r="AE337" i="1"/>
  <c r="AE1467" i="1"/>
  <c r="AE2739" i="1"/>
  <c r="AE1669" i="1"/>
  <c r="AE3627" i="1"/>
  <c r="AE1810" i="1"/>
  <c r="AE27" i="1"/>
  <c r="AE1860" i="1"/>
  <c r="AE465" i="1"/>
  <c r="AE1049" i="1"/>
  <c r="AE1877" i="1"/>
  <c r="AE1694" i="1"/>
  <c r="AE2546" i="1"/>
  <c r="AE579" i="1"/>
  <c r="AE2263" i="1"/>
  <c r="AE3101" i="1"/>
  <c r="AE3638" i="1"/>
  <c r="AE4507" i="1"/>
  <c r="AE3163" i="1"/>
  <c r="AE3017" i="1"/>
  <c r="AE2533" i="1"/>
  <c r="AE1568" i="1"/>
  <c r="AE2129" i="1"/>
  <c r="AE2590" i="1"/>
  <c r="AE4490" i="1"/>
  <c r="AE3741" i="1"/>
  <c r="AE1999" i="1"/>
  <c r="AE4012" i="1"/>
  <c r="AE1918" i="1"/>
  <c r="AE1863" i="1"/>
  <c r="AE3680" i="1"/>
  <c r="AE828" i="1"/>
  <c r="AE1760" i="1"/>
  <c r="AE3109" i="1"/>
  <c r="AE4516" i="1"/>
  <c r="AE4343" i="1"/>
  <c r="AE1092" i="1"/>
  <c r="AE1094" i="1"/>
  <c r="AE488" i="1"/>
  <c r="AE2596" i="1"/>
  <c r="AE311" i="1"/>
  <c r="AE618" i="1"/>
  <c r="AE300" i="1"/>
  <c r="AE1334" i="1"/>
  <c r="AE1585" i="1"/>
  <c r="AE1873" i="1"/>
  <c r="AE2236" i="1"/>
  <c r="AE3455" i="1"/>
  <c r="AE1782" i="1"/>
  <c r="AE2036" i="1"/>
  <c r="AE1288" i="1"/>
  <c r="AE3818" i="1"/>
  <c r="AE2589" i="1"/>
  <c r="AE2080" i="1"/>
  <c r="AE2678" i="1"/>
  <c r="AE3064" i="1"/>
  <c r="AE1740" i="1"/>
  <c r="AE2019" i="1"/>
  <c r="AE4225" i="1"/>
  <c r="AE639" i="1"/>
  <c r="AE222" i="1"/>
  <c r="AE1220" i="1"/>
  <c r="AE3728" i="1"/>
  <c r="AE1369" i="1"/>
  <c r="AE2567" i="1"/>
  <c r="AE615" i="1"/>
  <c r="AE939" i="1"/>
  <c r="AE2605" i="1"/>
  <c r="AE347" i="1"/>
  <c r="AE2383" i="1"/>
  <c r="AE3266" i="1"/>
  <c r="AE3338" i="1"/>
  <c r="AE3203" i="1"/>
  <c r="AE2083" i="1"/>
  <c r="AE970" i="1"/>
  <c r="AE3278" i="1"/>
  <c r="AE560" i="1"/>
  <c r="AE1339" i="1"/>
  <c r="AE1650" i="1"/>
  <c r="AE3895" i="1"/>
  <c r="AE638" i="1"/>
  <c r="AE3429" i="1"/>
  <c r="AE4446" i="1"/>
  <c r="AE1387" i="1"/>
  <c r="AE3752" i="1"/>
  <c r="AE3527" i="1"/>
  <c r="AE348" i="1"/>
  <c r="AE1101" i="1"/>
  <c r="AE1394" i="1"/>
  <c r="AE309" i="1"/>
  <c r="AE893" i="1"/>
  <c r="AE3591" i="1"/>
  <c r="AE2731" i="1"/>
  <c r="AE2813" i="1"/>
  <c r="AE2716" i="1"/>
  <c r="AE3448" i="1"/>
  <c r="AE2995" i="1"/>
  <c r="AE3944" i="1"/>
  <c r="AE2623" i="1"/>
  <c r="AE286" i="1"/>
  <c r="AE1080" i="1"/>
  <c r="AE3069" i="1"/>
  <c r="AE754" i="1"/>
  <c r="AE2193" i="1"/>
  <c r="AE1750" i="1"/>
  <c r="AE1245" i="1"/>
  <c r="AE556" i="1"/>
  <c r="AE2502" i="1"/>
  <c r="AE2351" i="1"/>
  <c r="AE2409" i="1"/>
  <c r="AE4555" i="1"/>
  <c r="AE928" i="1"/>
  <c r="AE562" i="1"/>
  <c r="AE1318" i="1"/>
  <c r="AE2202" i="1"/>
  <c r="AE2105" i="1"/>
  <c r="AE917" i="1"/>
  <c r="AE3179" i="1"/>
  <c r="AE4183" i="1"/>
  <c r="AE1728" i="1"/>
  <c r="AE1824" i="1"/>
  <c r="AE2292" i="1"/>
  <c r="AE4251" i="1"/>
  <c r="AE3033" i="1"/>
  <c r="AE3035" i="1"/>
  <c r="AE1909" i="1"/>
  <c r="AE3836" i="1"/>
  <c r="AE407" i="1"/>
  <c r="AE1227" i="1"/>
  <c r="AE1270" i="1"/>
  <c r="AE3557" i="1"/>
  <c r="AE158" i="1"/>
  <c r="AE4177" i="1"/>
  <c r="AE3462" i="1"/>
  <c r="AE4546" i="1"/>
  <c r="AE588" i="1"/>
  <c r="AE1348" i="1"/>
  <c r="AE2776" i="1"/>
  <c r="AE1262" i="1"/>
  <c r="AE2733" i="1"/>
  <c r="AE1754" i="1"/>
  <c r="AE547" i="1"/>
  <c r="AE210" i="1"/>
  <c r="AE517" i="1"/>
  <c r="AE1079" i="1"/>
  <c r="AE3804" i="1"/>
  <c r="AE304" i="1"/>
  <c r="AE919" i="1"/>
  <c r="AE1870" i="1"/>
  <c r="AE1352" i="1"/>
  <c r="AE1589" i="1"/>
  <c r="AE4275" i="1"/>
  <c r="AE1325" i="1"/>
  <c r="AE2931" i="1"/>
  <c r="AE482" i="1"/>
  <c r="AE3769" i="1"/>
  <c r="AE284" i="1"/>
  <c r="AE1610" i="1"/>
  <c r="AE2895" i="1"/>
  <c r="AE4233" i="1"/>
  <c r="AE2340" i="1"/>
  <c r="AE1134" i="1"/>
  <c r="AE191" i="1"/>
  <c r="AE552" i="1"/>
  <c r="AE381" i="1"/>
  <c r="AE58" i="1"/>
  <c r="AE2465" i="1"/>
  <c r="AE2054" i="1"/>
  <c r="AE1543" i="1"/>
  <c r="AE3908" i="1"/>
  <c r="AE3009" i="1"/>
  <c r="AE2093" i="1"/>
  <c r="AE3210" i="1"/>
  <c r="AE3081" i="1"/>
  <c r="AE3219" i="1"/>
  <c r="AE1170" i="1"/>
  <c r="AE353" i="1"/>
  <c r="AE2479" i="1"/>
  <c r="AE498" i="1"/>
  <c r="AE2598" i="1"/>
  <c r="AE1007" i="1"/>
  <c r="AE180" i="1"/>
  <c r="AE2789" i="1"/>
  <c r="AE3702" i="1"/>
  <c r="AE161" i="1"/>
  <c r="AE3365" i="1"/>
  <c r="AE3970" i="1"/>
  <c r="AE4312" i="1"/>
  <c r="AE2329" i="1"/>
  <c r="AE1533" i="1"/>
  <c r="AE4482" i="1"/>
  <c r="AE1905" i="1"/>
  <c r="AE3132" i="1"/>
  <c r="AE1773" i="1"/>
  <c r="AE4412" i="1"/>
  <c r="AE1730" i="1"/>
  <c r="AE3262" i="1"/>
  <c r="AE3214" i="1"/>
  <c r="AE458" i="1"/>
  <c r="AE4299" i="1"/>
  <c r="AE2646" i="1"/>
  <c r="AE2824" i="1"/>
  <c r="AE842" i="1"/>
  <c r="AE4101" i="1"/>
  <c r="AE2961" i="1"/>
  <c r="AE1018" i="1"/>
  <c r="AE2144" i="1"/>
  <c r="AE3013" i="1"/>
  <c r="AE4054" i="1"/>
  <c r="AE1536" i="1"/>
  <c r="AE1229" i="1"/>
  <c r="AE781" i="1"/>
  <c r="AE1290" i="1"/>
  <c r="AE3655" i="1"/>
  <c r="AE640" i="1"/>
  <c r="AE3506" i="1"/>
  <c r="AE961" i="1"/>
  <c r="AE3533" i="1"/>
  <c r="AE179" i="1"/>
  <c r="AE1207" i="1"/>
  <c r="AE11" i="1"/>
  <c r="AE1232" i="1"/>
  <c r="AE259" i="1"/>
  <c r="AE3912" i="1"/>
  <c r="AE2077" i="1"/>
  <c r="AE1137" i="1"/>
  <c r="AE412" i="1"/>
  <c r="AE3587" i="1"/>
  <c r="AE2016" i="1"/>
  <c r="AE3870" i="1"/>
  <c r="AE2760" i="1"/>
  <c r="AE1013" i="1"/>
  <c r="AE345" i="1"/>
  <c r="AE1175" i="1"/>
  <c r="AE1787" i="1"/>
  <c r="AE1218" i="1"/>
  <c r="AE4116" i="1"/>
  <c r="AE4292" i="1"/>
  <c r="AE324" i="1"/>
  <c r="AE536" i="1"/>
  <c r="AE823" i="1"/>
  <c r="AE2290" i="1"/>
  <c r="AE2986" i="1"/>
  <c r="AE3868" i="1"/>
  <c r="AE3324" i="1"/>
  <c r="AE3559" i="1"/>
  <c r="AE2666" i="1"/>
  <c r="AE1115" i="1"/>
  <c r="AE706" i="1"/>
  <c r="AE1542" i="1"/>
  <c r="AE3738" i="1"/>
  <c r="AE3827" i="1"/>
  <c r="AE2369" i="1"/>
  <c r="AE1881" i="1"/>
  <c r="AE4236" i="1"/>
  <c r="AE1644" i="1"/>
  <c r="AE1983" i="1"/>
  <c r="AE1708" i="1"/>
  <c r="AE1271" i="1"/>
  <c r="AE2718" i="1"/>
  <c r="AE4065" i="1"/>
  <c r="AE1060" i="1"/>
  <c r="AE393" i="1"/>
  <c r="AE803" i="1"/>
  <c r="AE4477" i="1"/>
  <c r="AE2344" i="1"/>
  <c r="AE4513" i="1"/>
  <c r="AE3366" i="1"/>
  <c r="AE1428" i="1"/>
  <c r="AE2192" i="1"/>
  <c r="AE3136" i="1"/>
  <c r="AE4073" i="1"/>
  <c r="AE4013" i="1"/>
  <c r="AE632" i="1"/>
  <c r="AE3174" i="1"/>
  <c r="AE2874" i="1"/>
  <c r="AE699" i="1"/>
  <c r="AE241" i="1"/>
  <c r="AE3934" i="1"/>
  <c r="AE3390" i="1"/>
  <c r="AE2887" i="1"/>
  <c r="AE1449" i="1"/>
  <c r="AE948" i="1"/>
  <c r="AE4305" i="1"/>
  <c r="AE1534" i="1"/>
  <c r="AE1058" i="1"/>
  <c r="AE2644" i="1"/>
  <c r="AE1010" i="1"/>
  <c r="AE1891" i="1"/>
  <c r="AE6" i="1"/>
  <c r="AE1557" i="1"/>
  <c r="AE3263" i="1"/>
  <c r="AE1577" i="1"/>
  <c r="AE3036" i="1"/>
  <c r="AE1144" i="1"/>
  <c r="AE3218" i="1"/>
  <c r="AE1834" i="1"/>
  <c r="AE2812" i="1"/>
  <c r="AE33" i="1"/>
  <c r="AE172" i="1"/>
  <c r="AE877" i="1"/>
  <c r="AE1753" i="1"/>
  <c r="AE3397" i="1"/>
  <c r="AE1327" i="1"/>
  <c r="AE1366" i="1"/>
  <c r="AE1278" i="1"/>
  <c r="AE3369" i="1"/>
  <c r="AE2661" i="1"/>
  <c r="AE1615" i="1"/>
  <c r="AE3630" i="1"/>
  <c r="AE4046" i="1"/>
  <c r="AE3466" i="1"/>
  <c r="AE3919" i="1"/>
  <c r="AE2690" i="1"/>
  <c r="AE2529" i="1"/>
  <c r="AE767" i="1"/>
  <c r="AE1164" i="1"/>
  <c r="AE2190" i="1"/>
  <c r="AE3831" i="1"/>
  <c r="AE1329" i="1"/>
  <c r="AE1922" i="1"/>
  <c r="AE3080" i="1"/>
  <c r="AE2620" i="1"/>
  <c r="AE810" i="1"/>
  <c r="AE3579" i="1"/>
  <c r="AE3182" i="1"/>
  <c r="AE1410" i="1"/>
  <c r="AE3732" i="1"/>
  <c r="AE819" i="1"/>
  <c r="AE372" i="1"/>
  <c r="AE3317" i="1"/>
  <c r="AE4253" i="1"/>
  <c r="AE1224" i="1"/>
  <c r="AE3180" i="1"/>
  <c r="AE3758" i="1"/>
  <c r="AE4374" i="1"/>
  <c r="AE2300" i="1"/>
  <c r="AE793" i="1"/>
  <c r="AE4136" i="1"/>
  <c r="AE426" i="1"/>
  <c r="AE800" i="1"/>
  <c r="AE2386" i="1"/>
  <c r="AE18" i="1"/>
  <c r="AE38" i="1"/>
  <c r="AE3671" i="1"/>
  <c r="AE4279" i="1"/>
  <c r="AE1723" i="1"/>
  <c r="AE4509" i="1"/>
  <c r="AE44" i="1"/>
  <c r="AE905" i="1"/>
  <c r="AE577" i="1"/>
  <c r="AE2272" i="1"/>
  <c r="AE2530" i="1"/>
  <c r="AE3467" i="1"/>
  <c r="AE1432" i="1"/>
  <c r="AE2357" i="1"/>
  <c r="AE400" i="1"/>
  <c r="AE1194" i="1"/>
  <c r="AE3404" i="1"/>
  <c r="AE4289" i="1"/>
  <c r="AE930" i="1"/>
  <c r="AE986" i="1"/>
  <c r="AE3956" i="1"/>
  <c r="AE854" i="1"/>
  <c r="AE3112" i="1"/>
  <c r="AE3575" i="1"/>
  <c r="AE3811" i="1"/>
  <c r="AE738" i="1"/>
  <c r="AE528" i="1"/>
  <c r="AE3315" i="1"/>
  <c r="AE3865" i="1"/>
  <c r="AE2982" i="1"/>
  <c r="AE2445" i="1"/>
  <c r="AE1546" i="1"/>
  <c r="AE2601" i="1"/>
  <c r="AE2765" i="1"/>
  <c r="AE2959" i="1"/>
  <c r="AE2914" i="1"/>
  <c r="AE3241" i="1"/>
  <c r="AE3298" i="1"/>
  <c r="AE4390" i="1"/>
  <c r="AE3468" i="1"/>
  <c r="AE1395" i="1"/>
  <c r="AE1525" i="1"/>
  <c r="AE3165" i="1"/>
  <c r="AE2613" i="1"/>
  <c r="AE1984" i="1"/>
  <c r="AE2722" i="1"/>
  <c r="AE61" i="1"/>
  <c r="AE1659" i="1"/>
  <c r="AE1492" i="1"/>
  <c r="AE1281" i="1"/>
  <c r="AE4348" i="1"/>
  <c r="AE978" i="1"/>
  <c r="AE4237" i="1"/>
  <c r="AE4268" i="1"/>
  <c r="AE2886" i="1"/>
  <c r="AE646" i="1"/>
  <c r="AE3714" i="1"/>
  <c r="AE1785" i="1"/>
  <c r="AE1706" i="1"/>
  <c r="AE224" i="1"/>
  <c r="AE127" i="1"/>
  <c r="AE1897" i="1"/>
  <c r="AE455" i="1"/>
  <c r="AE3375" i="1"/>
  <c r="AE3760" i="1"/>
  <c r="AE1282" i="1"/>
  <c r="AE591" i="1"/>
  <c r="AE2184" i="1"/>
  <c r="AE3698" i="1"/>
  <c r="AE2545" i="1"/>
  <c r="AE1732" i="1"/>
  <c r="AE2390" i="1"/>
  <c r="AE4544" i="1"/>
  <c r="AE4318" i="1"/>
  <c r="AE396" i="1"/>
  <c r="AE4148" i="1"/>
  <c r="AE3487" i="1"/>
  <c r="AE1903" i="1"/>
  <c r="AE3190" i="1"/>
  <c r="AE3987" i="1"/>
  <c r="AE773" i="1"/>
  <c r="AE902" i="1"/>
  <c r="AE3286" i="1"/>
  <c r="AE72" i="1"/>
  <c r="AE157" i="1"/>
  <c r="AE1122" i="1"/>
  <c r="AE3358" i="1"/>
  <c r="AE3222" i="1"/>
  <c r="AE2264" i="1"/>
  <c r="AE3156" i="1"/>
  <c r="AE4034" i="1"/>
  <c r="AE3700" i="1"/>
  <c r="AE770" i="1"/>
  <c r="AE959" i="1"/>
  <c r="AE679" i="1"/>
  <c r="AE2123" i="1"/>
  <c r="AE1360" i="1"/>
  <c r="AE2337" i="1"/>
  <c r="AE2483" i="1"/>
  <c r="AE3135" i="1"/>
  <c r="AE1899" i="1"/>
  <c r="AE839" i="1"/>
  <c r="AE1046" i="1"/>
  <c r="AE3106" i="1"/>
  <c r="AE4080" i="1"/>
  <c r="AE3839" i="1"/>
  <c r="AE2038" i="1"/>
  <c r="AE3545" i="1"/>
  <c r="AE358" i="1"/>
  <c r="AE2278" i="1"/>
  <c r="AE2086" i="1"/>
  <c r="AE3543" i="1"/>
  <c r="AE3066" i="1"/>
  <c r="AE3582" i="1"/>
  <c r="AE1022" i="1"/>
  <c r="AE1442" i="1"/>
  <c r="AE3092" i="1"/>
  <c r="AE1346" i="1"/>
  <c r="AE1167" i="1"/>
  <c r="AE1340" i="1"/>
  <c r="AE2242" i="1"/>
  <c r="AE2727" i="1"/>
  <c r="AE102" i="1"/>
  <c r="AE1491" i="1"/>
  <c r="AE3355" i="1"/>
  <c r="AE3414" i="1"/>
  <c r="AE2048" i="1"/>
  <c r="AE380" i="1"/>
  <c r="AE838" i="1"/>
  <c r="AE866" i="1"/>
  <c r="AE990" i="1"/>
  <c r="AE3205" i="1"/>
  <c r="AE1131" i="1"/>
  <c r="AE3659" i="1"/>
  <c r="AE3243" i="1"/>
  <c r="AE3006" i="1"/>
  <c r="AE2381" i="1"/>
  <c r="AE716" i="1"/>
  <c r="AE818" i="1"/>
  <c r="AE305" i="1"/>
  <c r="AE444" i="1"/>
  <c r="AE3953" i="1"/>
  <c r="AE2124" i="1"/>
  <c r="AE1199" i="1"/>
  <c r="AE3032" i="1"/>
  <c r="AE1934" i="1"/>
  <c r="AE1944" i="1"/>
  <c r="AE4366" i="1"/>
  <c r="AE1171" i="1"/>
  <c r="AE4090" i="1"/>
  <c r="AE1958" i="1"/>
  <c r="AE2570" i="1"/>
  <c r="AE1357" i="1"/>
  <c r="AE3181" i="1"/>
  <c r="AE749" i="1"/>
  <c r="AE2232" i="1"/>
  <c r="AE4260" i="1"/>
  <c r="AE4150" i="1"/>
  <c r="AE2001" i="1"/>
  <c r="AE3043" i="1"/>
  <c r="AE593" i="1"/>
  <c r="AE2245" i="1"/>
  <c r="AE695" i="1"/>
  <c r="AE1337" i="1"/>
  <c r="AE1108" i="1"/>
  <c r="AE2399" i="1"/>
  <c r="AE1967" i="1"/>
  <c r="AE3770" i="1"/>
  <c r="AE3602" i="1"/>
  <c r="AE3958" i="1"/>
  <c r="AE1666" i="1"/>
  <c r="AE1150" i="1"/>
  <c r="AE2347" i="1"/>
  <c r="AE2621" i="1"/>
  <c r="AE3957" i="1"/>
  <c r="AE2844" i="1"/>
  <c r="AE57" i="1"/>
  <c r="AE3484" i="1"/>
  <c r="AE4401" i="1"/>
  <c r="AE2826" i="1"/>
  <c r="AE4272" i="1"/>
  <c r="AE3921" i="1"/>
  <c r="AE4266" i="1"/>
  <c r="AE3077" i="1"/>
  <c r="AE977" i="1"/>
  <c r="AE3824" i="1"/>
  <c r="AE3901" i="1"/>
  <c r="AE2017" i="1"/>
  <c r="AE1915" i="1"/>
  <c r="AE75" i="1"/>
  <c r="AE1519" i="1"/>
  <c r="AE2635" i="1"/>
  <c r="AE1953" i="1"/>
  <c r="AE3107" i="1"/>
  <c r="AE3780" i="1"/>
  <c r="AE2059" i="1"/>
  <c r="AE335" i="1"/>
  <c r="AE2736" i="1"/>
  <c r="AE1024" i="1"/>
  <c r="AE2367" i="1"/>
  <c r="AE4331" i="1"/>
  <c r="AE743" i="1"/>
  <c r="AE2044" i="1"/>
  <c r="AE885" i="1"/>
  <c r="AE727" i="1"/>
  <c r="AE1069" i="1"/>
  <c r="AE1697" i="1"/>
  <c r="AE1338" i="1"/>
  <c r="AE4476" i="1"/>
  <c r="AE1769" i="1"/>
  <c r="AE2030" i="1"/>
  <c r="AE1358" i="1"/>
  <c r="AE790" i="1"/>
  <c r="AE4405" i="1"/>
  <c r="AE3449" i="1"/>
  <c r="AE144" i="1"/>
  <c r="AE1112" i="1"/>
  <c r="AE2994" i="1"/>
  <c r="AE1154" i="1"/>
  <c r="AE1158" i="1"/>
  <c r="AE1075" i="1"/>
  <c r="AE545" i="1"/>
  <c r="AE3712" i="1"/>
  <c r="AE3932" i="1"/>
  <c r="AE1920" i="1"/>
  <c r="AE2714" i="1"/>
  <c r="AE4466" i="1"/>
  <c r="AE422" i="1"/>
  <c r="AE1222" i="1"/>
  <c r="AE1602" i="1"/>
  <c r="AE531" i="1"/>
  <c r="AE3995" i="1"/>
  <c r="AE2072" i="1"/>
  <c r="AE2642" i="1"/>
  <c r="AE4127" i="1"/>
  <c r="AE4369" i="1"/>
  <c r="AE808" i="1"/>
  <c r="AE256" i="1"/>
  <c r="AE3969" i="1"/>
  <c r="AE3886" i="1"/>
  <c r="AE2002" i="1"/>
  <c r="AE2730" i="1"/>
  <c r="AE2238" i="1"/>
  <c r="AE1073" i="1"/>
  <c r="AE4050" i="1"/>
  <c r="AE1583" i="1"/>
  <c r="AE2112" i="1"/>
  <c r="AE1618" i="1"/>
  <c r="AE334" i="1"/>
  <c r="AE2397" i="1"/>
  <c r="AE3514" i="1"/>
  <c r="AE198" i="1"/>
  <c r="AE2740" i="1"/>
  <c r="AE3097" i="1"/>
  <c r="AE2853" i="1"/>
  <c r="AE2889" i="1"/>
  <c r="AE1314" i="1"/>
  <c r="AE363" i="1"/>
  <c r="AE1805" i="1"/>
  <c r="AE139" i="1"/>
  <c r="AE3193" i="1"/>
  <c r="AE2257" i="1"/>
  <c r="AE3558" i="1"/>
  <c r="AE4166" i="1"/>
  <c r="AE1253" i="1"/>
  <c r="AE1840" i="1"/>
  <c r="AE779" i="1"/>
  <c r="AE7" i="1"/>
  <c r="AE1145" i="1"/>
  <c r="AE240" i="1"/>
  <c r="AE2437" i="1"/>
  <c r="AE1435" i="1"/>
  <c r="AE3729" i="1"/>
  <c r="AE2214" i="1"/>
  <c r="AE409" i="1"/>
  <c r="AE1990" i="1"/>
  <c r="AE3900" i="1"/>
  <c r="AE1646" i="1"/>
  <c r="AE3445" i="1"/>
  <c r="AE3475" i="1"/>
  <c r="AE4230" i="1"/>
  <c r="AE1480" i="1"/>
  <c r="AE1901" i="1"/>
  <c r="AE4007" i="1"/>
  <c r="AE4003" i="1"/>
  <c r="AE4398" i="1"/>
  <c r="AE2706" i="1"/>
  <c r="AE1701" i="1"/>
  <c r="AE1375" i="1"/>
  <c r="AE2506" i="1"/>
  <c r="AE3985" i="1"/>
  <c r="AE4011" i="1"/>
  <c r="AE2539" i="1"/>
  <c r="AE2614" i="1"/>
  <c r="AE3103" i="1"/>
  <c r="AE2881" i="1"/>
  <c r="AE2930" i="1"/>
  <c r="AE3411" i="1"/>
  <c r="AE237" i="1"/>
  <c r="AE333" i="1"/>
  <c r="AE2592" i="1"/>
  <c r="AE2472" i="1"/>
  <c r="AE2685" i="1"/>
  <c r="AE3736" i="1"/>
  <c r="AE3835" i="1"/>
  <c r="AE1839" i="1"/>
  <c r="AE3157" i="1"/>
  <c r="AE1560" i="1"/>
  <c r="AE821" i="1"/>
  <c r="AE595" i="1"/>
  <c r="AE2382" i="1"/>
  <c r="AE379" i="1"/>
  <c r="AE1416" i="1"/>
  <c r="AE1102" i="1"/>
  <c r="AE1526" i="1"/>
  <c r="AE3495" i="1"/>
  <c r="AE3657" i="1"/>
  <c r="AE3470" i="1"/>
  <c r="AE1364" i="1"/>
  <c r="AE2872" i="1"/>
  <c r="AE1236" i="1"/>
  <c r="AE1292" i="1"/>
  <c r="AE1719" i="1"/>
  <c r="AE1287" i="1"/>
  <c r="AE3285" i="1"/>
  <c r="AE3940" i="1"/>
  <c r="AE1017" i="1"/>
  <c r="AE1431" i="1"/>
  <c r="AE886" i="1"/>
  <c r="AE1778" i="1"/>
  <c r="AE3604" i="1"/>
  <c r="AE3856" i="1"/>
  <c r="AE3337" i="1"/>
  <c r="AE2071" i="1"/>
  <c r="AE1761" i="1"/>
  <c r="AE2865" i="1"/>
  <c r="AE1186" i="1"/>
  <c r="AE399" i="1"/>
  <c r="AE3697" i="1"/>
  <c r="AE1454" i="1"/>
  <c r="AE3777" i="1"/>
  <c r="AE503" i="1"/>
  <c r="AE186" i="1"/>
  <c r="AE4119" i="1"/>
  <c r="AE3858" i="1"/>
  <c r="AE2109" i="1"/>
  <c r="AE2707" i="1"/>
  <c r="AE1742" i="1"/>
  <c r="AE3821" i="1"/>
  <c r="AE1376" i="1"/>
  <c r="AE1052" i="1"/>
  <c r="AE4455" i="1"/>
  <c r="AE1727" i="1"/>
  <c r="AE330" i="1"/>
  <c r="AE1789" i="1"/>
  <c r="AE1702" i="1"/>
  <c r="AE12" i="1"/>
  <c r="AE1843" i="1"/>
  <c r="AE201" i="1"/>
  <c r="AE2593" i="1"/>
  <c r="AE3524" i="1"/>
  <c r="AE3905" i="1"/>
  <c r="AE2791" i="1"/>
  <c r="AE1005" i="1"/>
  <c r="AE3637" i="1"/>
  <c r="AE3490" i="1"/>
  <c r="AE3538" i="1"/>
  <c r="AE4332" i="1"/>
  <c r="AE1910" i="1"/>
  <c r="AE962" i="1"/>
  <c r="AE4220" i="1"/>
  <c r="AE4171" i="1"/>
  <c r="AE41" i="1"/>
  <c r="AE2763" i="1"/>
  <c r="AE661" i="1"/>
  <c r="AE3610" i="1"/>
  <c r="AE1149" i="1"/>
  <c r="AE1415" i="1"/>
  <c r="AE788" i="1"/>
  <c r="AE2633" i="1"/>
  <c r="AE676" i="1"/>
  <c r="AE3164" i="1"/>
  <c r="AE575" i="1"/>
  <c r="AE3894" i="1"/>
  <c r="AE3481" i="1"/>
  <c r="AE2866" i="1"/>
  <c r="AE4447" i="1"/>
  <c r="AE209" i="1"/>
  <c r="AE216" i="1"/>
  <c r="AE3319" i="1"/>
  <c r="AE3186" i="1"/>
  <c r="AE2327" i="1"/>
  <c r="AE2312" i="1"/>
  <c r="AE2028" i="1"/>
  <c r="AE2045" i="1"/>
  <c r="AE2373" i="1"/>
  <c r="AE4267" i="1"/>
  <c r="AE4097" i="1"/>
  <c r="AE4317" i="1"/>
  <c r="AE2553" i="1"/>
  <c r="AE163" i="1"/>
  <c r="AE1280" i="1"/>
  <c r="AE4342" i="1"/>
  <c r="AE31" i="1"/>
  <c r="AE4261" i="1"/>
  <c r="AE1063" i="1"/>
  <c r="AE3717" i="1"/>
  <c r="AE4520" i="1"/>
  <c r="AE855" i="1"/>
  <c r="AE3798" i="1"/>
  <c r="AE4352" i="1"/>
  <c r="AE2216" i="1"/>
  <c r="AE3547" i="1"/>
  <c r="AE2938" i="1"/>
  <c r="AE2108" i="1"/>
  <c r="AE128" i="1"/>
  <c r="AE3885" i="1"/>
  <c r="AE4429" i="1"/>
  <c r="AE2781" i="1"/>
  <c r="AE4021" i="1"/>
  <c r="AE4375" i="1"/>
  <c r="AE2528" i="1"/>
  <c r="AE4304" i="1"/>
  <c r="AE1587" i="1"/>
  <c r="AE2681" i="1"/>
  <c r="AE1975" i="1"/>
  <c r="AE1401" i="1"/>
  <c r="AE1576" i="1"/>
  <c r="AE1695" i="1"/>
  <c r="AE1580" i="1"/>
  <c r="AE1621" i="1"/>
  <c r="AE3619" i="1"/>
  <c r="AE2473" i="1"/>
  <c r="AE614" i="1"/>
  <c r="AE3276" i="1"/>
  <c r="AE2287" i="1"/>
  <c r="AE1640" i="1"/>
  <c r="AE3477" i="1"/>
  <c r="AE1584" i="1"/>
  <c r="AE3325" i="1"/>
  <c r="AE3652" i="1"/>
  <c r="AE2065" i="1"/>
  <c r="AE3833" i="1"/>
  <c r="AE1784" i="1"/>
  <c r="AE3034" i="1"/>
  <c r="AE2446" i="1"/>
  <c r="AE2223" i="1"/>
  <c r="AE1931" i="1"/>
  <c r="AE3590" i="1"/>
  <c r="AE486" i="1"/>
  <c r="AE3749" i="1"/>
  <c r="AE4542" i="1"/>
  <c r="AE3583" i="1"/>
  <c r="AE4413" i="1"/>
  <c r="AE2608" i="1"/>
  <c r="AE3460" i="1"/>
  <c r="AE2640" i="1"/>
  <c r="AE2521" i="1"/>
  <c r="AE2135" i="1"/>
  <c r="AE81" i="1"/>
  <c r="AE4250" i="1"/>
  <c r="AE2868" i="1"/>
  <c r="AE1738" i="1"/>
  <c r="AE3240" i="1"/>
  <c r="AE1217" i="1"/>
  <c r="AE2234" i="1"/>
  <c r="AE4263" i="1"/>
  <c r="AE2363" i="1"/>
  <c r="AE619" i="1"/>
  <c r="AE1185" i="1"/>
  <c r="AE1504" i="1"/>
  <c r="AE3027" i="1"/>
  <c r="AE3725" i="1"/>
  <c r="AE3463" i="1"/>
  <c r="AE4350" i="1"/>
  <c r="AE2962" i="1"/>
  <c r="AE874" i="1"/>
  <c r="AE135" i="1"/>
  <c r="AE1680" i="1"/>
  <c r="AE3929" i="1"/>
  <c r="AE2719" i="1"/>
  <c r="AE3309" i="1"/>
  <c r="AE4505" i="1"/>
  <c r="AE1942" i="1"/>
  <c r="AE3974" i="1"/>
  <c r="AE495" i="1"/>
  <c r="AE1520" i="1"/>
  <c r="AE2880" i="1"/>
  <c r="AE2600" i="1"/>
  <c r="AE405" i="1"/>
  <c r="AE2924" i="1"/>
  <c r="AE2908" i="1"/>
  <c r="AE213" i="1"/>
  <c r="AE913" i="1"/>
  <c r="AE203" i="1"/>
  <c r="AE4014" i="1"/>
  <c r="AE2783" i="1"/>
  <c r="AE2911" i="1"/>
  <c r="AE1248" i="1"/>
  <c r="AE935" i="1"/>
  <c r="AE2796" i="1"/>
  <c r="AE2395" i="1"/>
  <c r="AE687" i="1"/>
  <c r="AE757" i="1"/>
  <c r="AE1124" i="1"/>
  <c r="AE811" i="1"/>
  <c r="AE1354" i="1"/>
  <c r="AE4535" i="1"/>
  <c r="AE3150" i="1"/>
  <c r="AE3026" i="1"/>
  <c r="AE3408" i="1"/>
  <c r="AE540" i="1"/>
  <c r="AE107" i="1"/>
  <c r="AE175" i="1"/>
  <c r="AE1571" i="1"/>
  <c r="AE2393" i="1"/>
  <c r="AE62" i="1"/>
  <c r="AE3561" i="1"/>
  <c r="AE4063" i="1"/>
  <c r="AE2173" i="1"/>
  <c r="AE4491" i="1"/>
  <c r="AE1203" i="1"/>
  <c r="AE4419" i="1"/>
  <c r="AE1900" i="1"/>
  <c r="AE2902" i="1"/>
  <c r="AE2451" i="1"/>
  <c r="AE4110" i="1"/>
  <c r="AE797" i="1"/>
  <c r="AE994" i="1"/>
  <c r="AE2981" i="1"/>
  <c r="AE3641" i="1"/>
  <c r="AE423" i="1"/>
  <c r="AE3" i="1"/>
  <c r="AE3830" i="1"/>
  <c r="AE1623" i="1"/>
  <c r="AE4451" i="1"/>
  <c r="AE2316" i="1"/>
  <c r="AE3534" i="1"/>
  <c r="AE3271" i="1"/>
  <c r="AE2115" i="1"/>
  <c r="AE1070" i="1"/>
  <c r="AE983" i="1"/>
  <c r="AE1828" i="1"/>
  <c r="AE3828" i="1"/>
  <c r="AE1055" i="1"/>
  <c r="AE3005" i="1"/>
  <c r="AE2922" i="1"/>
  <c r="AE586" i="1"/>
  <c r="AE277" i="1"/>
  <c r="AE557" i="1"/>
  <c r="AE1885" i="1"/>
  <c r="AE565" i="1"/>
  <c r="AE130" i="1"/>
  <c r="AE1257" i="1"/>
  <c r="AE3979" i="1"/>
  <c r="AE2113" i="1"/>
  <c r="AE2693" i="1"/>
  <c r="AE2175" i="1"/>
  <c r="AE3256" i="1"/>
  <c r="AE478" i="1"/>
  <c r="AE1552" i="1"/>
  <c r="AE3410" i="1"/>
  <c r="AE3570" i="1"/>
  <c r="AE3996" i="1"/>
  <c r="AE3961" i="1"/>
  <c r="AE865" i="1"/>
  <c r="AE3104" i="1"/>
  <c r="AE3029" i="1"/>
  <c r="AE1895" i="1"/>
  <c r="AE723" i="1"/>
  <c r="AE3384" i="1"/>
  <c r="AE246" i="1"/>
  <c r="AE1717" i="1"/>
  <c r="AE1842" i="1"/>
  <c r="AE2174" i="1"/>
  <c r="AE3930" i="1"/>
  <c r="AE785" i="1"/>
  <c r="AE2295" i="1"/>
  <c r="AE1831" i="1"/>
  <c r="AE3314" i="1"/>
  <c r="AE1962" i="1"/>
  <c r="AE1308" i="1"/>
  <c r="AE2050" i="1"/>
  <c r="AE4363" i="1"/>
  <c r="AE3288" i="1"/>
  <c r="AE1085" i="1"/>
  <c r="AE1620" i="1"/>
  <c r="AE3418" i="1"/>
  <c r="AE4558" i="1"/>
  <c r="AE3209" i="1"/>
  <c r="AE1143" i="1"/>
  <c r="AE2542" i="1"/>
  <c r="AE4243" i="1"/>
  <c r="AE3771" i="1"/>
  <c r="AE1103" i="1"/>
  <c r="AE634" i="1"/>
  <c r="AE143" i="1"/>
  <c r="AE463" i="1"/>
  <c r="AE2561" i="1"/>
  <c r="AE2430" i="1"/>
  <c r="AE2949" i="1"/>
  <c r="AE3200" i="1"/>
  <c r="AE3893" i="1"/>
  <c r="AE2515" i="1"/>
  <c r="AE805" i="1"/>
  <c r="AE1386" i="1"/>
  <c r="AE2782" i="1"/>
  <c r="AE4118" i="1"/>
  <c r="AE3611" i="1"/>
  <c r="AE1107" i="1"/>
  <c r="AE581" i="1"/>
  <c r="AE1653" i="1"/>
  <c r="AE3566" i="1"/>
  <c r="AE2461" i="1"/>
  <c r="AE2921" i="1"/>
  <c r="AE4199" i="1"/>
  <c r="AE2420" i="1"/>
  <c r="AE1506" i="1"/>
  <c r="AE4194" i="1"/>
  <c r="AE2057" i="1"/>
  <c r="AE777" i="1"/>
  <c r="AE42" i="1"/>
  <c r="AE2466" i="1"/>
  <c r="AE4395" i="1"/>
  <c r="AE1952" i="1"/>
  <c r="AE901" i="1"/>
  <c r="AE2094" i="1"/>
  <c r="AE2259" i="1"/>
  <c r="AE635" i="1"/>
  <c r="AE2273" i="1"/>
  <c r="AE1704" i="1"/>
  <c r="AE101" i="1"/>
  <c r="AE3512" i="1"/>
  <c r="AE2489" i="1"/>
  <c r="AE445" i="1"/>
  <c r="AE4174" i="1"/>
  <c r="AE459" i="1"/>
  <c r="AE4527" i="1"/>
  <c r="AE2679" i="1"/>
  <c r="AE1470" i="1"/>
  <c r="AE1658" i="1"/>
  <c r="AE1238" i="1"/>
  <c r="AE3808" i="1"/>
  <c r="AE3948" i="1"/>
  <c r="AE1679" i="1"/>
  <c r="AE3762" i="1"/>
  <c r="AE3434" i="1"/>
  <c r="AE3052" i="1"/>
  <c r="AE3079" i="1"/>
  <c r="AE979" i="1"/>
  <c r="AE4273" i="1"/>
  <c r="AE1627" i="1"/>
  <c r="AE858" i="1"/>
  <c r="AE3012" i="1"/>
  <c r="AE1444" i="1"/>
  <c r="AE1878" i="1"/>
  <c r="AE641" i="1"/>
  <c r="AE3216" i="1"/>
  <c r="AE4001" i="1"/>
  <c r="AE1515" i="1"/>
  <c r="AE1670" i="1"/>
  <c r="AE941" i="1"/>
  <c r="AE2157" i="1"/>
  <c r="AE1591" i="1"/>
  <c r="AE3852" i="1"/>
  <c r="AE3435" i="1"/>
  <c r="AE2484" i="1"/>
  <c r="AE3231" i="1"/>
  <c r="AE3658" i="1"/>
  <c r="AE4512" i="1"/>
  <c r="AE3330" i="1"/>
  <c r="AE88" i="1"/>
  <c r="AE3119" i="1"/>
  <c r="AE1279" i="1"/>
  <c r="AE1865" i="1"/>
  <c r="AE1590" i="1"/>
  <c r="AE965" i="1"/>
  <c r="AE876" i="1"/>
  <c r="AE1398" i="1"/>
  <c r="AE4004" i="1"/>
  <c r="AE4373" i="1"/>
  <c r="AE2858" i="1"/>
  <c r="AE1496" i="1"/>
  <c r="AE2388" i="1"/>
  <c r="AE4504" i="1"/>
  <c r="AE4370" i="1"/>
  <c r="AE3807" i="1"/>
  <c r="AE461" i="1"/>
  <c r="AE883" i="1"/>
  <c r="AE2837" i="1"/>
  <c r="AE1995" i="1"/>
  <c r="AE3371" i="1"/>
  <c r="AE3062" i="1"/>
  <c r="AE530" i="1"/>
  <c r="AE4294" i="1"/>
  <c r="AE2645" i="1"/>
  <c r="AE724" i="1"/>
  <c r="AE63" i="1"/>
  <c r="AE1441" i="1"/>
  <c r="AE2847" i="1"/>
  <c r="AE553" i="1"/>
  <c r="AE3387" i="1"/>
  <c r="AE1581" i="1"/>
  <c r="AE3508" i="1"/>
  <c r="AE3382" i="1"/>
  <c r="AE3095" i="1"/>
  <c r="AE2463" i="1"/>
  <c r="AE864" i="1"/>
  <c r="AE3259" i="1"/>
  <c r="AE1685" i="1"/>
  <c r="AE1471" i="1"/>
  <c r="AE2896" i="1"/>
  <c r="AE2794" i="1"/>
  <c r="AE1197" i="1"/>
  <c r="AE2122" i="1"/>
  <c r="AE2133" i="1"/>
  <c r="AE3890" i="1"/>
  <c r="AE3461" i="1"/>
  <c r="AE2960" i="1"/>
  <c r="AE3395" i="1"/>
  <c r="AE2562" i="1"/>
  <c r="AE3295" i="1"/>
  <c r="AE2906" i="1"/>
  <c r="AE2790" i="1"/>
  <c r="AE1148" i="1"/>
  <c r="AE1408" i="1"/>
  <c r="AE3739" i="1"/>
  <c r="AE2611" i="1"/>
  <c r="AE3501" i="1"/>
  <c r="AE4553" i="1"/>
  <c r="AE2171" i="1"/>
  <c r="AE613" i="1"/>
  <c r="AE2989" i="1"/>
  <c r="AE2076" i="1"/>
  <c r="AE1295" i="1"/>
  <c r="AE2798" i="1"/>
  <c r="AE2841" i="1"/>
  <c r="AE2967" i="1"/>
  <c r="AE2891" i="1"/>
  <c r="AE3483" i="1"/>
  <c r="AE1582" i="1"/>
  <c r="AE318" i="1"/>
  <c r="AE2597" i="1"/>
  <c r="AE1307" i="1"/>
  <c r="AE4082" i="1"/>
  <c r="AE2686" i="1"/>
  <c r="AE1305" i="1"/>
  <c r="AE2774" i="1"/>
  <c r="AE4500" i="1"/>
  <c r="AE2882" i="1"/>
  <c r="AE1336" i="1"/>
  <c r="AE3221" i="1"/>
  <c r="AE3058" i="1"/>
  <c r="AE546" i="1"/>
  <c r="AE2281" i="1"/>
  <c r="AE3535" i="1"/>
  <c r="AE1927" i="1"/>
  <c r="AE349" i="1"/>
  <c r="AE4211" i="1"/>
  <c r="AE1700" i="1"/>
  <c r="AE563" i="1"/>
  <c r="AE2244" i="1"/>
  <c r="AE3726" i="1"/>
  <c r="AE951" i="1"/>
  <c r="AE3459" i="1"/>
  <c r="AE3042" i="1"/>
  <c r="AE2452" i="1"/>
  <c r="AE3904" i="1"/>
  <c r="AE3964" i="1"/>
  <c r="AE3239" i="1"/>
  <c r="AE494" i="1"/>
  <c r="AE3810" i="1"/>
  <c r="AE3631" i="1"/>
  <c r="AE1862" i="1"/>
  <c r="AE3644" i="1"/>
  <c r="AE683" i="1"/>
  <c r="AE3350" i="1"/>
  <c r="AE4155" i="1"/>
  <c r="AE196" i="1"/>
  <c r="AE541" i="1"/>
  <c r="AE3998" i="1"/>
  <c r="AE3834" i="1"/>
  <c r="AE3345" i="1"/>
  <c r="AE2447" i="1"/>
  <c r="AE4438" i="1"/>
  <c r="AE1465" i="1"/>
  <c r="AE2255" i="1"/>
  <c r="AE2279" i="1"/>
  <c r="AE2748" i="1"/>
  <c r="AE1032" i="1"/>
  <c r="AE4414" i="1"/>
  <c r="AE4357" i="1"/>
  <c r="AE1537" i="1"/>
  <c r="AE2400" i="1"/>
  <c r="AE430" i="1"/>
  <c r="AE4093" i="1"/>
  <c r="AE287" i="1"/>
  <c r="AE1540" i="1"/>
  <c r="AE2098" i="1"/>
  <c r="AE1283" i="1"/>
  <c r="AE1718" i="1"/>
  <c r="AE3854" i="1"/>
  <c r="AE1745" i="1"/>
  <c r="AE3056" i="1"/>
  <c r="AE4411" i="1"/>
  <c r="AE1343" i="1"/>
  <c r="AE1936" i="1"/>
  <c r="AE2758" i="1"/>
  <c r="AE2974" i="1"/>
  <c r="AE2767" i="1"/>
  <c r="AE1231" i="1"/>
  <c r="AE2500" i="1"/>
  <c r="AE466" i="1"/>
  <c r="AE2218" i="1"/>
  <c r="AE3789" i="1"/>
  <c r="AE745" i="1"/>
  <c r="AE123" i="1"/>
  <c r="AE4327" i="1"/>
  <c r="AE3511" i="1"/>
  <c r="AE816" i="1"/>
  <c r="AE2130" i="1"/>
  <c r="AE4035" i="1"/>
  <c r="AE323" i="1"/>
  <c r="AE2953" i="1"/>
  <c r="AE833" i="1"/>
  <c r="AE665" i="1"/>
  <c r="AE879" i="1"/>
  <c r="AE3405" i="1"/>
  <c r="AE3044" i="1"/>
  <c r="AE2352" i="1"/>
  <c r="AE4210" i="1"/>
  <c r="AE774" i="1"/>
  <c r="AE1845" i="1"/>
  <c r="AE1002" i="1"/>
  <c r="AE2005" i="1"/>
  <c r="AE856" i="1"/>
  <c r="AE2468" i="1"/>
  <c r="AE4164" i="1"/>
  <c r="AE4508" i="1"/>
  <c r="AE984" i="1"/>
  <c r="AE1099" i="1"/>
  <c r="AE2417" i="1"/>
  <c r="AE131" i="1"/>
  <c r="AE2624" i="1"/>
  <c r="AE301" i="1"/>
  <c r="AE223" i="1"/>
  <c r="AE3941" i="1"/>
  <c r="AE1603" i="1"/>
  <c r="AE4356" i="1"/>
  <c r="AE4385" i="1"/>
  <c r="AE549" i="1"/>
  <c r="AE1265" i="1"/>
  <c r="AE2010" i="1"/>
  <c r="AE439" i="1"/>
  <c r="AE1853" i="1"/>
  <c r="AE2000" i="1"/>
  <c r="AE1833" i="1"/>
  <c r="AE892" i="1"/>
  <c r="AE3211" i="1"/>
  <c r="AE4522" i="1"/>
  <c r="AE4286" i="1"/>
  <c r="AE1027" i="1"/>
  <c r="AE1929" i="1"/>
  <c r="AE462" i="1"/>
  <c r="AE1370" i="1"/>
  <c r="AE3790" i="1"/>
  <c r="AE2993" i="1"/>
  <c r="AE1579" i="1"/>
  <c r="AE1751" i="1"/>
  <c r="AE4067" i="1"/>
  <c r="AE2314" i="1"/>
  <c r="AE760" i="1"/>
  <c r="AE132" i="1"/>
  <c r="AE4457" i="1"/>
  <c r="AE3624" i="1"/>
  <c r="AE2029" i="1"/>
  <c r="AE611" i="1"/>
  <c r="AE1204" i="1"/>
  <c r="AE3634" i="1"/>
  <c r="AE1893" i="1"/>
  <c r="AE1668" i="1"/>
  <c r="AE4069" i="1"/>
  <c r="AE1686" i="1"/>
  <c r="AE3297" i="1"/>
  <c r="AE4161" i="1"/>
  <c r="AE2220" i="1"/>
  <c r="AE1954" i="1"/>
  <c r="AE1594" i="1"/>
  <c r="AE3237" i="1"/>
  <c r="AE2197" i="1"/>
  <c r="AE3648" i="1"/>
  <c r="AE2830" i="1"/>
  <c r="AE2298" i="1"/>
  <c r="AE2025" i="1"/>
  <c r="AE3647" i="1"/>
  <c r="AE1266" i="1"/>
  <c r="AE659" i="1"/>
  <c r="AE1507" i="1"/>
  <c r="AE2161" i="1"/>
  <c r="AE3238" i="1"/>
  <c r="AE258" i="1"/>
  <c r="AE3126" i="1"/>
  <c r="AE194" i="1"/>
  <c r="AE1405" i="1"/>
  <c r="AE1014" i="1"/>
  <c r="AE847" i="1"/>
  <c r="AE1875" i="1"/>
  <c r="AE1928" i="1"/>
  <c r="AE4077" i="1"/>
  <c r="AE2328" i="1"/>
  <c r="AE3372" i="1"/>
  <c r="AE113" i="1"/>
  <c r="AE3139" i="1"/>
  <c r="AE3853" i="1"/>
  <c r="AE1930" i="1"/>
  <c r="AE3740" i="1"/>
  <c r="AE1000" i="1"/>
  <c r="AE4301" i="1"/>
  <c r="AE1168" i="1"/>
  <c r="AE4314" i="1"/>
  <c r="AE3147" i="1"/>
  <c r="AE3564" i="1"/>
  <c r="AE3439" i="1"/>
  <c r="AE3014" i="1"/>
  <c r="AE3486" i="1"/>
  <c r="AE3303" i="1"/>
  <c r="AE1777" i="1"/>
  <c r="AE4030" i="1"/>
  <c r="AE3565" i="1"/>
  <c r="AE1886" i="1"/>
  <c r="AE432" i="1"/>
  <c r="AE2544" i="1"/>
  <c r="AE4461" i="1"/>
  <c r="AE3415" i="1"/>
  <c r="AE2088" i="1"/>
  <c r="AE1791" i="1"/>
  <c r="AE4430" i="1"/>
  <c r="AE1447" i="1"/>
  <c r="AE1651" i="1"/>
  <c r="AE3510" i="1"/>
  <c r="AE4311" i="1"/>
  <c r="AE480" i="1"/>
  <c r="AE4240" i="1"/>
  <c r="AE9" i="1"/>
  <c r="AE2243" i="1"/>
  <c r="AE4320" i="1"/>
  <c r="AE2934" i="1"/>
  <c r="AE3616" i="1"/>
  <c r="AE1179" i="1"/>
  <c r="AE1530" i="1"/>
  <c r="AE4217" i="1"/>
  <c r="AE2851" i="1"/>
  <c r="AE217" i="1"/>
  <c r="AE271" i="1"/>
  <c r="AE116" i="1"/>
  <c r="AE2003" i="1"/>
  <c r="AE4195" i="1"/>
  <c r="AE3464" i="1"/>
  <c r="AE3235" i="1"/>
  <c r="AE3140" i="1"/>
  <c r="AE3499" i="1"/>
  <c r="AE3051" i="1"/>
  <c r="AE134" i="1"/>
  <c r="AE4139" i="1"/>
  <c r="AE3084" i="1"/>
  <c r="AE3613" i="1"/>
  <c r="AE3809" i="1"/>
  <c r="AE4365" i="1"/>
  <c r="AE3650" i="1"/>
  <c r="AE1912" i="1"/>
  <c r="AE2920" i="1"/>
  <c r="AE1499" i="1"/>
  <c r="AE413" i="1"/>
  <c r="AE64" i="1"/>
  <c r="AE1593" i="1"/>
  <c r="AE3795" i="1"/>
  <c r="AE3039" i="1"/>
  <c r="AE4484" i="1"/>
  <c r="AE190" i="1"/>
  <c r="AE3492" i="1"/>
  <c r="AE4499" i="1"/>
  <c r="AE2219" i="1"/>
  <c r="AE759" i="1"/>
  <c r="AE515" i="1"/>
  <c r="AE863" i="1"/>
  <c r="AE4554" i="1"/>
  <c r="AE1045" i="1"/>
  <c r="AE3864" i="1"/>
  <c r="AE1476" i="1"/>
  <c r="AE401" i="1"/>
  <c r="AE3803" i="1"/>
  <c r="AE487" i="1"/>
  <c r="AE255" i="1"/>
  <c r="AE2027" i="1"/>
  <c r="AE4072" i="1"/>
  <c r="AE67" i="1"/>
  <c r="AE3696" i="1"/>
  <c r="AE1383" i="1"/>
  <c r="AE3151" i="1"/>
  <c r="AE2471" i="1"/>
  <c r="AE1291" i="1"/>
  <c r="AE1301" i="1"/>
  <c r="AE3272" i="1"/>
  <c r="AE1711" i="1"/>
  <c r="AE2438" i="1"/>
  <c r="AE2738" i="1"/>
  <c r="AE3871" i="1"/>
  <c r="AE853" i="1"/>
  <c r="AE4009" i="1"/>
  <c r="AE1239" i="1"/>
  <c r="AE2907" i="1"/>
  <c r="AE4400" i="1"/>
  <c r="AE2672" i="1"/>
  <c r="AE4147" i="1"/>
  <c r="AE3166" i="1"/>
  <c r="AE3479" i="1"/>
  <c r="AE3860" i="1"/>
  <c r="AE1715" i="1"/>
  <c r="AE514" i="1"/>
  <c r="AE1892" i="1"/>
  <c r="AE2708" i="1"/>
  <c r="AE4084" i="1"/>
  <c r="AE1363" i="1"/>
  <c r="AE1223" i="1"/>
  <c r="AE2704" i="1"/>
  <c r="AE4287" i="1"/>
  <c r="AE2414" i="1"/>
  <c r="AE3879" i="1"/>
  <c r="AE4201" i="1"/>
  <c r="AE3793" i="1"/>
  <c r="AE3347" i="1"/>
  <c r="AE3024" i="1"/>
  <c r="AE1302" i="1"/>
  <c r="AE3546" i="1"/>
  <c r="AE218" i="1"/>
  <c r="AE2822" i="1"/>
  <c r="AE2453" i="1"/>
  <c r="AE1399" i="1"/>
  <c r="AE752" i="1"/>
  <c r="AE1286" i="1"/>
  <c r="AE373" i="1"/>
  <c r="AE4416" i="1"/>
  <c r="AE4216" i="1"/>
  <c r="AE2926" i="1"/>
  <c r="AE2919" i="1"/>
  <c r="AE2867" i="1"/>
  <c r="AE3802" i="1"/>
  <c r="AE2713" i="1"/>
  <c r="AE77" i="1"/>
  <c r="AE20" i="1"/>
  <c r="AE3496" i="1"/>
  <c r="AE3651" i="1"/>
  <c r="AE3593" i="1"/>
  <c r="AE3093" i="1"/>
  <c r="AE629" i="1"/>
  <c r="AE3743" i="1"/>
  <c r="AE476" i="1"/>
  <c r="AE2654" i="1"/>
  <c r="AE3665" i="1"/>
  <c r="AE451" i="1"/>
  <c r="AE4257" i="1"/>
  <c r="AE2460" i="1"/>
  <c r="AE668" i="1"/>
  <c r="AE2419" i="1"/>
  <c r="AE2632" i="1"/>
  <c r="AE906" i="1"/>
  <c r="AE571" i="1"/>
  <c r="AE3261" i="1"/>
  <c r="AE1300" i="1"/>
  <c r="AE4244" i="1"/>
  <c r="AE3674" i="1"/>
  <c r="AE3318" i="1"/>
  <c r="AE80" i="1"/>
  <c r="AE1023" i="1"/>
  <c r="AE2418" i="1"/>
  <c r="AE721" i="1"/>
  <c r="AE2969" i="1"/>
  <c r="AE3425" i="1"/>
  <c r="AE45" i="1"/>
  <c r="AE631" i="1"/>
  <c r="AE4493" i="1"/>
  <c r="AE2915" i="1"/>
  <c r="AE1200" i="1"/>
  <c r="AE1221" i="1"/>
  <c r="AE2531" i="1"/>
  <c r="AE4380" i="1"/>
  <c r="AE1089" i="1"/>
  <c r="AE4285" i="1"/>
  <c r="AE4265" i="1"/>
  <c r="AE1140" i="1"/>
  <c r="AE3376" i="1"/>
  <c r="AE3438" i="1"/>
  <c r="AE2128" i="1"/>
  <c r="AE479" i="1"/>
  <c r="AE1258" i="1"/>
  <c r="AE1453" i="1"/>
  <c r="AE763" i="1"/>
  <c r="AE688" i="1"/>
  <c r="AE3359" i="1"/>
  <c r="AE452" i="1"/>
  <c r="AE4290" i="1"/>
  <c r="AE2069" i="1"/>
  <c r="AE2212" i="1"/>
  <c r="AE3304" i="1"/>
  <c r="AE3452" i="1"/>
  <c r="AE1028" i="1"/>
  <c r="AE2011" i="1"/>
  <c r="AE1071" i="1"/>
  <c r="AE868" i="1"/>
  <c r="AE672" i="1"/>
  <c r="AE54" i="1"/>
  <c r="AE2339" i="1"/>
  <c r="AE1939" i="1"/>
  <c r="AE693" i="1"/>
  <c r="AE343" i="1"/>
  <c r="AE248" i="1"/>
  <c r="AE1832" i="1"/>
  <c r="AE3362" i="1"/>
  <c r="AE2311" i="1"/>
  <c r="AE2543" i="1"/>
  <c r="AE1569" i="1"/>
  <c r="AE1821" i="1"/>
  <c r="AE457" i="1"/>
  <c r="AE543" i="1"/>
  <c r="AE1056" i="1"/>
  <c r="AE293" i="1"/>
  <c r="AE1535" i="1"/>
  <c r="AE4105" i="1"/>
  <c r="AE2594" i="1"/>
  <c r="AE4536" i="1"/>
  <c r="AE2935" i="1"/>
  <c r="AE3750" i="1"/>
  <c r="AE1036" i="1"/>
  <c r="AE4142" i="1"/>
  <c r="AE446" i="1"/>
  <c r="AE4129" i="1"/>
  <c r="AE3453" i="1"/>
  <c r="AE2927" i="1"/>
  <c r="AE787" i="1"/>
  <c r="AE1276" i="1"/>
  <c r="AE1600" i="1"/>
  <c r="AE1636" i="1"/>
  <c r="AE3353" i="1"/>
  <c r="AE4248" i="1"/>
  <c r="AE4453" i="1"/>
  <c r="AE3267" i="1"/>
  <c r="AE4197" i="1"/>
  <c r="AE2723" i="1"/>
  <c r="AE332" i="1"/>
  <c r="AE2651" i="1"/>
  <c r="AE1904" i="1"/>
  <c r="AE3832" i="1"/>
  <c r="AE2628" i="1"/>
  <c r="AE1074" i="1"/>
  <c r="AE2375" i="1"/>
  <c r="AE1508" i="1"/>
  <c r="AE1153" i="1"/>
  <c r="AE1259" i="1"/>
  <c r="AE272" i="1"/>
  <c r="AE2848" i="1"/>
  <c r="AE2662" i="1"/>
  <c r="AE3154" i="1"/>
  <c r="AE2625" i="1"/>
  <c r="AE3819" i="1"/>
  <c r="AE2923" i="1"/>
  <c r="AE2307" i="1"/>
  <c r="AE2325" i="1"/>
  <c r="AE2013" i="1"/>
  <c r="AE566" i="1"/>
  <c r="AE3982" i="1"/>
  <c r="AE1313" i="1"/>
  <c r="AE1678" i="1"/>
  <c r="AE513" i="1"/>
  <c r="AE2068" i="1"/>
  <c r="AE361" i="1"/>
  <c r="AE605" i="1"/>
  <c r="AE4545" i="1"/>
  <c r="AE2262" i="1"/>
  <c r="AE2392" i="1"/>
  <c r="AE3938" i="1"/>
  <c r="AE4319" i="1"/>
  <c r="AE3401" i="1"/>
  <c r="AE122" i="1"/>
  <c r="AE4264" i="1"/>
  <c r="AE3311" i="1"/>
  <c r="AE3694" i="1"/>
  <c r="AE852" i="1"/>
  <c r="AE40" i="1"/>
  <c r="AE1420" i="1"/>
  <c r="AE3955" i="1"/>
  <c r="AE3902" i="1"/>
  <c r="AE3791" i="1"/>
  <c r="AE313" i="1"/>
  <c r="AE1212" i="1"/>
  <c r="AE3923" i="1"/>
  <c r="AE2131" i="1"/>
  <c r="AE4208" i="1"/>
  <c r="AE2039" i="1"/>
  <c r="AE1341" i="1"/>
  <c r="AE521" i="1"/>
  <c r="AE4193" i="1"/>
  <c r="AE2742" i="1"/>
  <c r="AE3144" i="1"/>
  <c r="AE3402" i="1"/>
  <c r="AE2441" i="1"/>
  <c r="AE1133" i="1"/>
  <c r="AE181" i="1"/>
  <c r="AE3581" i="1"/>
  <c r="AE1941" i="1"/>
  <c r="AE747" i="1"/>
  <c r="AE4543" i="1"/>
  <c r="AE2204" i="1"/>
  <c r="AE3313" i="1"/>
  <c r="AE438" i="1"/>
  <c r="AE4381" i="1"/>
  <c r="AE4518" i="1"/>
  <c r="AE2170" i="1"/>
  <c r="AE2912" i="1"/>
  <c r="AE2269" i="1"/>
  <c r="AE3380" i="1"/>
  <c r="AE2615" i="1"/>
  <c r="AE3158" i="1"/>
  <c r="AE3842" i="1"/>
  <c r="AE260" i="1"/>
  <c r="AE1456" i="1"/>
  <c r="AE3754" i="1"/>
  <c r="AE4368" i="1"/>
  <c r="AE733" i="1"/>
  <c r="AE467" i="1"/>
  <c r="AE1673" i="1"/>
  <c r="AE666" i="1"/>
  <c r="AE692" i="1"/>
  <c r="AE2322" i="1"/>
  <c r="AE4481" i="1"/>
  <c r="AE2203" i="1"/>
  <c r="AE2326" i="1"/>
  <c r="AE1141" i="1"/>
  <c r="AE4362" i="1"/>
  <c r="AE4141" i="1"/>
  <c r="AE686" i="1"/>
  <c r="AE2584" i="1"/>
  <c r="AE3057" i="1"/>
  <c r="AE443" i="1"/>
  <c r="AE3723" i="1"/>
  <c r="AE2470" i="1"/>
  <c r="AE2315" i="1"/>
  <c r="AE2358" i="1"/>
  <c r="AE2354" i="1"/>
  <c r="AE4394" i="1"/>
  <c r="AE4315" i="1"/>
  <c r="AE2116" i="1"/>
  <c r="AE674" i="1"/>
  <c r="AE3788" i="1"/>
  <c r="AE2717" i="1"/>
  <c r="AE648" i="1"/>
  <c r="AE1488" i="1"/>
  <c r="AE1707" i="1"/>
  <c r="AE600" i="1"/>
  <c r="AE1494" i="1"/>
  <c r="AE2965" i="1"/>
  <c r="AE3301" i="1"/>
  <c r="AE2715" i="1"/>
  <c r="AE1547" i="1"/>
  <c r="AE663" i="1"/>
  <c r="AE527" i="1"/>
  <c r="AE1409" i="1"/>
  <c r="AE758" i="1"/>
  <c r="AE2667" i="1"/>
  <c r="AE1173" i="1"/>
  <c r="AE4277" i="1"/>
  <c r="AE4537" i="1"/>
  <c r="AE3336" i="1"/>
  <c r="AE3268" i="1"/>
  <c r="AE2607" i="1"/>
  <c r="AE813" i="1"/>
  <c r="AE4421" i="1"/>
  <c r="AE623" i="1"/>
  <c r="AE1714" i="1"/>
  <c r="AE3568" i="1"/>
  <c r="AE510" i="1"/>
  <c r="AE2066" i="1"/>
  <c r="AE1837" i="1"/>
  <c r="AE1661" i="1"/>
  <c r="AE2114" i="1"/>
  <c r="AE344" i="1"/>
  <c r="AE30" i="1"/>
  <c r="AE1464" i="1"/>
  <c r="AE3343" i="1"/>
  <c r="AE3306" i="1"/>
  <c r="AE2147" i="1"/>
  <c r="AE3815" i="1"/>
  <c r="AE1567" i="1"/>
  <c r="AE2925" i="1"/>
  <c r="AE1598" i="1"/>
  <c r="AE1319" i="1"/>
  <c r="AE2674" i="1"/>
  <c r="AE1403" i="1"/>
  <c r="AE2832" i="1"/>
  <c r="AE3054" i="1"/>
  <c r="AE3662" i="1"/>
  <c r="AE4424" i="1"/>
  <c r="AE227" i="1"/>
  <c r="AE26" i="1"/>
  <c r="AE2860" i="1"/>
  <c r="AE1795" i="1"/>
  <c r="AE2412" i="1"/>
  <c r="AE3083" i="1"/>
  <c r="AE1047" i="1"/>
  <c r="AE2496" i="1"/>
  <c r="AE1461" i="1"/>
  <c r="AE2788" i="1"/>
  <c r="AE154" i="1"/>
  <c r="AE3767" i="1"/>
  <c r="AE2829" i="1"/>
  <c r="AE3746" i="1"/>
  <c r="AE953" i="1"/>
  <c r="AE2817" i="1"/>
  <c r="AE322" i="1"/>
  <c r="AE204" i="1"/>
  <c r="AE82" i="1"/>
  <c r="AE2648" i="1"/>
  <c r="AE1665" i="1"/>
  <c r="AE2577" i="1"/>
  <c r="AE2537" i="1"/>
  <c r="AE1021" i="1"/>
  <c r="AE1127" i="1"/>
  <c r="AE4418" i="1"/>
  <c r="AE2207" i="1"/>
  <c r="AE4178" i="1"/>
  <c r="AE1503" i="1"/>
  <c r="AE3199" i="1"/>
  <c r="AE2164" i="1"/>
  <c r="AE3848" i="1"/>
  <c r="AE894" i="1"/>
  <c r="AE1752" i="1"/>
  <c r="AE1793" i="1"/>
  <c r="AE1689" i="1"/>
  <c r="AE3105" i="1"/>
  <c r="AE1762" i="1"/>
  <c r="AE3515" i="1"/>
  <c r="AE4234" i="1"/>
  <c r="AE722" i="1"/>
  <c r="AE2503" i="1"/>
  <c r="AE29" i="1"/>
  <c r="AE3846" i="1"/>
  <c r="AE2308" i="1"/>
  <c r="AE4423" i="1"/>
  <c r="AE3794" i="1"/>
  <c r="AE4026" i="1"/>
  <c r="AE2444" i="1"/>
  <c r="AE3690" i="1"/>
  <c r="AE3595" i="1"/>
  <c r="AE1611" i="1"/>
  <c r="AE416" i="1"/>
  <c r="AE2775" i="1"/>
  <c r="AE3076" i="1"/>
  <c r="AE3299" i="1"/>
  <c r="AE176" i="1"/>
  <c r="AE2634" i="1"/>
  <c r="AE3685" i="1"/>
  <c r="AE155" i="1"/>
  <c r="AE3280" i="1"/>
  <c r="AE2552" i="1"/>
  <c r="AE3010" i="1"/>
  <c r="AE1083" i="1"/>
  <c r="AE4086" i="1"/>
  <c r="AE3503" i="1"/>
  <c r="AE448" i="1"/>
  <c r="AE4135" i="1"/>
  <c r="AE4293" i="1"/>
  <c r="AE532" i="1"/>
  <c r="AE491" i="1"/>
  <c r="AE3509" i="1"/>
  <c r="AE245" i="1"/>
  <c r="AE2158" i="1"/>
  <c r="AE3574" i="1"/>
  <c r="AE671" i="1"/>
  <c r="AE3061" i="1"/>
  <c r="AE1317" i="1"/>
  <c r="AE489" i="1"/>
  <c r="AE98" i="1"/>
  <c r="AE3471" i="1"/>
  <c r="AE3247" i="1"/>
  <c r="AE4445" i="1"/>
  <c r="AE2495" i="1"/>
  <c r="AE3249" i="1"/>
  <c r="AE918" i="1"/>
  <c r="AE1044" i="1"/>
  <c r="AE187" i="1"/>
  <c r="AE736" i="1"/>
  <c r="AE4212" i="1"/>
  <c r="AE1196" i="1"/>
  <c r="AE1172" i="1"/>
  <c r="AE468" i="1"/>
  <c r="AE2411" i="1"/>
  <c r="AE65" i="1"/>
  <c r="AE3289" i="1"/>
  <c r="AE4278" i="1"/>
  <c r="AE3778" i="1"/>
  <c r="AE325" i="1"/>
  <c r="AE1867" i="1"/>
  <c r="AE2762" i="1"/>
  <c r="AE4441" i="1"/>
  <c r="AE3596" i="1"/>
  <c r="AE4355" i="1"/>
  <c r="AE1531" i="1"/>
  <c r="AE1489" i="1"/>
  <c r="AE1211" i="1"/>
  <c r="AE1755" i="1"/>
  <c r="AE827" i="1"/>
  <c r="AE235" i="1"/>
  <c r="AE2294" i="1"/>
  <c r="AE2863" i="1"/>
  <c r="AE22" i="1"/>
  <c r="AE441" i="1"/>
  <c r="AE2996" i="1"/>
  <c r="AE945" i="1"/>
  <c r="AE129" i="1"/>
  <c r="AE1781" i="1"/>
  <c r="AE3060" i="1"/>
  <c r="AE1006" i="1"/>
  <c r="AE220" i="1"/>
  <c r="AE290" i="1"/>
  <c r="AE2659" i="1"/>
  <c r="AE2883" i="1"/>
  <c r="AE1528" i="1"/>
  <c r="AE105" i="1"/>
  <c r="AE3897" i="1"/>
  <c r="AE2637" i="1"/>
  <c r="AE4519" i="1"/>
  <c r="AE1404" i="1"/>
  <c r="AE3764" i="1"/>
  <c r="AE340" i="1"/>
  <c r="AE561" i="1"/>
  <c r="AE3966" i="1"/>
  <c r="AE870" i="1"/>
  <c r="AE2876" i="1"/>
  <c r="AE887" i="1"/>
  <c r="AE1381" i="1"/>
  <c r="AE520" i="1"/>
  <c r="AE3730" i="1"/>
  <c r="AE703" i="1"/>
  <c r="AE2282" i="1"/>
  <c r="AE599" i="1"/>
  <c r="AE2504" i="1"/>
  <c r="AE845" i="1"/>
  <c r="AE4124" i="1"/>
  <c r="AE643" i="1"/>
  <c r="AE3882" i="1"/>
  <c r="AE3822" i="1"/>
  <c r="AE3709" i="1"/>
  <c r="AE2063" i="1"/>
  <c r="AE2854" i="1"/>
  <c r="AE815" i="1"/>
  <c r="AE584" i="1"/>
  <c r="AE2540" i="1"/>
  <c r="AE3007" i="1"/>
  <c r="AE3992" i="1"/>
  <c r="AE4403" i="1"/>
  <c r="AE1411" i="1"/>
  <c r="AE145" i="1"/>
  <c r="AE3863" i="1"/>
  <c r="AE1249" i="1"/>
  <c r="AE3899" i="1"/>
  <c r="AE3991" i="1"/>
  <c r="AE1184" i="1"/>
  <c r="AE2407" i="1"/>
  <c r="AE3389" i="1"/>
  <c r="AE3889" i="1"/>
  <c r="AE270" i="1"/>
  <c r="AE801" i="1"/>
  <c r="AE1961" i="1"/>
  <c r="AE3851" i="1"/>
  <c r="AE1628" i="1"/>
  <c r="AE630" i="1"/>
  <c r="AE900" i="1"/>
  <c r="AE4440" i="1"/>
  <c r="AE946" i="1"/>
  <c r="AE1326" i="1"/>
  <c r="AE4057" i="1"/>
  <c r="AE1463" i="1"/>
  <c r="AE4474" i="1"/>
  <c r="AE3981" i="1"/>
  <c r="AE4531" i="1"/>
  <c r="AE4017" i="1"/>
  <c r="AE3016" i="1"/>
  <c r="AE888" i="1"/>
  <c r="AE3523" i="1"/>
  <c r="AE3799" i="1"/>
  <c r="AE2047" i="1"/>
  <c r="AE2750" i="1"/>
  <c r="AE2015" i="1"/>
  <c r="AE3110" i="1"/>
  <c r="AE208" i="1"/>
  <c r="AE367" i="1"/>
  <c r="AE475" i="1"/>
  <c r="AE1813" i="1"/>
  <c r="AE2361" i="1"/>
  <c r="AE2606" i="1"/>
  <c r="AE3773" i="1"/>
  <c r="AE1421" i="1"/>
  <c r="AE681" i="1"/>
  <c r="AE219" i="1"/>
  <c r="AE739" i="1"/>
  <c r="AE3734" i="1"/>
</calcChain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INDUSTRY</t>
        </r>
      </text>
    </comment>
    <comment ref="H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BONDS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PREFERRED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COMMON</t>
        </r>
      </text>
    </comment>
    <comment ref="K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1st LIEN MTG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2ND LIEN MTG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RE OCCUPIED</t>
        </r>
      </text>
    </comment>
    <comment ref="N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RE OWNED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RE FOR SALE</t>
        </r>
      </text>
    </comment>
    <comment ref="P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CASH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CONTRACT LOANS</t>
        </r>
      </text>
    </comment>
    <comment ref="S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SEC RECEIVABLE</t>
        </r>
      </text>
    </comment>
    <comment ref="T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WRITE-INS</t>
        </r>
      </text>
    </comment>
    <comment ref="U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TOTAL C&amp;IASSETS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SEC LENDING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DERIVATIVES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&lt;BLANK&gt;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&lt;DA BALANCE&gt;</t>
        </r>
      </text>
    </comment>
  </commentList>
</comments>
</file>

<file path=xl/comments2.xml><?xml version="1.0" encoding="utf-8"?>
<comments xmlns="http://schemas.openxmlformats.org/spreadsheetml/2006/main">
  <authors>
    <author>Administrator</author>
    <author>Chris Fahey</author>
  </authors>
  <commentList>
    <comment ref="L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Borrowings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Capital Notes for some insurers, AVR for Life (and likely Fraternal)</t>
        </r>
      </text>
    </comment>
    <comment ref="N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Captial Notes for Life, Surplus Notes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Administrator:</t>
        </r>
        <r>
          <rPr>
            <sz val="8"/>
            <color indexed="81"/>
            <rFont val="Tahoma"/>
            <family val="2"/>
          </rPr>
          <t xml:space="preserve">
Life: Surplus Notes, others, 
Surplus for PolicyHolders</t>
        </r>
      </text>
    </comment>
    <comment ref="P1" authorId="1">
      <text>
        <r>
          <rPr>
            <b/>
            <sz val="9"/>
            <color indexed="81"/>
            <rFont val="Tahoma"/>
            <charset val="1"/>
          </rPr>
          <t>Chris Fahey:</t>
        </r>
        <r>
          <rPr>
            <sz val="9"/>
            <color indexed="81"/>
            <rFont val="Tahoma"/>
            <charset val="1"/>
          </rPr>
          <t xml:space="preserve">
LIFE: Stock and Surplus</t>
        </r>
      </text>
    </comment>
  </commentList>
</comments>
</file>

<file path=xl/comments3.xml><?xml version="1.0" encoding="utf-8"?>
<comments xmlns="http://schemas.openxmlformats.org/spreadsheetml/2006/main">
  <authors>
    <author>CFahey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CFahey:</t>
        </r>
        <r>
          <rPr>
            <sz val="8"/>
            <color indexed="81"/>
            <rFont val="Tahoma"/>
            <family val="2"/>
          </rPr>
          <t xml:space="preserve">
For this column, you have to test if it is blank, and if blank, enter "".</t>
        </r>
      </text>
    </comment>
    <comment ref="H1" authorId="0">
      <text>
        <r>
          <rPr>
            <b/>
            <sz val="8"/>
            <color indexed="81"/>
            <rFont val="Tahoma"/>
            <family val="2"/>
          </rPr>
          <t>CFahey:</t>
        </r>
        <r>
          <rPr>
            <sz val="8"/>
            <color indexed="81"/>
            <rFont val="Tahoma"/>
            <family val="2"/>
          </rPr>
          <t xml:space="preserve">
For this column, you have to test if it is blank, and if blank, enter "".</t>
        </r>
      </text>
    </comment>
  </commentList>
</comments>
</file>

<file path=xl/sharedStrings.xml><?xml version="1.0" encoding="utf-8"?>
<sst xmlns="http://schemas.openxmlformats.org/spreadsheetml/2006/main" count="344" uniqueCount="205">
  <si>
    <t>TotalCap</t>
  </si>
  <si>
    <t>INDUSTRY</t>
  </si>
  <si>
    <t>COCODE</t>
  </si>
  <si>
    <t>NAME</t>
  </si>
  <si>
    <t>STATE_OF_DOMICILE</t>
  </si>
  <si>
    <t>TOTAL_CAP</t>
  </si>
  <si>
    <t>TOTAL_CANDIA</t>
  </si>
  <si>
    <t>SHORT_COMPANY_NAME</t>
  </si>
  <si>
    <t>GROUP_NAME</t>
  </si>
  <si>
    <t>GROUP_CODE_ID</t>
  </si>
  <si>
    <t>F</t>
  </si>
  <si>
    <t>P</t>
  </si>
  <si>
    <t>L</t>
  </si>
  <si>
    <t>X</t>
  </si>
  <si>
    <t>T</t>
  </si>
  <si>
    <t>C&amp;IA</t>
  </si>
  <si>
    <t>Ind Lev Avg</t>
  </si>
  <si>
    <t>PREFERRED_STK</t>
  </si>
  <si>
    <t>COMMON_STK</t>
  </si>
  <si>
    <t>FIRST_LIEN_MTGS</t>
  </si>
  <si>
    <t>SECOND_LIEN_MORTGAGES</t>
  </si>
  <si>
    <t>CASH</t>
  </si>
  <si>
    <t>CONTRACT_LOANS</t>
  </si>
  <si>
    <t>DERIVATIVES</t>
  </si>
  <si>
    <t>OTHER_INV_ASSETS</t>
  </si>
  <si>
    <t>SEC_RECEIVABLES</t>
  </si>
  <si>
    <t>WRITE_INS</t>
  </si>
  <si>
    <t>BONDS</t>
  </si>
  <si>
    <t>PFD</t>
  </si>
  <si>
    <t>COMMON</t>
  </si>
  <si>
    <t>TOTAL_C&amp;IA</t>
  </si>
  <si>
    <t>RE_OCCUPIED</t>
  </si>
  <si>
    <t>RE_OWNED</t>
  </si>
  <si>
    <t>RE_4_SALE</t>
  </si>
  <si>
    <t>SEC_LENDING_REINV_COLLATERAL</t>
  </si>
  <si>
    <t>DA BALANCE</t>
  </si>
  <si>
    <t>&lt;SPACE&gt;</t>
  </si>
  <si>
    <t>TOTAL BONDS
(Incl. ST Bonds)</t>
  </si>
  <si>
    <t>Total</t>
  </si>
  <si>
    <t>Bonds</t>
  </si>
  <si>
    <t>Preferred Stock</t>
  </si>
  <si>
    <t>Common Stock</t>
  </si>
  <si>
    <t>Mortgages</t>
  </si>
  <si>
    <t>Real Estate</t>
  </si>
  <si>
    <t>Cash &amp; ST Investments</t>
  </si>
  <si>
    <t>Derivatives</t>
  </si>
  <si>
    <t>Schedule BA &amp; Other Assets</t>
  </si>
  <si>
    <t>Policy (Contract) Loans</t>
  </si>
  <si>
    <t>Other</t>
  </si>
  <si>
    <t>Total Cash &amp; Invested Assets</t>
  </si>
  <si>
    <t>Yr/Yr Growth</t>
  </si>
  <si>
    <t xml:space="preserve">Total Capital &amp; Surplus </t>
  </si>
  <si>
    <t>TOTAL BONDS
(Excl. ST Bonds)</t>
  </si>
  <si>
    <t>Calc?</t>
  </si>
  <si>
    <t>Total Cash&amp;IA/TotCap</t>
  </si>
  <si>
    <t>Lev (C&amp;IA/TotCap)</t>
  </si>
  <si>
    <t>SURPLUS_NOTES</t>
  </si>
  <si>
    <t>CAPITALNOTES</t>
  </si>
  <si>
    <t>&lt;BLANK&gt;</t>
  </si>
  <si>
    <t>Rank in Leverage</t>
  </si>
  <si>
    <t>ReferenceID</t>
  </si>
  <si>
    <t>Table/Tab</t>
  </si>
  <si>
    <t>File</t>
  </si>
  <si>
    <t>ISSUER</t>
  </si>
  <si>
    <t>CUSIPIssuers</t>
  </si>
  <si>
    <t>C:\Data\2012\zIndustryData\Issuers.mdb</t>
  </si>
  <si>
    <t>ISSUE</t>
  </si>
  <si>
    <t>CUSIPIssues</t>
  </si>
  <si>
    <t>C:\Data\2012\zIndustryData\Issues.mdb</t>
  </si>
  <si>
    <t>Bloomberg</t>
  </si>
  <si>
    <t>Security_Common_V_1</t>
  </si>
  <si>
    <t>C:\Data\2012\zBBergData\BBergData1.mdb</t>
  </si>
  <si>
    <t>BBerg Dictionary</t>
  </si>
  <si>
    <t>DICTIONARY</t>
  </si>
  <si>
    <t>InsurerInfoYE</t>
  </si>
  <si>
    <t>C:\Data\2012\zIndustryData\EmptyScheds.mdb</t>
  </si>
  <si>
    <t>a link connects these to the Refdatabase</t>
  </si>
  <si>
    <t>InsurerInfoQ1</t>
  </si>
  <si>
    <t>InsurerInfoQ2</t>
  </si>
  <si>
    <t>InsurerInfoQ3</t>
  </si>
  <si>
    <t>Common</t>
  </si>
  <si>
    <t>CommonStockData</t>
  </si>
  <si>
    <t>* will one day be AnnualScheds.mdb</t>
  </si>
  <si>
    <t>Debt</t>
  </si>
  <si>
    <t>DebtData</t>
  </si>
  <si>
    <t>Preferred</t>
  </si>
  <si>
    <t>PfdStockData</t>
  </si>
  <si>
    <t>Debt2011</t>
  </si>
  <si>
    <t>HistDebt</t>
  </si>
  <si>
    <t>C:\Data\2012\zIndustryData\Historical\AnnualDebt2011.mdb</t>
  </si>
  <si>
    <t>Debt2010</t>
  </si>
  <si>
    <t>C:\Data\2012\zIndustryData\Historical\AnnualDebt2010.mdb</t>
  </si>
  <si>
    <t>*someday, add QtrScheds</t>
  </si>
  <si>
    <t>Debt2009</t>
  </si>
  <si>
    <t>C:\Data\2012\zIndustryData\Historical\AnnualDebt2009.mdb</t>
  </si>
  <si>
    <t>*Someday, add MiscScheds</t>
  </si>
  <si>
    <t>Debt2008</t>
  </si>
  <si>
    <t>C:\Data\2012\zIndustryData\Historical\AnnualDebt2008.mdb</t>
  </si>
  <si>
    <t>Debt2007</t>
  </si>
  <si>
    <t>C:\Data\2012\zIndustryData\Historical\AnnualDebt2007.mdb</t>
  </si>
  <si>
    <t>CS2011</t>
  </si>
  <si>
    <t>HistCS</t>
  </si>
  <si>
    <t>C:\Data\2012\zIndustryData\Historical\AnnualCS.mdb</t>
  </si>
  <si>
    <t>CS2010</t>
  </si>
  <si>
    <t>CS2009</t>
  </si>
  <si>
    <t>CS2008</t>
  </si>
  <si>
    <t>CS2007</t>
  </si>
  <si>
    <t>PS2011</t>
  </si>
  <si>
    <t>HistPfd</t>
  </si>
  <si>
    <t>C:\Data\2012\zIndustryData\Historical\AnnualPfd.mdb</t>
  </si>
  <si>
    <t>PS2010</t>
  </si>
  <si>
    <t>PS2009</t>
  </si>
  <si>
    <t>PS2008</t>
  </si>
  <si>
    <t>PS2007</t>
  </si>
  <si>
    <t>C:\Data\2012\zRefData\RefTables.mdb</t>
  </si>
  <si>
    <t>COUNTS</t>
  </si>
  <si>
    <t>($millions)</t>
  </si>
  <si>
    <t>Class</t>
  </si>
  <si>
    <t>Insurer Size</t>
  </si>
  <si>
    <t xml:space="preserve"> &lt;=$250 mil</t>
  </si>
  <si>
    <t>&gt;$250 to &lt;= $500</t>
  </si>
  <si>
    <t>&gt; $500 to &lt;= $1 bil</t>
  </si>
  <si>
    <t>&gt; $1 bil to &lt;= $2.5 bil</t>
  </si>
  <si>
    <t>&gt; $2.5 bil to &lt;=$5 bil</t>
  </si>
  <si>
    <t>&gt; $5 bil to &lt;= $10 bil</t>
  </si>
  <si>
    <t xml:space="preserve">   more than $10 bil</t>
  </si>
  <si>
    <t>Size</t>
  </si>
  <si>
    <t>IndSize</t>
  </si>
  <si>
    <t>P1</t>
  </si>
  <si>
    <t>P4</t>
  </si>
  <si>
    <t>P3</t>
  </si>
  <si>
    <t>P7</t>
  </si>
  <si>
    <t>P5</t>
  </si>
  <si>
    <t>P2</t>
  </si>
  <si>
    <t>P6</t>
  </si>
  <si>
    <t>P-1</t>
  </si>
  <si>
    <t>L1</t>
  </si>
  <si>
    <t>L3</t>
  </si>
  <si>
    <t>L4</t>
  </si>
  <si>
    <t>L2</t>
  </si>
  <si>
    <t>L7</t>
  </si>
  <si>
    <t>L5</t>
  </si>
  <si>
    <t>L6</t>
  </si>
  <si>
    <t>X1</t>
  </si>
  <si>
    <t>X4</t>
  </si>
  <si>
    <t>X2</t>
  </si>
  <si>
    <t>X3</t>
  </si>
  <si>
    <t>X6</t>
  </si>
  <si>
    <t>X5</t>
  </si>
  <si>
    <t>T1</t>
  </si>
  <si>
    <t>T3</t>
  </si>
  <si>
    <t>T4</t>
  </si>
  <si>
    <t>F1</t>
  </si>
  <si>
    <t>F7</t>
  </si>
  <si>
    <t>F4</t>
  </si>
  <si>
    <t>F2</t>
  </si>
  <si>
    <t>F3</t>
  </si>
  <si>
    <t>F6</t>
  </si>
  <si>
    <t>F5</t>
  </si>
  <si>
    <t>Mtgs</t>
  </si>
  <si>
    <t>Year-End Download As Of:</t>
  </si>
  <si>
    <t>Q1 Download As Of:</t>
  </si>
  <si>
    <t>Q2 Download As Of:</t>
  </si>
  <si>
    <t>Q3 Download As Of:</t>
  </si>
  <si>
    <t>YEAR</t>
  </si>
  <si>
    <t>GROUP NAME</t>
  </si>
  <si>
    <t>YEInsurerInfo</t>
  </si>
  <si>
    <t>Industry</t>
  </si>
  <si>
    <t>CoCode</t>
  </si>
  <si>
    <t>Borrowings</t>
  </si>
  <si>
    <t>Capital Notes</t>
  </si>
  <si>
    <t>Surplus Notes</t>
  </si>
  <si>
    <t>Total Capital</t>
  </si>
  <si>
    <t>ASS</t>
  </si>
  <si>
    <t>LIA</t>
  </si>
  <si>
    <t>CY-ASS</t>
  </si>
  <si>
    <t>CY-LIA</t>
  </si>
  <si>
    <t>PY-ASS</t>
  </si>
  <si>
    <t>PY-LIA</t>
  </si>
  <si>
    <t>CY</t>
  </si>
  <si>
    <t>PY</t>
  </si>
  <si>
    <t>PY1</t>
  </si>
  <si>
    <t>PY2</t>
  </si>
  <si>
    <t>PY3</t>
  </si>
  <si>
    <t>PY4</t>
  </si>
  <si>
    <t>PY5</t>
  </si>
  <si>
    <t>PY6</t>
  </si>
  <si>
    <t>PY7</t>
  </si>
  <si>
    <t>PY8</t>
  </si>
  <si>
    <t>PY9</t>
  </si>
  <si>
    <t>1=ASS, 2=LIA</t>
  </si>
  <si>
    <t>Base Cell</t>
  </si>
  <si>
    <t>AM2</t>
  </si>
  <si>
    <t>Select 1 or 2</t>
  </si>
  <si>
    <t>AM1</t>
  </si>
  <si>
    <t>TOTAL</t>
  </si>
  <si>
    <t>='CY-LIA'!AM1</t>
  </si>
  <si>
    <t>AM3</t>
  </si>
  <si>
    <t>AM4</t>
  </si>
  <si>
    <t>AM5</t>
  </si>
  <si>
    <t>AM6</t>
  </si>
  <si>
    <t>AM7</t>
  </si>
  <si>
    <t>DA</t>
  </si>
  <si>
    <t>C</t>
  </si>
  <si>
    <t>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</si>
</sst>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"/>
  </numFmts>
  <fonts count="20" x14ac:knownFonts="1">
    <font>
      <sz val="10"/>
      <name val="Arial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1"/>
      <color indexed="8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color indexed="8"/>
      <name val="Arial"/>
      <family val="2"/>
    </font>
    <font>
      <b/>
      <sz val="10"/>
      <color rgb="FF00B0F0"/>
      <name val="Arial"/>
      <family val="2"/>
    </font>
    <font>
      <b/>
      <sz val="10"/>
      <color rgb="FFFF0000"/>
      <name val="Arial"/>
      <family val="2"/>
    </font>
    <font>
      <b/>
      <sz val="10"/>
      <color rgb="FF3366FF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10"/>
      <color rgb="FFFF0000"/>
      <name val="Arial"/>
      <family val="2"/>
    </font>
    <font>
      <b/>
      <sz val="10"/>
      <color rgb="FF0000FF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0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72">
    <xf numFmtId="0" fontId="0" fillId="0" borderId="0" xfId="0"/>
    <xf numFmtId="0" fontId="0" fillId="0" borderId="0" xfId="0" applyBorder="1"/>
    <xf numFmtId="0" fontId="2" fillId="0" borderId="0" xfId="2" applyFont="1" applyFill="1" applyBorder="1" applyAlignment="1">
      <alignment horizontal="right" wrapText="1"/>
    </xf>
    <xf numFmtId="0" fontId="0" fillId="0" borderId="0" xfId="0" applyFill="1" applyBorder="1"/>
    <xf numFmtId="0" fontId="0" fillId="0" borderId="0" xfId="0" applyAlignment="1">
      <alignment horizontal="center"/>
    </xf>
    <xf numFmtId="3" fontId="0" fillId="0" borderId="0" xfId="0" applyNumberFormat="1"/>
    <xf numFmtId="0" fontId="2" fillId="0" borderId="0" xfId="2" applyBorder="1"/>
    <xf numFmtId="0" fontId="3" fillId="0" borderId="0" xfId="0" applyFont="1" applyAlignment="1">
      <alignment horizontal="center"/>
    </xf>
    <xf numFmtId="0" fontId="6" fillId="0" borderId="0" xfId="0" applyFont="1"/>
    <xf numFmtId="4" fontId="0" fillId="0" borderId="0" xfId="0" applyNumberFormat="1"/>
    <xf numFmtId="0" fontId="6" fillId="0" borderId="0" xfId="0" applyFont="1" applyAlignment="1"/>
    <xf numFmtId="164" fontId="0" fillId="0" borderId="0" xfId="0" applyNumberFormat="1"/>
    <xf numFmtId="0" fontId="11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12" fillId="0" borderId="0" xfId="0" applyFont="1"/>
    <xf numFmtId="0" fontId="0" fillId="0" borderId="0" xfId="0" applyAlignment="1">
      <alignment wrapText="1"/>
    </xf>
    <xf numFmtId="0" fontId="6" fillId="0" borderId="0" xfId="0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9" fillId="3" borderId="1" xfId="0" applyFont="1" applyFill="1" applyBorder="1"/>
    <xf numFmtId="0" fontId="0" fillId="4" borderId="1" xfId="0" applyFill="1" applyBorder="1"/>
    <xf numFmtId="0" fontId="9" fillId="4" borderId="1" xfId="0" applyFont="1" applyFill="1" applyBorder="1"/>
    <xf numFmtId="0" fontId="0" fillId="3" borderId="1" xfId="0" applyFill="1" applyBorder="1"/>
    <xf numFmtId="0" fontId="9" fillId="0" borderId="0" xfId="0" quotePrefix="1" applyFont="1"/>
    <xf numFmtId="0" fontId="9" fillId="0" borderId="0" xfId="0" applyFont="1" applyFill="1" applyBorder="1"/>
    <xf numFmtId="0" fontId="9" fillId="0" borderId="0" xfId="0" applyFont="1"/>
    <xf numFmtId="0" fontId="9" fillId="0" borderId="2" xfId="0" applyFont="1" applyFill="1" applyBorder="1" applyAlignment="1">
      <alignment horizontal="centerContinuous"/>
    </xf>
    <xf numFmtId="0" fontId="9" fillId="0" borderId="3" xfId="0" applyFont="1" applyFill="1" applyBorder="1" applyAlignment="1">
      <alignment horizontal="centerContinuous"/>
    </xf>
    <xf numFmtId="0" fontId="2" fillId="0" borderId="3" xfId="1" applyFont="1" applyFill="1" applyBorder="1" applyAlignment="1">
      <alignment horizontal="centerContinuous" wrapText="1"/>
    </xf>
    <xf numFmtId="0" fontId="9" fillId="0" borderId="3" xfId="0" applyFont="1" applyBorder="1" applyAlignment="1">
      <alignment horizontal="centerContinuous"/>
    </xf>
    <xf numFmtId="0" fontId="9" fillId="0" borderId="4" xfId="0" applyFont="1" applyBorder="1" applyAlignment="1">
      <alignment horizontal="centerContinuous"/>
    </xf>
    <xf numFmtId="0" fontId="13" fillId="0" borderId="0" xfId="0" applyFont="1" applyFill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0" fontId="2" fillId="0" borderId="0" xfId="1" applyFont="1" applyFill="1" applyBorder="1" applyAlignment="1">
      <alignment horizontal="center" wrapText="1"/>
    </xf>
    <xf numFmtId="3" fontId="0" fillId="0" borderId="0" xfId="0" applyNumberFormat="1" applyFill="1" applyBorder="1"/>
    <xf numFmtId="3" fontId="14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0" fontId="10" fillId="0" borderId="0" xfId="1" applyFont="1" applyFill="1" applyBorder="1" applyAlignment="1">
      <alignment horizontal="center" wrapText="1"/>
    </xf>
    <xf numFmtId="0" fontId="8" fillId="0" borderId="0" xfId="0" applyFont="1" applyFill="1" applyBorder="1" applyAlignment="1">
      <alignment horizontal="center"/>
    </xf>
    <xf numFmtId="0" fontId="9" fillId="0" borderId="0" xfId="0" quotePrefix="1" applyFont="1" applyFill="1" applyBorder="1"/>
    <xf numFmtId="0" fontId="2" fillId="0" borderId="0" xfId="1" applyNumberFormat="1" applyFont="1" applyFill="1" applyBorder="1" applyAlignment="1">
      <alignment horizontal="center" wrapText="1"/>
    </xf>
    <xf numFmtId="0" fontId="0" fillId="0" borderId="0" xfId="0" applyNumberFormat="1" applyAlignment="1">
      <alignment horizontal="center"/>
    </xf>
    <xf numFmtId="3" fontId="15" fillId="0" borderId="0" xfId="0" applyNumberFormat="1" applyFont="1"/>
    <xf numFmtId="0" fontId="16" fillId="0" borderId="0" xfId="1" applyNumberFormat="1" applyFont="1" applyFill="1" applyBorder="1" applyAlignment="1">
      <alignment horizontal="center" wrapText="1"/>
    </xf>
    <xf numFmtId="0" fontId="3" fillId="0" borderId="0" xfId="0" applyFont="1" applyAlignment="1">
      <alignment horizontal="right"/>
    </xf>
    <xf numFmtId="22" fontId="0" fillId="0" borderId="0" xfId="0" applyNumberFormat="1"/>
    <xf numFmtId="0" fontId="2" fillId="0" borderId="0" xfId="2" applyFont="1" applyFill="1" applyBorder="1" applyAlignment="1">
      <alignment wrapText="1"/>
    </xf>
    <xf numFmtId="0" fontId="2" fillId="0" borderId="0" xfId="3" applyFont="1" applyFill="1" applyBorder="1" applyAlignment="1">
      <alignment horizontal="right" wrapText="1"/>
    </xf>
    <xf numFmtId="0" fontId="2" fillId="0" borderId="0" xfId="3" applyFont="1" applyFill="1" applyBorder="1" applyAlignment="1">
      <alignment wrapText="1"/>
    </xf>
    <xf numFmtId="0" fontId="7" fillId="2" borderId="0" xfId="2" applyFont="1" applyFill="1" applyBorder="1" applyAlignment="1">
      <alignment horizontal="center"/>
    </xf>
    <xf numFmtId="0" fontId="7" fillId="5" borderId="0" xfId="2" applyFont="1" applyFill="1" applyBorder="1" applyAlignment="1">
      <alignment horizontal="center"/>
    </xf>
    <xf numFmtId="0" fontId="7" fillId="5" borderId="0" xfId="2" applyFont="1" applyFill="1" applyBorder="1" applyAlignment="1">
      <alignment horizontal="left"/>
    </xf>
    <xf numFmtId="0" fontId="6" fillId="6" borderId="0" xfId="0" applyFont="1" applyFill="1" applyBorder="1" applyAlignment="1">
      <alignment horizontal="left"/>
    </xf>
    <xf numFmtId="0" fontId="6" fillId="6" borderId="0" xfId="0" applyFont="1" applyFill="1" applyBorder="1" applyAlignment="1">
      <alignment horizontal="right"/>
    </xf>
    <xf numFmtId="0" fontId="7" fillId="7" borderId="0" xfId="2" applyFont="1" applyFill="1" applyBorder="1" applyAlignment="1">
      <alignment horizontal="left"/>
    </xf>
    <xf numFmtId="0" fontId="7" fillId="0" borderId="0" xfId="2" applyFont="1" applyFill="1" applyBorder="1" applyAlignment="1">
      <alignment horizontal="right" wrapText="1"/>
    </xf>
    <xf numFmtId="0" fontId="7" fillId="0" borderId="0" xfId="2" applyFont="1" applyFill="1" applyBorder="1" applyAlignment="1">
      <alignment wrapText="1"/>
    </xf>
    <xf numFmtId="0" fontId="2" fillId="0" borderId="0" xfId="3" applyFont="1" applyFill="1" applyBorder="1" applyAlignment="1">
      <alignment horizontal="center"/>
    </xf>
    <xf numFmtId="0" fontId="7" fillId="2" borderId="0" xfId="2" applyFont="1" applyFill="1" applyBorder="1" applyAlignment="1"/>
    <xf numFmtId="0" fontId="7" fillId="2" borderId="0" xfId="2" applyFont="1" applyFill="1" applyBorder="1" applyAlignment="1">
      <alignment horizontal="right"/>
    </xf>
    <xf numFmtId="0" fontId="6" fillId="0" borderId="0" xfId="0" quotePrefix="1" applyFont="1"/>
    <xf numFmtId="0" fontId="6" fillId="0" borderId="0" xfId="0" applyFont="1" applyBorder="1"/>
    <xf numFmtId="0" fontId="12" fillId="0" borderId="0" xfId="0" applyFont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17" fillId="0" borderId="0" xfId="0" applyFont="1" applyAlignment="1">
      <alignment horizontal="center"/>
    </xf>
    <xf numFmtId="0" fontId="6" fillId="0" borderId="0" xfId="0" applyFont="1" applyFill="1" applyBorder="1" applyAlignment="1">
      <alignment horizontal="right"/>
    </xf>
    <xf numFmtId="0" fontId="3" fillId="8" borderId="0" xfId="0" applyFont="1" applyFill="1" applyAlignment="1">
      <alignment horizontal="center"/>
    </xf>
    <xf numFmtId="0" fontId="3" fillId="0" borderId="2" xfId="0" applyFont="1" applyBorder="1" applyAlignment="1">
      <alignment horizontal="centerContinuous"/>
    </xf>
    <xf numFmtId="0" fontId="3" fillId="0" borderId="4" xfId="0" applyFont="1" applyBorder="1" applyAlignment="1">
      <alignment horizontal="centerContinuous"/>
    </xf>
    <xf numFmtId="0" fontId="16" fillId="0" borderId="0" xfId="0" applyFont="1"/>
    <xf numFmtId="0" fontId="3" fillId="0" borderId="0" xfId="0" applyFont="1" applyBorder="1" applyAlignment="1">
      <alignment horizontal="center"/>
    </xf>
  </cellXfs>
  <cellStyles count="4">
    <cellStyle name="Normal" xfId="0" builtinId="0"/>
    <cellStyle name="Normal_CoCodeStockExp" xfId="1"/>
    <cellStyle name="Normal_P-ASSETS" xfId="2"/>
    <cellStyle name="Normal_P-LIAB" xfId="3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923925</xdr:colOff>
          <xdr:row>0</xdr:row>
          <xdr:rowOff>76200</xdr:rowOff>
        </xdr:from>
        <xdr:to>
          <xdr:col>3</xdr:col>
          <xdr:colOff>2343150</xdr:colOff>
          <xdr:row>0</xdr:row>
          <xdr:rowOff>447675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0</xdr:row>
          <xdr:rowOff>0</xdr:rowOff>
        </xdr:from>
        <xdr:to>
          <xdr:col>6</xdr:col>
          <xdr:colOff>1733550</xdr:colOff>
          <xdr:row>0</xdr:row>
          <xdr:rowOff>371475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1333500</xdr:colOff>
          <xdr:row>0</xdr:row>
          <xdr:rowOff>38100</xdr:rowOff>
        </xdr:from>
        <xdr:to>
          <xdr:col>10</xdr:col>
          <xdr:colOff>0</xdr:colOff>
          <xdr:row>0</xdr:row>
          <xdr:rowOff>361950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indexed="44"/>
  </sheetPr>
  <dimension ref="A1:AP5326"/>
  <sheetViews>
    <sheetView zoomScale="130" zoomScaleNormal="130" workbookViewId="0">
      <selection activeCell="AN2" sqref="AN2:AN6"/>
    </sheetView>
  </sheetViews>
  <sheetFormatPr defaultRowHeight="12.75" x14ac:dyDescent="0.2"/>
  <cols>
    <col min="1" max="2" width="9.140625" style="1"/>
    <col min="3" max="3" width="8.7109375" style="1" customWidth="1"/>
    <col min="4" max="4" width="35.42578125" style="1" customWidth="1"/>
    <col min="5" max="5" width="10.42578125" style="1" customWidth="1"/>
    <col min="6" max="6" width="11" style="1" customWidth="1"/>
    <col min="7" max="7" width="36.42578125" style="1" customWidth="1"/>
    <col min="8" max="9" width="9.140625" style="1"/>
    <col min="10" max="10" width="12.140625" style="3" customWidth="1"/>
    <col min="11" max="21" width="12.140625" style="1" customWidth="1"/>
    <col min="22" max="22" width="3.28515625" style="1" customWidth="1"/>
    <col min="23" max="24" width="12.140625" style="1" customWidth="1"/>
    <col min="25" max="25" width="3.28515625" style="1" customWidth="1"/>
    <col min="26" max="27" width="9.140625" style="1"/>
    <col min="28" max="28" width="4.85546875" style="1" customWidth="1"/>
    <col min="29" max="29" width="38.5703125" style="1" customWidth="1"/>
    <col min="30" max="30" width="9.140625" style="1"/>
    <col min="31" max="31" width="50.7109375" style="1" customWidth="1"/>
    <col min="32" max="39" width="9.140625" style="1"/>
    <col min="40" max="40" width="12.42578125" style="1" bestFit="1" customWidth="1"/>
    <col min="41" max="42" width="12" style="1" bestFit="1" customWidth="1"/>
    <col min="43" max="71" width="9.140625" style="1"/>
    <col min="72" max="72" width="16.42578125" style="1" bestFit="1" customWidth="1"/>
    <col min="73" max="16384" width="9.140625" style="1"/>
  </cols>
  <sheetData>
    <row r="1" spans="1:42" ht="14.25" x14ac:dyDescent="0.2">
      <c r="B1" s="49" t="s">
        <v>2</v>
      </c>
      <c r="C1" s="58" t="s">
        <v>4</v>
      </c>
      <c r="D1" s="49" t="s">
        <v>7</v>
      </c>
      <c r="E1" s="49" t="s">
        <v>164</v>
      </c>
      <c r="F1" s="51" t="s">
        <v>9</v>
      </c>
      <c r="G1" s="49" t="s">
        <v>8</v>
      </c>
      <c r="H1" s="49" t="s">
        <v>27</v>
      </c>
      <c r="I1" s="50" t="s">
        <v>28</v>
      </c>
      <c r="J1" s="51" t="s">
        <v>29</v>
      </c>
      <c r="K1" s="52" t="s">
        <v>19</v>
      </c>
      <c r="L1" s="52" t="s">
        <v>20</v>
      </c>
      <c r="M1" s="52" t="s">
        <v>31</v>
      </c>
      <c r="N1" s="52" t="s">
        <v>32</v>
      </c>
      <c r="O1" s="52" t="s">
        <v>33</v>
      </c>
      <c r="P1" s="52" t="s">
        <v>21</v>
      </c>
      <c r="Q1" s="53" t="s">
        <v>22</v>
      </c>
      <c r="R1" s="52" t="s">
        <v>24</v>
      </c>
      <c r="S1" s="52" t="s">
        <v>25</v>
      </c>
      <c r="T1" s="52" t="s">
        <v>26</v>
      </c>
      <c r="U1" s="54" t="s">
        <v>30</v>
      </c>
      <c r="W1" s="52"/>
      <c r="X1" s="52"/>
      <c r="Z1" s="49" t="s">
        <v>2</v>
      </c>
      <c r="AA1" s="49" t="s">
        <v>164</v>
      </c>
      <c r="AB1" s="49" t="s">
        <v>4</v>
      </c>
      <c r="AC1" s="49" t="s">
        <v>7</v>
      </c>
      <c r="AD1" s="59" t="s">
        <v>9</v>
      </c>
      <c r="AE1" s="49" t="s">
        <v>8</v>
      </c>
      <c r="AF1" s="49" t="s">
        <v>36</v>
      </c>
      <c r="AG1" s="49" t="s">
        <v>35</v>
      </c>
      <c r="AM1" s="1">
        <f ca="1">COUNT(OFFSET(B2,0,0,7000,1))</f>
        <v>0</v>
      </c>
      <c r="AN1" s="71" t="s">
        <v>202</v>
      </c>
      <c r="AO1" s="71" t="s">
        <v>203</v>
      </c>
      <c r="AP1" s="71" t="s">
        <v>204</v>
      </c>
    </row>
    <row r="2" spans="1:42" ht="14.25" x14ac:dyDescent="0.2">
      <c r="B2" s="55"/>
      <c r="C2" s="56"/>
      <c r="D2" s="56"/>
      <c r="E2" s="56"/>
      <c r="F2" s="55"/>
      <c r="G2" s="56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W2" s="55"/>
      <c r="X2" s="55"/>
      <c r="AL2" s="1" t="s">
        <v>11</v>
      </c>
      <c r="AM2" s="1">
        <f ca="1">COUNTIF(OFFSET($A$2,0,0,7000,1),$AL2)</f>
        <v>0</v>
      </c>
      <c r="AN2" s="1">
        <f ca="1">SUMIF(OFFSET($A$2,0,0,7000,1),$AL2,OFFSET($AG$2,0,0,7000,1))</f>
        <v>0</v>
      </c>
      <c r="AO2" s="1">
        <f ca="1">SUMIF(OFFSET($A$2,0,0,7000,1),$AL2,OFFSET($BG$2,0,0,7000,1))</f>
        <v>0</v>
      </c>
      <c r="AP2" s="1">
        <f ca="1">SUMIF(OFFSET($A$2,0,0,7000,1),$AL2,OFFSET($CG$2,0,0,7000,1))</f>
        <v>0</v>
      </c>
    </row>
    <row r="3" spans="1:42" x14ac:dyDescent="0.2">
      <c r="B3" s="2"/>
      <c r="C3" s="46"/>
      <c r="D3" s="46"/>
      <c r="E3" s="46"/>
      <c r="F3" s="2"/>
      <c r="G3" s="46"/>
      <c r="H3" s="2"/>
      <c r="I3" s="2"/>
      <c r="J3" s="2"/>
      <c r="AL3" s="1" t="s">
        <v>12</v>
      </c>
      <c r="AM3" s="1">
        <f t="shared" ref="AM3:AM6" ca="1" si="0">COUNTIF(OFFSET($A$2,0,0,7000,1),$AL3)</f>
        <v>0</v>
      </c>
      <c r="AN3" s="1">
        <f t="shared" ref="AN3:AN6" ca="1" si="1">SUMIF(OFFSET($A$2,0,0,7000,1),$AL3,OFFSET($AG$2,0,0,7000,1))</f>
        <v>0</v>
      </c>
      <c r="AO3" s="1">
        <f t="shared" ref="AO3:AO6" ca="1" si="2">SUMIF(OFFSET($A$2,0,0,7000,1),$AL3,OFFSET($BG$2,0,0,7000,1))</f>
        <v>0</v>
      </c>
      <c r="AP3" s="1">
        <f t="shared" ref="AP3:AP6" ca="1" si="3">SUMIF(OFFSET($A$2,0,0,7000,1),$AL3,OFFSET($CG$2,0,0,7000,1))</f>
        <v>0</v>
      </c>
    </row>
    <row r="4" spans="1:42" x14ac:dyDescent="0.2">
      <c r="B4" s="2"/>
      <c r="C4" s="46"/>
      <c r="D4" s="46"/>
      <c r="E4" s="46"/>
      <c r="F4" s="2"/>
      <c r="G4" s="46"/>
      <c r="H4" s="2"/>
      <c r="I4" s="2"/>
      <c r="J4" s="2"/>
      <c r="AL4" s="1" t="s">
        <v>13</v>
      </c>
      <c r="AM4" s="1">
        <f t="shared" ca="1" si="0"/>
        <v>0</v>
      </c>
      <c r="AN4" s="1">
        <f t="shared" ca="1" si="1"/>
        <v>0</v>
      </c>
      <c r="AO4" s="1">
        <f t="shared" ca="1" si="2"/>
        <v>0</v>
      </c>
      <c r="AP4" s="1">
        <f t="shared" ca="1" si="3"/>
        <v>0</v>
      </c>
    </row>
    <row r="5" spans="1:42" x14ac:dyDescent="0.2">
      <c r="B5" s="2"/>
      <c r="C5" s="46"/>
      <c r="D5" s="46"/>
      <c r="E5" s="46"/>
      <c r="F5" s="6"/>
      <c r="G5" s="46"/>
      <c r="H5" s="2"/>
      <c r="I5" s="2"/>
      <c r="J5" s="2"/>
      <c r="AL5" s="1" t="s">
        <v>10</v>
      </c>
      <c r="AM5" s="1">
        <f t="shared" ca="1" si="0"/>
        <v>0</v>
      </c>
      <c r="AN5" s="1">
        <f t="shared" ca="1" si="1"/>
        <v>0</v>
      </c>
      <c r="AO5" s="1">
        <f t="shared" ca="1" si="2"/>
        <v>0</v>
      </c>
      <c r="AP5" s="1">
        <f t="shared" ca="1" si="3"/>
        <v>0</v>
      </c>
    </row>
    <row r="6" spans="1:42" x14ac:dyDescent="0.2">
      <c r="B6" s="2"/>
      <c r="C6" s="46"/>
      <c r="D6" s="46"/>
      <c r="E6" s="46"/>
      <c r="F6" s="2"/>
      <c r="G6" s="46"/>
      <c r="H6" s="2"/>
      <c r="I6" s="2"/>
      <c r="J6" s="2"/>
      <c r="AL6" s="1" t="s">
        <v>14</v>
      </c>
      <c r="AM6" s="1">
        <f t="shared" ca="1" si="0"/>
        <v>0</v>
      </c>
      <c r="AN6" s="1">
        <f t="shared" ca="1" si="1"/>
        <v>0</v>
      </c>
      <c r="AO6" s="1">
        <f t="shared" ca="1" si="2"/>
        <v>0</v>
      </c>
      <c r="AP6" s="1">
        <f t="shared" ca="1" si="3"/>
        <v>0</v>
      </c>
    </row>
    <row r="7" spans="1:42" x14ac:dyDescent="0.2">
      <c r="B7" s="2"/>
      <c r="C7" s="46"/>
      <c r="D7" s="46"/>
      <c r="E7" s="46"/>
      <c r="F7" s="6"/>
      <c r="G7" s="46"/>
      <c r="H7" s="2"/>
      <c r="I7" s="2"/>
      <c r="J7" s="2"/>
      <c r="AL7" s="1" t="s">
        <v>38</v>
      </c>
      <c r="AM7" s="1">
        <f ca="1">SUM(AM2:AM6)</f>
        <v>0</v>
      </c>
      <c r="AN7" s="1">
        <f ca="1">SUM(AN2:AN6)</f>
        <v>0</v>
      </c>
      <c r="AO7" s="1">
        <f t="shared" ref="AO7:AP7" ca="1" si="4">SUM(AO2:AO6)</f>
        <v>0</v>
      </c>
      <c r="AP7" s="1">
        <f t="shared" ca="1" si="4"/>
        <v>0</v>
      </c>
    </row>
    <row r="8" spans="1:42" x14ac:dyDescent="0.2">
      <c r="B8" s="2"/>
      <c r="C8" s="46"/>
      <c r="D8" s="46"/>
      <c r="E8" s="46"/>
      <c r="F8" s="2"/>
      <c r="G8" s="46"/>
      <c r="H8" s="2"/>
      <c r="I8" s="2"/>
      <c r="J8" s="2"/>
      <c r="AM8" s="63">
        <f ca="1">AM7-AM1</f>
        <v>0</v>
      </c>
      <c r="AN8" s="62">
        <f ca="1">AN7-SUM(OFFSET(AG2,0,0,7000,1))</f>
        <v>0</v>
      </c>
      <c r="AO8" s="62">
        <f ca="1">AO7-SUM(OFFSET(BG2,0,0,7000,1))</f>
        <v>0</v>
      </c>
      <c r="AP8" s="62">
        <f ca="1">AP7-SUM(OFFSET(CG2,0,0,7000,1))</f>
        <v>0</v>
      </c>
    </row>
    <row r="9" spans="1:42" x14ac:dyDescent="0.2">
      <c r="B9" s="2"/>
      <c r="C9" s="46"/>
      <c r="D9" s="46"/>
      <c r="E9" s="46"/>
      <c r="F9" s="2"/>
      <c r="G9" s="46"/>
      <c r="H9" s="2"/>
      <c r="I9" s="2"/>
      <c r="J9" s="2"/>
    </row>
    <row r="10" spans="1:42" x14ac:dyDescent="0.2">
      <c r="B10" s="2"/>
      <c r="C10" s="46"/>
      <c r="D10" s="46"/>
      <c r="E10" s="46"/>
      <c r="F10" s="6"/>
      <c r="G10" s="46"/>
      <c r="H10" s="2"/>
      <c r="I10" s="2"/>
      <c r="J10" s="2"/>
    </row>
    <row r="11" spans="1:42" x14ac:dyDescent="0.2">
      <c r="B11" s="2"/>
      <c r="C11" s="46"/>
      <c r="D11" s="46"/>
      <c r="E11" s="46"/>
      <c r="F11" s="2"/>
      <c r="G11" s="46"/>
      <c r="H11" s="2"/>
      <c r="I11" s="2"/>
      <c r="J11" s="2"/>
    </row>
    <row r="12" spans="1:42" x14ac:dyDescent="0.2">
      <c r="B12" s="2"/>
      <c r="C12" s="46"/>
      <c r="D12" s="46"/>
      <c r="E12" s="46"/>
      <c r="F12" s="2"/>
      <c r="G12" s="46"/>
      <c r="H12" s="2"/>
      <c r="I12" s="2"/>
      <c r="J12" s="2"/>
    </row>
    <row r="13" spans="1:42" x14ac:dyDescent="0.2">
      <c r="B13" s="2"/>
      <c r="C13" s="46"/>
      <c r="D13" s="46"/>
      <c r="E13" s="46"/>
      <c r="F13" s="6"/>
      <c r="G13" s="46"/>
      <c r="H13" s="2"/>
      <c r="I13" s="2"/>
      <c r="J13" s="2"/>
    </row>
    <row r="14" spans="1:42" x14ac:dyDescent="0.2">
      <c r="B14" s="2"/>
      <c r="C14" s="46"/>
      <c r="D14" s="46"/>
      <c r="E14" s="46"/>
      <c r="F14" s="2"/>
      <c r="G14" s="46"/>
      <c r="H14" s="2"/>
      <c r="I14" s="2"/>
      <c r="J14" s="2"/>
    </row>
    <row r="15" spans="1:42" x14ac:dyDescent="0.2">
      <c r="B15" s="2"/>
      <c r="C15" s="46"/>
      <c r="D15" s="46"/>
      <c r="E15" s="46"/>
      <c r="F15" s="2"/>
      <c r="G15" s="46"/>
      <c r="H15" s="2"/>
      <c r="I15" s="2"/>
      <c r="J15" s="2"/>
    </row>
    <row r="16" spans="1:42" x14ac:dyDescent="0.2">
      <c r="B16" s="2"/>
      <c r="C16" s="46"/>
      <c r="D16" s="46"/>
      <c r="E16" s="46"/>
      <c r="F16" s="6"/>
      <c r="G16" s="46"/>
      <c r="H16" s="2"/>
      <c r="I16" s="2"/>
      <c r="J16" s="2"/>
    </row>
    <row r="17" spans="2:10" x14ac:dyDescent="0.2">
      <c r="B17" s="2"/>
      <c r="C17" s="46"/>
      <c r="D17" s="46"/>
      <c r="E17" s="46"/>
      <c r="F17" s="2"/>
      <c r="G17" s="46"/>
      <c r="H17" s="2"/>
      <c r="I17" s="2"/>
      <c r="J17" s="2"/>
    </row>
    <row r="18" spans="2:10" x14ac:dyDescent="0.2">
      <c r="B18" s="2"/>
      <c r="C18" s="46"/>
      <c r="D18" s="46"/>
      <c r="E18" s="46"/>
      <c r="F18" s="6"/>
      <c r="G18" s="46"/>
      <c r="H18" s="2"/>
      <c r="I18" s="2"/>
      <c r="J18" s="2"/>
    </row>
    <row r="19" spans="2:10" x14ac:dyDescent="0.2">
      <c r="B19" s="2"/>
      <c r="C19" s="46"/>
      <c r="D19" s="46"/>
      <c r="E19" s="46"/>
      <c r="F19" s="6"/>
      <c r="G19" s="46"/>
      <c r="H19" s="2"/>
      <c r="I19" s="2"/>
      <c r="J19" s="2"/>
    </row>
    <row r="20" spans="2:10" x14ac:dyDescent="0.2">
      <c r="B20" s="2"/>
      <c r="C20" s="46"/>
      <c r="D20" s="46"/>
      <c r="E20" s="46"/>
      <c r="F20" s="2"/>
      <c r="G20" s="46"/>
      <c r="H20" s="2"/>
      <c r="I20" s="2"/>
      <c r="J20" s="2"/>
    </row>
    <row r="21" spans="2:10" x14ac:dyDescent="0.2">
      <c r="B21" s="2"/>
      <c r="C21" s="46"/>
      <c r="D21" s="46"/>
      <c r="E21" s="46"/>
      <c r="F21" s="2"/>
      <c r="G21" s="46"/>
      <c r="H21" s="2"/>
      <c r="I21" s="2"/>
      <c r="J21" s="2"/>
    </row>
    <row r="22" spans="2:10" x14ac:dyDescent="0.2">
      <c r="B22" s="2"/>
      <c r="C22" s="46"/>
      <c r="D22" s="46"/>
      <c r="E22" s="46"/>
      <c r="F22" s="2"/>
      <c r="G22" s="46"/>
      <c r="H22" s="2"/>
      <c r="I22" s="2"/>
      <c r="J22" s="2"/>
    </row>
    <row r="23" spans="2:10" x14ac:dyDescent="0.2">
      <c r="B23" s="2"/>
      <c r="C23" s="46"/>
      <c r="D23" s="46"/>
      <c r="E23" s="46"/>
      <c r="F23" s="2"/>
      <c r="G23" s="46"/>
      <c r="H23" s="2"/>
      <c r="I23" s="2"/>
      <c r="J23" s="2"/>
    </row>
    <row r="24" spans="2:10" x14ac:dyDescent="0.2">
      <c r="B24" s="2"/>
      <c r="C24" s="46"/>
      <c r="D24" s="46"/>
      <c r="E24" s="46"/>
      <c r="F24" s="2"/>
      <c r="G24" s="46"/>
      <c r="H24" s="2"/>
      <c r="I24" s="2"/>
      <c r="J24" s="2"/>
    </row>
    <row r="25" spans="2:10" x14ac:dyDescent="0.2">
      <c r="B25" s="2"/>
      <c r="C25" s="46"/>
      <c r="D25" s="46"/>
      <c r="E25" s="46"/>
      <c r="F25" s="2"/>
      <c r="G25" s="46"/>
      <c r="H25" s="2"/>
      <c r="I25" s="2"/>
      <c r="J25" s="2"/>
    </row>
    <row r="26" spans="2:10" x14ac:dyDescent="0.2">
      <c r="B26" s="2"/>
      <c r="C26" s="46"/>
      <c r="D26" s="46"/>
      <c r="E26" s="46"/>
      <c r="F26" s="2"/>
      <c r="G26" s="46"/>
      <c r="H26" s="2"/>
      <c r="I26" s="2"/>
      <c r="J26" s="2"/>
    </row>
    <row r="27" spans="2:10" x14ac:dyDescent="0.2">
      <c r="B27" s="2"/>
      <c r="C27" s="46"/>
      <c r="D27" s="46"/>
      <c r="E27" s="46"/>
      <c r="F27" s="6"/>
      <c r="G27" s="46"/>
      <c r="H27" s="2"/>
      <c r="I27" s="2"/>
      <c r="J27" s="2"/>
    </row>
    <row r="28" spans="2:10" x14ac:dyDescent="0.2">
      <c r="B28" s="2"/>
      <c r="C28" s="46"/>
      <c r="D28" s="46"/>
      <c r="E28" s="46"/>
      <c r="F28" s="2"/>
      <c r="G28" s="46"/>
      <c r="H28" s="2"/>
      <c r="I28" s="2"/>
      <c r="J28" s="2"/>
    </row>
    <row r="29" spans="2:10" x14ac:dyDescent="0.2">
      <c r="B29" s="2"/>
      <c r="C29" s="46"/>
      <c r="D29" s="46"/>
      <c r="E29" s="46"/>
      <c r="F29" s="2"/>
      <c r="G29" s="46"/>
      <c r="H29" s="2"/>
      <c r="I29" s="2"/>
      <c r="J29" s="2"/>
    </row>
    <row r="30" spans="2:10" x14ac:dyDescent="0.2">
      <c r="B30" s="2"/>
      <c r="C30" s="46"/>
      <c r="D30" s="46"/>
      <c r="E30" s="46"/>
      <c r="F30" s="2"/>
      <c r="G30" s="46"/>
      <c r="H30" s="2"/>
      <c r="I30" s="2"/>
      <c r="J30" s="2"/>
    </row>
    <row r="31" spans="2:10" x14ac:dyDescent="0.2">
      <c r="B31" s="2"/>
      <c r="C31" s="46"/>
      <c r="D31" s="46"/>
      <c r="E31" s="46"/>
      <c r="F31" s="2"/>
      <c r="G31" s="46"/>
      <c r="H31" s="2"/>
      <c r="I31" s="2"/>
      <c r="J31" s="2"/>
    </row>
    <row r="32" spans="2:10" x14ac:dyDescent="0.2">
      <c r="B32" s="2"/>
      <c r="C32" s="46"/>
      <c r="D32" s="46"/>
      <c r="E32" s="46"/>
      <c r="F32" s="2"/>
      <c r="G32" s="46"/>
      <c r="H32" s="2"/>
      <c r="I32" s="2"/>
      <c r="J32" s="2"/>
    </row>
    <row r="33" spans="2:10" x14ac:dyDescent="0.2">
      <c r="B33" s="2"/>
      <c r="C33" s="46"/>
      <c r="D33" s="46"/>
      <c r="E33" s="46"/>
      <c r="F33" s="2"/>
      <c r="G33" s="46"/>
      <c r="H33" s="2"/>
      <c r="I33" s="2"/>
      <c r="J33" s="2"/>
    </row>
    <row r="34" spans="2:10" x14ac:dyDescent="0.2">
      <c r="B34" s="2"/>
      <c r="C34" s="46"/>
      <c r="D34" s="46"/>
      <c r="E34" s="46"/>
      <c r="F34" s="2"/>
      <c r="G34" s="46"/>
      <c r="H34" s="2"/>
      <c r="I34" s="2"/>
      <c r="J34" s="2"/>
    </row>
    <row r="35" spans="2:10" x14ac:dyDescent="0.2">
      <c r="B35" s="2"/>
      <c r="C35" s="46"/>
      <c r="D35" s="46"/>
      <c r="E35" s="46"/>
      <c r="F35" s="2"/>
      <c r="G35" s="46"/>
      <c r="H35" s="2"/>
      <c r="I35" s="2"/>
      <c r="J35" s="2"/>
    </row>
    <row r="36" spans="2:10" x14ac:dyDescent="0.2">
      <c r="B36" s="2"/>
      <c r="C36" s="46"/>
      <c r="D36" s="46"/>
      <c r="E36" s="46"/>
      <c r="F36" s="2"/>
      <c r="G36" s="46"/>
      <c r="H36" s="2"/>
      <c r="I36" s="2"/>
      <c r="J36" s="2"/>
    </row>
    <row r="37" spans="2:10" x14ac:dyDescent="0.2">
      <c r="B37" s="2"/>
      <c r="C37" s="46"/>
      <c r="D37" s="46"/>
      <c r="E37" s="46"/>
      <c r="F37" s="2"/>
      <c r="G37" s="46"/>
      <c r="H37" s="2"/>
      <c r="I37" s="2"/>
      <c r="J37" s="2"/>
    </row>
    <row r="38" spans="2:10" x14ac:dyDescent="0.2">
      <c r="B38" s="2"/>
      <c r="C38" s="46"/>
      <c r="D38" s="46"/>
      <c r="E38" s="46"/>
      <c r="F38" s="6"/>
      <c r="G38" s="46"/>
      <c r="H38" s="2"/>
      <c r="I38" s="2"/>
      <c r="J38" s="2"/>
    </row>
    <row r="39" spans="2:10" x14ac:dyDescent="0.2">
      <c r="B39" s="2"/>
      <c r="C39" s="46"/>
      <c r="D39" s="46"/>
      <c r="E39" s="46"/>
      <c r="F39" s="2"/>
      <c r="G39" s="46"/>
      <c r="H39" s="2"/>
      <c r="I39" s="2"/>
      <c r="J39" s="2"/>
    </row>
    <row r="40" spans="2:10" x14ac:dyDescent="0.2">
      <c r="B40" s="2"/>
      <c r="C40" s="46"/>
      <c r="D40" s="46"/>
      <c r="E40" s="46"/>
      <c r="F40" s="2"/>
      <c r="G40" s="46"/>
      <c r="H40" s="2"/>
      <c r="I40" s="2"/>
      <c r="J40" s="2"/>
    </row>
    <row r="41" spans="2:10" x14ac:dyDescent="0.2">
      <c r="B41" s="2"/>
      <c r="C41" s="46"/>
      <c r="D41" s="46"/>
      <c r="E41" s="46"/>
      <c r="F41" s="2"/>
      <c r="G41" s="46"/>
      <c r="H41" s="2"/>
      <c r="I41" s="2"/>
      <c r="J41" s="2"/>
    </row>
    <row r="42" spans="2:10" x14ac:dyDescent="0.2">
      <c r="B42" s="2"/>
      <c r="C42" s="46"/>
      <c r="D42" s="46"/>
      <c r="E42" s="46"/>
      <c r="F42" s="2"/>
      <c r="G42" s="46"/>
      <c r="H42" s="2"/>
      <c r="I42" s="2"/>
      <c r="J42" s="2"/>
    </row>
    <row r="43" spans="2:10" x14ac:dyDescent="0.2">
      <c r="B43" s="2"/>
      <c r="C43" s="46"/>
      <c r="D43" s="46"/>
      <c r="E43" s="46"/>
      <c r="F43" s="2"/>
      <c r="G43" s="46"/>
      <c r="H43" s="2"/>
      <c r="I43" s="2"/>
      <c r="J43" s="2"/>
    </row>
    <row r="44" spans="2:10" x14ac:dyDescent="0.2">
      <c r="B44" s="2"/>
      <c r="C44" s="46"/>
      <c r="D44" s="46"/>
      <c r="E44" s="46"/>
      <c r="F44" s="2"/>
      <c r="G44" s="46"/>
      <c r="H44" s="2"/>
      <c r="I44" s="2"/>
      <c r="J44" s="2"/>
    </row>
    <row r="45" spans="2:10" x14ac:dyDescent="0.2">
      <c r="B45" s="2"/>
      <c r="C45" s="46"/>
      <c r="D45" s="46"/>
      <c r="E45" s="46"/>
      <c r="F45" s="2"/>
      <c r="G45" s="46"/>
      <c r="H45" s="2"/>
      <c r="I45" s="2"/>
      <c r="J45" s="2"/>
    </row>
    <row r="46" spans="2:10" x14ac:dyDescent="0.2">
      <c r="B46" s="2"/>
      <c r="C46" s="46"/>
      <c r="D46" s="46"/>
      <c r="E46" s="46"/>
      <c r="F46" s="6"/>
      <c r="G46" s="46"/>
      <c r="H46" s="2"/>
      <c r="I46" s="2"/>
      <c r="J46" s="2"/>
    </row>
    <row r="47" spans="2:10" x14ac:dyDescent="0.2">
      <c r="B47" s="2"/>
      <c r="C47" s="46"/>
      <c r="D47" s="46"/>
      <c r="E47" s="46"/>
      <c r="F47" s="2"/>
      <c r="G47" s="46"/>
      <c r="H47" s="2"/>
      <c r="I47" s="2"/>
      <c r="J47" s="2"/>
    </row>
    <row r="48" spans="2:10" x14ac:dyDescent="0.2">
      <c r="B48" s="2"/>
      <c r="C48" s="46"/>
      <c r="D48" s="46"/>
      <c r="E48" s="46"/>
      <c r="F48" s="2"/>
      <c r="G48" s="46"/>
      <c r="H48" s="2"/>
      <c r="I48" s="2"/>
      <c r="J48" s="2"/>
    </row>
    <row r="49" spans="2:10" x14ac:dyDescent="0.2">
      <c r="B49" s="2"/>
      <c r="C49" s="46"/>
      <c r="D49" s="46"/>
      <c r="E49" s="46"/>
      <c r="F49" s="6"/>
      <c r="G49" s="46"/>
      <c r="H49" s="2"/>
      <c r="I49" s="2"/>
      <c r="J49" s="2"/>
    </row>
    <row r="50" spans="2:10" x14ac:dyDescent="0.2">
      <c r="B50" s="2"/>
      <c r="C50" s="46"/>
      <c r="D50" s="46"/>
      <c r="E50" s="46"/>
      <c r="F50" s="6"/>
      <c r="G50" s="46"/>
      <c r="H50" s="2"/>
      <c r="I50" s="2"/>
      <c r="J50" s="2"/>
    </row>
    <row r="51" spans="2:10" x14ac:dyDescent="0.2">
      <c r="B51" s="2"/>
      <c r="C51" s="46"/>
      <c r="D51" s="46"/>
      <c r="E51" s="46"/>
      <c r="F51" s="6"/>
      <c r="G51" s="46"/>
      <c r="H51" s="2"/>
      <c r="I51" s="2"/>
      <c r="J51" s="2"/>
    </row>
    <row r="52" spans="2:10" x14ac:dyDescent="0.2">
      <c r="B52" s="2"/>
      <c r="C52" s="46"/>
      <c r="D52" s="46"/>
      <c r="E52" s="46"/>
      <c r="F52" s="6"/>
      <c r="G52" s="46"/>
      <c r="H52" s="2"/>
      <c r="I52" s="2"/>
      <c r="J52" s="2"/>
    </row>
    <row r="53" spans="2:10" x14ac:dyDescent="0.2">
      <c r="B53" s="2"/>
      <c r="C53" s="46"/>
      <c r="D53" s="46"/>
      <c r="E53" s="46"/>
      <c r="F53" s="2"/>
      <c r="G53" s="46"/>
      <c r="H53" s="2"/>
      <c r="I53" s="2"/>
      <c r="J53" s="2"/>
    </row>
    <row r="54" spans="2:10" x14ac:dyDescent="0.2">
      <c r="B54" s="2"/>
      <c r="C54" s="46"/>
      <c r="D54" s="46"/>
      <c r="E54" s="46"/>
      <c r="F54" s="6"/>
      <c r="G54" s="46"/>
      <c r="H54" s="2"/>
      <c r="I54" s="2"/>
      <c r="J54" s="2"/>
    </row>
    <row r="55" spans="2:10" x14ac:dyDescent="0.2">
      <c r="B55" s="2"/>
      <c r="C55" s="46"/>
      <c r="D55" s="46"/>
      <c r="E55" s="46"/>
      <c r="F55" s="2"/>
      <c r="G55" s="46"/>
      <c r="H55" s="2"/>
      <c r="I55" s="2"/>
      <c r="J55" s="2"/>
    </row>
    <row r="56" spans="2:10" x14ac:dyDescent="0.2">
      <c r="B56" s="2"/>
      <c r="C56" s="46"/>
      <c r="D56" s="46"/>
      <c r="E56" s="46"/>
      <c r="F56" s="6"/>
      <c r="G56" s="46"/>
      <c r="H56" s="2"/>
      <c r="I56" s="2"/>
      <c r="J56" s="2"/>
    </row>
    <row r="57" spans="2:10" x14ac:dyDescent="0.2">
      <c r="B57" s="2"/>
      <c r="C57" s="46"/>
      <c r="D57" s="46"/>
      <c r="E57" s="46"/>
      <c r="F57" s="6"/>
      <c r="G57" s="46"/>
      <c r="H57" s="2"/>
      <c r="I57" s="2"/>
      <c r="J57" s="2"/>
    </row>
    <row r="58" spans="2:10" x14ac:dyDescent="0.2">
      <c r="B58" s="2"/>
      <c r="C58" s="46"/>
      <c r="D58" s="46"/>
      <c r="E58" s="46"/>
      <c r="F58" s="2"/>
      <c r="G58" s="46"/>
      <c r="H58" s="2"/>
      <c r="I58" s="2"/>
      <c r="J58" s="2"/>
    </row>
    <row r="59" spans="2:10" x14ac:dyDescent="0.2">
      <c r="B59" s="2"/>
      <c r="C59" s="46"/>
      <c r="D59" s="46"/>
      <c r="E59" s="46"/>
      <c r="F59" s="2"/>
      <c r="G59" s="46"/>
      <c r="H59" s="2"/>
      <c r="I59" s="2"/>
      <c r="J59" s="2"/>
    </row>
    <row r="60" spans="2:10" x14ac:dyDescent="0.2">
      <c r="B60" s="2"/>
      <c r="C60" s="46"/>
      <c r="D60" s="46"/>
      <c r="E60" s="46"/>
      <c r="F60" s="6"/>
      <c r="G60" s="46"/>
      <c r="H60" s="2"/>
      <c r="I60" s="2"/>
      <c r="J60" s="2"/>
    </row>
    <row r="61" spans="2:10" x14ac:dyDescent="0.2">
      <c r="B61" s="2"/>
      <c r="C61" s="46"/>
      <c r="D61" s="46"/>
      <c r="E61" s="46"/>
      <c r="F61" s="6"/>
      <c r="G61" s="46"/>
      <c r="H61" s="2"/>
      <c r="I61" s="2"/>
      <c r="J61" s="2"/>
    </row>
    <row r="62" spans="2:10" x14ac:dyDescent="0.2">
      <c r="B62" s="2"/>
      <c r="C62" s="46"/>
      <c r="D62" s="46"/>
      <c r="E62" s="46"/>
      <c r="F62" s="6"/>
      <c r="G62" s="46"/>
      <c r="H62" s="2"/>
      <c r="I62" s="2"/>
      <c r="J62" s="2"/>
    </row>
    <row r="63" spans="2:10" x14ac:dyDescent="0.2">
      <c r="B63" s="2"/>
      <c r="C63" s="46"/>
      <c r="D63" s="46"/>
      <c r="E63" s="46"/>
      <c r="F63" s="2"/>
      <c r="G63" s="46"/>
      <c r="H63" s="2"/>
      <c r="I63" s="2"/>
      <c r="J63" s="2"/>
    </row>
    <row r="64" spans="2:10" x14ac:dyDescent="0.2">
      <c r="B64" s="2"/>
      <c r="C64" s="46"/>
      <c r="D64" s="46"/>
      <c r="E64" s="46"/>
      <c r="F64" s="2"/>
      <c r="G64" s="46"/>
      <c r="H64" s="2"/>
      <c r="I64" s="2"/>
      <c r="J64" s="2"/>
    </row>
    <row r="65" spans="2:10" x14ac:dyDescent="0.2">
      <c r="B65" s="2"/>
      <c r="C65" s="46"/>
      <c r="D65" s="46"/>
      <c r="E65" s="46"/>
      <c r="F65" s="2"/>
      <c r="G65" s="46"/>
      <c r="H65" s="2"/>
      <c r="I65" s="2"/>
      <c r="J65" s="2"/>
    </row>
    <row r="66" spans="2:10" x14ac:dyDescent="0.2">
      <c r="B66" s="2"/>
      <c r="C66" s="46"/>
      <c r="D66" s="46"/>
      <c r="E66" s="46"/>
      <c r="F66" s="6"/>
      <c r="G66" s="46"/>
      <c r="H66" s="2"/>
      <c r="I66" s="2"/>
      <c r="J66" s="2"/>
    </row>
    <row r="67" spans="2:10" x14ac:dyDescent="0.2">
      <c r="B67" s="2"/>
      <c r="C67" s="46"/>
      <c r="D67" s="46"/>
      <c r="E67" s="46"/>
      <c r="F67" s="6"/>
      <c r="G67" s="46"/>
      <c r="H67" s="2"/>
      <c r="I67" s="2"/>
      <c r="J67" s="2"/>
    </row>
    <row r="68" spans="2:10" x14ac:dyDescent="0.2">
      <c r="B68" s="2"/>
      <c r="C68" s="46"/>
      <c r="D68" s="46"/>
      <c r="E68" s="46"/>
      <c r="F68" s="2"/>
      <c r="G68" s="46"/>
      <c r="H68" s="2"/>
      <c r="I68" s="2"/>
      <c r="J68" s="2"/>
    </row>
    <row r="69" spans="2:10" x14ac:dyDescent="0.2">
      <c r="B69" s="2"/>
      <c r="C69" s="46"/>
      <c r="D69" s="46"/>
      <c r="E69" s="46"/>
      <c r="F69" s="6"/>
      <c r="G69" s="46"/>
      <c r="H69" s="2"/>
      <c r="I69" s="2"/>
      <c r="J69" s="2"/>
    </row>
    <row r="70" spans="2:10" x14ac:dyDescent="0.2">
      <c r="B70" s="2"/>
      <c r="C70" s="46"/>
      <c r="D70" s="46"/>
      <c r="E70" s="46"/>
      <c r="F70" s="6"/>
      <c r="G70" s="46"/>
      <c r="H70" s="2"/>
      <c r="I70" s="2"/>
      <c r="J70" s="2"/>
    </row>
    <row r="71" spans="2:10" x14ac:dyDescent="0.2">
      <c r="B71" s="2"/>
      <c r="C71" s="46"/>
      <c r="D71" s="46"/>
      <c r="E71" s="46"/>
      <c r="F71" s="6"/>
      <c r="G71" s="46"/>
      <c r="H71" s="2"/>
      <c r="I71" s="2"/>
      <c r="J71" s="2"/>
    </row>
    <row r="72" spans="2:10" x14ac:dyDescent="0.2">
      <c r="B72" s="2"/>
      <c r="C72" s="46"/>
      <c r="D72" s="46"/>
      <c r="E72" s="46"/>
      <c r="F72" s="6"/>
      <c r="G72" s="46"/>
      <c r="H72" s="2"/>
      <c r="I72" s="2"/>
      <c r="J72" s="2"/>
    </row>
    <row r="73" spans="2:10" x14ac:dyDescent="0.2">
      <c r="B73" s="2"/>
      <c r="C73" s="46"/>
      <c r="D73" s="46"/>
      <c r="E73" s="46"/>
      <c r="F73" s="6"/>
      <c r="G73" s="46"/>
      <c r="H73" s="2"/>
      <c r="I73" s="2"/>
      <c r="J73" s="2"/>
    </row>
    <row r="74" spans="2:10" x14ac:dyDescent="0.2">
      <c r="B74" s="2"/>
      <c r="C74" s="46"/>
      <c r="D74" s="46"/>
      <c r="E74" s="46"/>
      <c r="F74" s="6"/>
      <c r="G74" s="46"/>
      <c r="H74" s="2"/>
      <c r="I74" s="2"/>
      <c r="J74" s="2"/>
    </row>
    <row r="75" spans="2:10" x14ac:dyDescent="0.2">
      <c r="B75" s="2"/>
      <c r="C75" s="46"/>
      <c r="D75" s="46"/>
      <c r="E75" s="46"/>
      <c r="F75" s="6"/>
      <c r="G75" s="46"/>
      <c r="H75" s="2"/>
      <c r="I75" s="2"/>
      <c r="J75" s="2"/>
    </row>
    <row r="76" spans="2:10" x14ac:dyDescent="0.2">
      <c r="B76" s="2"/>
      <c r="C76" s="46"/>
      <c r="D76" s="46"/>
      <c r="E76" s="46"/>
      <c r="F76" s="2"/>
      <c r="G76" s="46"/>
      <c r="H76" s="2"/>
      <c r="I76" s="2"/>
      <c r="J76" s="2"/>
    </row>
    <row r="77" spans="2:10" x14ac:dyDescent="0.2">
      <c r="B77" s="2"/>
      <c r="C77" s="46"/>
      <c r="D77" s="46"/>
      <c r="E77" s="46"/>
      <c r="F77" s="6"/>
      <c r="G77" s="46"/>
      <c r="H77" s="2"/>
      <c r="I77" s="2"/>
      <c r="J77" s="2"/>
    </row>
    <row r="78" spans="2:10" x14ac:dyDescent="0.2">
      <c r="B78" s="2"/>
      <c r="C78" s="46"/>
      <c r="D78" s="46"/>
      <c r="E78" s="46"/>
      <c r="F78" s="6"/>
      <c r="G78" s="46"/>
      <c r="H78" s="2"/>
      <c r="I78" s="2"/>
      <c r="J78" s="2"/>
    </row>
    <row r="79" spans="2:10" x14ac:dyDescent="0.2">
      <c r="B79" s="2"/>
      <c r="C79" s="46"/>
      <c r="D79" s="46"/>
      <c r="E79" s="46"/>
      <c r="F79" s="6"/>
      <c r="G79" s="46"/>
      <c r="H79" s="2"/>
      <c r="I79" s="2"/>
      <c r="J79" s="2"/>
    </row>
    <row r="80" spans="2:10" x14ac:dyDescent="0.2">
      <c r="B80" s="2"/>
      <c r="C80" s="46"/>
      <c r="D80" s="46"/>
      <c r="E80" s="46"/>
      <c r="F80" s="2"/>
      <c r="G80" s="46"/>
      <c r="H80" s="2"/>
      <c r="I80" s="2"/>
      <c r="J80" s="2"/>
    </row>
    <row r="81" spans="2:10" x14ac:dyDescent="0.2">
      <c r="B81" s="2"/>
      <c r="C81" s="46"/>
      <c r="D81" s="46"/>
      <c r="E81" s="46"/>
      <c r="F81" s="2"/>
      <c r="G81" s="46"/>
      <c r="H81" s="2"/>
      <c r="I81" s="2"/>
      <c r="J81" s="2"/>
    </row>
    <row r="82" spans="2:10" x14ac:dyDescent="0.2">
      <c r="B82" s="2"/>
      <c r="C82" s="46"/>
      <c r="D82" s="46"/>
      <c r="E82" s="46"/>
      <c r="F82" s="6"/>
      <c r="G82" s="46"/>
      <c r="H82" s="2"/>
      <c r="I82" s="2"/>
      <c r="J82" s="2"/>
    </row>
    <row r="83" spans="2:10" x14ac:dyDescent="0.2">
      <c r="B83" s="2"/>
      <c r="C83" s="46"/>
      <c r="D83" s="46"/>
      <c r="E83" s="46"/>
      <c r="F83" s="2"/>
      <c r="G83" s="46"/>
      <c r="H83" s="2"/>
      <c r="I83" s="2"/>
      <c r="J83" s="2"/>
    </row>
    <row r="84" spans="2:10" x14ac:dyDescent="0.2">
      <c r="B84" s="2"/>
      <c r="C84" s="46"/>
      <c r="D84" s="46"/>
      <c r="E84" s="46"/>
      <c r="F84" s="6"/>
      <c r="G84" s="46"/>
      <c r="H84" s="2"/>
      <c r="I84" s="2"/>
      <c r="J84" s="2"/>
    </row>
    <row r="85" spans="2:10" x14ac:dyDescent="0.2">
      <c r="B85" s="2"/>
      <c r="C85" s="46"/>
      <c r="D85" s="46"/>
      <c r="E85" s="46"/>
      <c r="F85" s="2"/>
      <c r="G85" s="46"/>
      <c r="H85" s="2"/>
      <c r="I85" s="2"/>
      <c r="J85" s="2"/>
    </row>
    <row r="86" spans="2:10" x14ac:dyDescent="0.2">
      <c r="B86" s="2"/>
      <c r="C86" s="46"/>
      <c r="D86" s="46"/>
      <c r="E86" s="46"/>
      <c r="F86" s="2"/>
      <c r="G86" s="46"/>
      <c r="H86" s="2"/>
      <c r="I86" s="2"/>
      <c r="J86" s="2"/>
    </row>
    <row r="87" spans="2:10" x14ac:dyDescent="0.2">
      <c r="B87" s="2"/>
      <c r="C87" s="46"/>
      <c r="D87" s="46"/>
      <c r="E87" s="46"/>
      <c r="F87" s="2"/>
      <c r="G87" s="46"/>
      <c r="H87" s="2"/>
      <c r="I87" s="2"/>
      <c r="J87" s="2"/>
    </row>
    <row r="88" spans="2:10" x14ac:dyDescent="0.2">
      <c r="B88" s="2"/>
      <c r="C88" s="46"/>
      <c r="D88" s="46"/>
      <c r="E88" s="46"/>
      <c r="F88" s="2"/>
      <c r="G88" s="46"/>
      <c r="H88" s="2"/>
      <c r="I88" s="2"/>
      <c r="J88" s="2"/>
    </row>
    <row r="89" spans="2:10" x14ac:dyDescent="0.2">
      <c r="B89" s="2"/>
      <c r="C89" s="46"/>
      <c r="D89" s="46"/>
      <c r="E89" s="46"/>
      <c r="F89" s="2"/>
      <c r="G89" s="46"/>
      <c r="H89" s="2"/>
      <c r="I89" s="2"/>
      <c r="J89" s="2"/>
    </row>
    <row r="90" spans="2:10" x14ac:dyDescent="0.2">
      <c r="B90" s="2"/>
      <c r="C90" s="46"/>
      <c r="D90" s="46"/>
      <c r="E90" s="46"/>
      <c r="F90" s="2"/>
      <c r="G90" s="46"/>
      <c r="H90" s="2"/>
      <c r="I90" s="2"/>
      <c r="J90" s="2"/>
    </row>
    <row r="91" spans="2:10" x14ac:dyDescent="0.2">
      <c r="B91" s="2"/>
      <c r="C91" s="46"/>
      <c r="D91" s="46"/>
      <c r="E91" s="46"/>
      <c r="F91" s="2"/>
      <c r="G91" s="46"/>
      <c r="H91" s="2"/>
      <c r="I91" s="2"/>
      <c r="J91" s="2"/>
    </row>
    <row r="92" spans="2:10" x14ac:dyDescent="0.2">
      <c r="B92" s="2"/>
      <c r="C92" s="46"/>
      <c r="D92" s="46"/>
      <c r="E92" s="46"/>
      <c r="F92" s="6"/>
      <c r="G92" s="46"/>
      <c r="H92" s="2"/>
      <c r="I92" s="2"/>
      <c r="J92" s="2"/>
    </row>
    <row r="93" spans="2:10" x14ac:dyDescent="0.2">
      <c r="B93" s="2"/>
      <c r="C93" s="46"/>
      <c r="D93" s="46"/>
      <c r="E93" s="46"/>
      <c r="F93" s="2"/>
      <c r="G93" s="46"/>
      <c r="H93" s="2"/>
      <c r="I93" s="2"/>
      <c r="J93" s="2"/>
    </row>
    <row r="94" spans="2:10" x14ac:dyDescent="0.2">
      <c r="B94" s="2"/>
      <c r="C94" s="46"/>
      <c r="D94" s="46"/>
      <c r="E94" s="46"/>
      <c r="F94" s="2"/>
      <c r="G94" s="46"/>
      <c r="H94" s="2"/>
      <c r="I94" s="2"/>
      <c r="J94" s="2"/>
    </row>
    <row r="95" spans="2:10" x14ac:dyDescent="0.2">
      <c r="B95" s="2"/>
      <c r="C95" s="46"/>
      <c r="D95" s="46"/>
      <c r="E95" s="46"/>
      <c r="F95" s="6"/>
      <c r="G95" s="46"/>
      <c r="H95" s="2"/>
      <c r="I95" s="2"/>
      <c r="J95" s="2"/>
    </row>
    <row r="96" spans="2:10" x14ac:dyDescent="0.2">
      <c r="B96" s="2"/>
      <c r="C96" s="46"/>
      <c r="D96" s="46"/>
      <c r="E96" s="46"/>
      <c r="F96" s="2"/>
      <c r="G96" s="46"/>
      <c r="H96" s="2"/>
      <c r="I96" s="2"/>
      <c r="J96" s="2"/>
    </row>
    <row r="97" spans="2:10" x14ac:dyDescent="0.2">
      <c r="B97" s="2"/>
      <c r="C97" s="46"/>
      <c r="D97" s="46"/>
      <c r="E97" s="46"/>
      <c r="F97" s="2"/>
      <c r="G97" s="46"/>
      <c r="H97" s="2"/>
      <c r="I97" s="2"/>
      <c r="J97" s="2"/>
    </row>
    <row r="98" spans="2:10" x14ac:dyDescent="0.2">
      <c r="B98" s="2"/>
      <c r="C98" s="46"/>
      <c r="D98" s="46"/>
      <c r="E98" s="46"/>
      <c r="F98" s="2"/>
      <c r="G98" s="46"/>
      <c r="H98" s="2"/>
      <c r="I98" s="2"/>
      <c r="J98" s="2"/>
    </row>
    <row r="99" spans="2:10" x14ac:dyDescent="0.2">
      <c r="B99" s="2"/>
      <c r="C99" s="46"/>
      <c r="D99" s="46"/>
      <c r="E99" s="46"/>
      <c r="F99" s="2"/>
      <c r="G99" s="46"/>
      <c r="H99" s="2"/>
      <c r="I99" s="2"/>
      <c r="J99" s="2"/>
    </row>
    <row r="100" spans="2:10" x14ac:dyDescent="0.2">
      <c r="B100" s="2"/>
      <c r="C100" s="46"/>
      <c r="D100" s="46"/>
      <c r="E100" s="46"/>
      <c r="F100" s="2"/>
      <c r="G100" s="46"/>
      <c r="H100" s="2"/>
      <c r="I100" s="2"/>
      <c r="J100" s="2"/>
    </row>
    <row r="101" spans="2:10" x14ac:dyDescent="0.2">
      <c r="B101" s="2"/>
      <c r="C101" s="46"/>
      <c r="D101" s="46"/>
      <c r="E101" s="46"/>
      <c r="F101" s="2"/>
      <c r="G101" s="46"/>
      <c r="H101" s="2"/>
      <c r="I101" s="2"/>
      <c r="J101" s="2"/>
    </row>
    <row r="102" spans="2:10" x14ac:dyDescent="0.2">
      <c r="B102" s="2"/>
      <c r="C102" s="46"/>
      <c r="D102" s="46"/>
      <c r="E102" s="46"/>
      <c r="F102" s="2"/>
      <c r="G102" s="46"/>
      <c r="H102" s="2"/>
      <c r="I102" s="2"/>
      <c r="J102" s="2"/>
    </row>
    <row r="103" spans="2:10" x14ac:dyDescent="0.2">
      <c r="B103" s="2"/>
      <c r="C103" s="46"/>
      <c r="D103" s="46"/>
      <c r="E103" s="46"/>
      <c r="F103" s="2"/>
      <c r="G103" s="46"/>
      <c r="H103" s="2"/>
      <c r="I103" s="2"/>
      <c r="J103" s="2"/>
    </row>
    <row r="104" spans="2:10" x14ac:dyDescent="0.2">
      <c r="B104" s="2"/>
      <c r="C104" s="46"/>
      <c r="D104" s="46"/>
      <c r="E104" s="46"/>
      <c r="F104" s="6"/>
      <c r="G104" s="46"/>
      <c r="H104" s="2"/>
      <c r="I104" s="2"/>
      <c r="J104" s="2"/>
    </row>
    <row r="105" spans="2:10" x14ac:dyDescent="0.2">
      <c r="B105" s="2"/>
      <c r="C105" s="46"/>
      <c r="D105" s="46"/>
      <c r="E105" s="46"/>
      <c r="F105" s="2"/>
      <c r="G105" s="46"/>
      <c r="H105" s="2"/>
      <c r="I105" s="2"/>
      <c r="J105" s="2"/>
    </row>
    <row r="106" spans="2:10" x14ac:dyDescent="0.2">
      <c r="B106" s="2"/>
      <c r="C106" s="46"/>
      <c r="D106" s="46"/>
      <c r="E106" s="46"/>
      <c r="F106" s="2"/>
      <c r="G106" s="46"/>
      <c r="H106" s="2"/>
      <c r="I106" s="2"/>
      <c r="J106" s="2"/>
    </row>
    <row r="107" spans="2:10" x14ac:dyDescent="0.2">
      <c r="B107" s="2"/>
      <c r="C107" s="46"/>
      <c r="D107" s="46"/>
      <c r="E107" s="46"/>
      <c r="F107" s="2"/>
      <c r="G107" s="46"/>
      <c r="H107" s="2"/>
      <c r="I107" s="2"/>
      <c r="J107" s="2"/>
    </row>
    <row r="108" spans="2:10" x14ac:dyDescent="0.2">
      <c r="B108" s="2"/>
      <c r="C108" s="46"/>
      <c r="D108" s="46"/>
      <c r="E108" s="46"/>
      <c r="F108" s="6"/>
      <c r="G108" s="46"/>
      <c r="H108" s="2"/>
      <c r="I108" s="2"/>
      <c r="J108" s="2"/>
    </row>
    <row r="109" spans="2:10" x14ac:dyDescent="0.2">
      <c r="B109" s="2"/>
      <c r="C109" s="46"/>
      <c r="D109" s="46"/>
      <c r="E109" s="46"/>
      <c r="F109" s="2"/>
      <c r="G109" s="46"/>
      <c r="H109" s="2"/>
      <c r="I109" s="2"/>
      <c r="J109" s="2"/>
    </row>
    <row r="110" spans="2:10" x14ac:dyDescent="0.2">
      <c r="B110" s="2"/>
      <c r="C110" s="46"/>
      <c r="D110" s="46"/>
      <c r="E110" s="46"/>
      <c r="F110" s="2"/>
      <c r="G110" s="46"/>
      <c r="H110" s="2"/>
      <c r="I110" s="2"/>
      <c r="J110" s="2"/>
    </row>
    <row r="111" spans="2:10" x14ac:dyDescent="0.2">
      <c r="B111" s="2"/>
      <c r="C111" s="46"/>
      <c r="D111" s="46"/>
      <c r="E111" s="46"/>
      <c r="F111" s="2"/>
      <c r="G111" s="46"/>
      <c r="H111" s="2"/>
      <c r="I111" s="2"/>
      <c r="J111" s="2"/>
    </row>
    <row r="112" spans="2:10" x14ac:dyDescent="0.2">
      <c r="B112" s="2"/>
      <c r="C112" s="46"/>
      <c r="D112" s="46"/>
      <c r="E112" s="46"/>
      <c r="F112" s="2"/>
      <c r="G112" s="46"/>
      <c r="H112" s="2"/>
      <c r="I112" s="2"/>
      <c r="J112" s="2"/>
    </row>
    <row r="113" spans="2:10" x14ac:dyDescent="0.2">
      <c r="B113" s="2"/>
      <c r="C113" s="46"/>
      <c r="D113" s="46"/>
      <c r="E113" s="46"/>
      <c r="F113" s="2"/>
      <c r="G113" s="46"/>
      <c r="H113" s="2"/>
      <c r="I113" s="2"/>
      <c r="J113" s="2"/>
    </row>
    <row r="114" spans="2:10" x14ac:dyDescent="0.2">
      <c r="B114" s="2"/>
      <c r="C114" s="46"/>
      <c r="D114" s="46"/>
      <c r="E114" s="46"/>
      <c r="F114" s="2"/>
      <c r="G114" s="46"/>
      <c r="H114" s="2"/>
      <c r="I114" s="2"/>
      <c r="J114" s="2"/>
    </row>
    <row r="115" spans="2:10" x14ac:dyDescent="0.2">
      <c r="B115" s="2"/>
      <c r="C115" s="46"/>
      <c r="D115" s="46"/>
      <c r="E115" s="46"/>
      <c r="F115" s="2"/>
      <c r="G115" s="46"/>
      <c r="H115" s="2"/>
      <c r="I115" s="2"/>
      <c r="J115" s="2"/>
    </row>
    <row r="116" spans="2:10" x14ac:dyDescent="0.2">
      <c r="B116" s="2"/>
      <c r="C116" s="46"/>
      <c r="D116" s="46"/>
      <c r="E116" s="46"/>
      <c r="F116" s="2"/>
      <c r="G116" s="46"/>
      <c r="H116" s="2"/>
      <c r="I116" s="2"/>
      <c r="J116" s="2"/>
    </row>
    <row r="117" spans="2:10" x14ac:dyDescent="0.2">
      <c r="B117" s="2"/>
      <c r="C117" s="46"/>
      <c r="D117" s="46"/>
      <c r="E117" s="46"/>
      <c r="F117" s="6"/>
      <c r="G117" s="46"/>
      <c r="H117" s="2"/>
      <c r="I117" s="2"/>
      <c r="J117" s="2"/>
    </row>
    <row r="118" spans="2:10" x14ac:dyDescent="0.2">
      <c r="B118" s="2"/>
      <c r="C118" s="46"/>
      <c r="D118" s="46"/>
      <c r="E118" s="46"/>
      <c r="F118" s="2"/>
      <c r="G118" s="46"/>
      <c r="H118" s="2"/>
      <c r="I118" s="2"/>
      <c r="J118" s="2"/>
    </row>
    <row r="119" spans="2:10" x14ac:dyDescent="0.2">
      <c r="B119" s="2"/>
      <c r="C119" s="46"/>
      <c r="D119" s="46"/>
      <c r="E119" s="46"/>
      <c r="F119" s="2"/>
      <c r="G119" s="46"/>
      <c r="H119" s="2"/>
      <c r="I119" s="2"/>
      <c r="J119" s="2"/>
    </row>
    <row r="120" spans="2:10" x14ac:dyDescent="0.2">
      <c r="B120" s="2"/>
      <c r="C120" s="46"/>
      <c r="D120" s="46"/>
      <c r="E120" s="46"/>
      <c r="F120" s="2"/>
      <c r="G120" s="46"/>
      <c r="H120" s="2"/>
      <c r="I120" s="2"/>
      <c r="J120" s="2"/>
    </row>
    <row r="121" spans="2:10" x14ac:dyDescent="0.2">
      <c r="B121" s="2"/>
      <c r="C121" s="46"/>
      <c r="D121" s="46"/>
      <c r="E121" s="46"/>
      <c r="F121" s="2"/>
      <c r="G121" s="46"/>
      <c r="H121" s="2"/>
      <c r="I121" s="2"/>
      <c r="J121" s="2"/>
    </row>
    <row r="122" spans="2:10" x14ac:dyDescent="0.2">
      <c r="B122" s="2"/>
      <c r="C122" s="46"/>
      <c r="D122" s="46"/>
      <c r="E122" s="46"/>
      <c r="F122" s="2"/>
      <c r="G122" s="46"/>
      <c r="H122" s="2"/>
      <c r="I122" s="2"/>
      <c r="J122" s="2"/>
    </row>
    <row r="123" spans="2:10" x14ac:dyDescent="0.2">
      <c r="B123" s="2"/>
      <c r="C123" s="46"/>
      <c r="D123" s="46"/>
      <c r="E123" s="46"/>
      <c r="F123" s="6"/>
      <c r="G123" s="46"/>
      <c r="H123" s="2"/>
      <c r="I123" s="2"/>
      <c r="J123" s="2"/>
    </row>
    <row r="124" spans="2:10" x14ac:dyDescent="0.2">
      <c r="B124" s="2"/>
      <c r="C124" s="46"/>
      <c r="D124" s="46"/>
      <c r="E124" s="46"/>
      <c r="F124" s="6"/>
      <c r="G124" s="46"/>
      <c r="H124" s="2"/>
      <c r="I124" s="2"/>
      <c r="J124" s="2"/>
    </row>
    <row r="125" spans="2:10" x14ac:dyDescent="0.2">
      <c r="B125" s="2"/>
      <c r="C125" s="46"/>
      <c r="D125" s="46"/>
      <c r="E125" s="46"/>
      <c r="F125" s="2"/>
      <c r="G125" s="46"/>
      <c r="H125" s="2"/>
      <c r="I125" s="2"/>
      <c r="J125" s="2"/>
    </row>
    <row r="126" spans="2:10" x14ac:dyDescent="0.2">
      <c r="B126" s="2"/>
      <c r="C126" s="46"/>
      <c r="D126" s="46"/>
      <c r="E126" s="46"/>
      <c r="F126" s="2"/>
      <c r="G126" s="46"/>
      <c r="H126" s="2"/>
      <c r="I126" s="2"/>
      <c r="J126" s="2"/>
    </row>
    <row r="127" spans="2:10" x14ac:dyDescent="0.2">
      <c r="B127" s="2"/>
      <c r="C127" s="46"/>
      <c r="D127" s="46"/>
      <c r="E127" s="46"/>
      <c r="F127" s="2"/>
      <c r="G127" s="46"/>
      <c r="H127" s="2"/>
      <c r="I127" s="2"/>
      <c r="J127" s="2"/>
    </row>
    <row r="128" spans="2:10" x14ac:dyDescent="0.2">
      <c r="B128" s="2"/>
      <c r="C128" s="46"/>
      <c r="D128" s="46"/>
      <c r="E128" s="46"/>
      <c r="F128" s="2"/>
      <c r="G128" s="46"/>
      <c r="H128" s="2"/>
      <c r="I128" s="2"/>
      <c r="J128" s="2"/>
    </row>
    <row r="129" spans="2:10" x14ac:dyDescent="0.2">
      <c r="B129" s="2"/>
      <c r="C129" s="46"/>
      <c r="D129" s="46"/>
      <c r="E129" s="46"/>
      <c r="F129" s="2"/>
      <c r="G129" s="46"/>
      <c r="H129" s="2"/>
      <c r="I129" s="2"/>
      <c r="J129" s="2"/>
    </row>
    <row r="130" spans="2:10" x14ac:dyDescent="0.2">
      <c r="B130" s="2"/>
      <c r="C130" s="46"/>
      <c r="D130" s="46"/>
      <c r="E130" s="46"/>
      <c r="F130" s="2"/>
      <c r="G130" s="46"/>
      <c r="H130" s="2"/>
      <c r="I130" s="2"/>
      <c r="J130" s="2"/>
    </row>
    <row r="131" spans="2:10" x14ac:dyDescent="0.2">
      <c r="B131" s="2"/>
      <c r="C131" s="46"/>
      <c r="D131" s="46"/>
      <c r="E131" s="46"/>
      <c r="F131" s="2"/>
      <c r="G131" s="46"/>
      <c r="H131" s="2"/>
      <c r="I131" s="2"/>
      <c r="J131" s="2"/>
    </row>
    <row r="132" spans="2:10" x14ac:dyDescent="0.2">
      <c r="B132" s="2"/>
      <c r="C132" s="46"/>
      <c r="D132" s="46"/>
      <c r="E132" s="46"/>
      <c r="F132" s="2"/>
      <c r="G132" s="46"/>
      <c r="H132" s="2"/>
      <c r="I132" s="2"/>
      <c r="J132" s="2"/>
    </row>
    <row r="133" spans="2:10" x14ac:dyDescent="0.2">
      <c r="B133" s="2"/>
      <c r="C133" s="46"/>
      <c r="D133" s="46"/>
      <c r="E133" s="46"/>
      <c r="F133" s="6"/>
      <c r="G133" s="46"/>
      <c r="H133" s="2"/>
      <c r="I133" s="2"/>
      <c r="J133" s="2"/>
    </row>
    <row r="134" spans="2:10" x14ac:dyDescent="0.2">
      <c r="B134" s="2"/>
      <c r="C134" s="46"/>
      <c r="D134" s="46"/>
      <c r="E134" s="46"/>
      <c r="F134" s="2"/>
      <c r="G134" s="46"/>
      <c r="H134" s="2"/>
      <c r="I134" s="2"/>
      <c r="J134" s="2"/>
    </row>
    <row r="135" spans="2:10" x14ac:dyDescent="0.2">
      <c r="B135" s="2"/>
      <c r="C135" s="46"/>
      <c r="D135" s="46"/>
      <c r="E135" s="46"/>
      <c r="F135" s="2"/>
      <c r="G135" s="46"/>
      <c r="H135" s="2"/>
      <c r="I135" s="2"/>
      <c r="J135" s="2"/>
    </row>
    <row r="136" spans="2:10" x14ac:dyDescent="0.2">
      <c r="B136" s="2"/>
      <c r="C136" s="46"/>
      <c r="D136" s="46"/>
      <c r="E136" s="46"/>
      <c r="F136" s="2"/>
      <c r="G136" s="46"/>
      <c r="H136" s="2"/>
      <c r="I136" s="2"/>
      <c r="J136" s="2"/>
    </row>
    <row r="137" spans="2:10" x14ac:dyDescent="0.2">
      <c r="B137" s="2"/>
      <c r="C137" s="46"/>
      <c r="D137" s="46"/>
      <c r="E137" s="46"/>
      <c r="F137" s="6"/>
      <c r="G137" s="46"/>
      <c r="H137" s="2"/>
      <c r="I137" s="2"/>
      <c r="J137" s="2"/>
    </row>
    <row r="138" spans="2:10" x14ac:dyDescent="0.2">
      <c r="B138" s="2"/>
      <c r="C138" s="46"/>
      <c r="D138" s="46"/>
      <c r="E138" s="46"/>
      <c r="F138" s="2"/>
      <c r="G138" s="46"/>
      <c r="H138" s="2"/>
      <c r="I138" s="2"/>
      <c r="J138" s="2"/>
    </row>
    <row r="139" spans="2:10" x14ac:dyDescent="0.2">
      <c r="B139" s="2"/>
      <c r="C139" s="46"/>
      <c r="D139" s="46"/>
      <c r="E139" s="46"/>
      <c r="F139" s="6"/>
      <c r="G139" s="46"/>
      <c r="H139" s="2"/>
      <c r="I139" s="2"/>
      <c r="J139" s="2"/>
    </row>
    <row r="140" spans="2:10" x14ac:dyDescent="0.2">
      <c r="B140" s="2"/>
      <c r="C140" s="46"/>
      <c r="D140" s="46"/>
      <c r="E140" s="46"/>
      <c r="F140" s="2"/>
      <c r="G140" s="46"/>
      <c r="H140" s="2"/>
      <c r="I140" s="2"/>
      <c r="J140" s="2"/>
    </row>
    <row r="141" spans="2:10" x14ac:dyDescent="0.2">
      <c r="B141" s="2"/>
      <c r="C141" s="46"/>
      <c r="D141" s="46"/>
      <c r="E141" s="46"/>
      <c r="F141" s="6"/>
      <c r="G141" s="46"/>
      <c r="H141" s="2"/>
      <c r="I141" s="2"/>
      <c r="J141" s="2"/>
    </row>
    <row r="142" spans="2:10" x14ac:dyDescent="0.2">
      <c r="B142" s="2"/>
      <c r="C142" s="46"/>
      <c r="D142" s="46"/>
      <c r="E142" s="46"/>
      <c r="F142" s="6"/>
      <c r="G142" s="46"/>
      <c r="H142" s="2"/>
      <c r="I142" s="2"/>
      <c r="J142" s="2"/>
    </row>
    <row r="143" spans="2:10" x14ac:dyDescent="0.2">
      <c r="B143" s="2"/>
      <c r="C143" s="46"/>
      <c r="D143" s="46"/>
      <c r="E143" s="46"/>
      <c r="F143" s="2"/>
      <c r="G143" s="46"/>
      <c r="H143" s="2"/>
      <c r="I143" s="2"/>
      <c r="J143" s="2"/>
    </row>
    <row r="144" spans="2:10" x14ac:dyDescent="0.2">
      <c r="B144" s="2"/>
      <c r="C144" s="46"/>
      <c r="D144" s="46"/>
      <c r="E144" s="46"/>
      <c r="F144" s="2"/>
      <c r="G144" s="46"/>
      <c r="H144" s="2"/>
      <c r="I144" s="2"/>
      <c r="J144" s="2"/>
    </row>
    <row r="145" spans="2:10" x14ac:dyDescent="0.2">
      <c r="B145" s="2"/>
      <c r="C145" s="46"/>
      <c r="D145" s="46"/>
      <c r="E145" s="46"/>
      <c r="F145" s="2"/>
      <c r="G145" s="46"/>
      <c r="H145" s="2"/>
      <c r="I145" s="2"/>
      <c r="J145" s="2"/>
    </row>
    <row r="146" spans="2:10" x14ac:dyDescent="0.2">
      <c r="B146" s="2"/>
      <c r="C146" s="46"/>
      <c r="D146" s="46"/>
      <c r="E146" s="46"/>
      <c r="F146" s="2"/>
      <c r="G146" s="46"/>
      <c r="H146" s="2"/>
      <c r="I146" s="2"/>
      <c r="J146" s="2"/>
    </row>
    <row r="147" spans="2:10" x14ac:dyDescent="0.2">
      <c r="B147" s="2"/>
      <c r="C147" s="46"/>
      <c r="D147" s="46"/>
      <c r="E147" s="46"/>
      <c r="F147" s="6"/>
      <c r="G147" s="46"/>
      <c r="H147" s="2"/>
      <c r="I147" s="2"/>
      <c r="J147" s="2"/>
    </row>
    <row r="148" spans="2:10" x14ac:dyDescent="0.2">
      <c r="B148" s="2"/>
      <c r="C148" s="46"/>
      <c r="D148" s="46"/>
      <c r="E148" s="46"/>
      <c r="F148" s="2"/>
      <c r="G148" s="46"/>
      <c r="H148" s="2"/>
      <c r="I148" s="2"/>
      <c r="J148" s="2"/>
    </row>
    <row r="149" spans="2:10" x14ac:dyDescent="0.2">
      <c r="B149" s="2"/>
      <c r="C149" s="46"/>
      <c r="D149" s="46"/>
      <c r="E149" s="46"/>
      <c r="F149" s="6"/>
      <c r="G149" s="46"/>
      <c r="H149" s="2"/>
      <c r="I149" s="2"/>
      <c r="J149" s="2"/>
    </row>
    <row r="150" spans="2:10" x14ac:dyDescent="0.2">
      <c r="B150" s="2"/>
      <c r="C150" s="46"/>
      <c r="D150" s="46"/>
      <c r="E150" s="46"/>
      <c r="F150" s="2"/>
      <c r="G150" s="46"/>
      <c r="H150" s="2"/>
      <c r="I150" s="2"/>
      <c r="J150" s="2"/>
    </row>
    <row r="151" spans="2:10" x14ac:dyDescent="0.2">
      <c r="B151" s="2"/>
      <c r="C151" s="46"/>
      <c r="D151" s="46"/>
      <c r="E151" s="46"/>
      <c r="F151" s="2"/>
      <c r="G151" s="46"/>
      <c r="H151" s="2"/>
      <c r="I151" s="2"/>
      <c r="J151" s="2"/>
    </row>
    <row r="152" spans="2:10" x14ac:dyDescent="0.2">
      <c r="B152" s="2"/>
      <c r="C152" s="46"/>
      <c r="D152" s="46"/>
      <c r="E152" s="46"/>
      <c r="F152" s="2"/>
      <c r="G152" s="46"/>
      <c r="H152" s="2"/>
      <c r="I152" s="2"/>
      <c r="J152" s="2"/>
    </row>
    <row r="153" spans="2:10" x14ac:dyDescent="0.2">
      <c r="B153" s="2"/>
      <c r="C153" s="46"/>
      <c r="D153" s="46"/>
      <c r="E153" s="46"/>
      <c r="F153" s="2"/>
      <c r="G153" s="46"/>
      <c r="H153" s="2"/>
      <c r="I153" s="2"/>
      <c r="J153" s="2"/>
    </row>
    <row r="154" spans="2:10" x14ac:dyDescent="0.2">
      <c r="B154" s="2"/>
      <c r="C154" s="46"/>
      <c r="D154" s="46"/>
      <c r="E154" s="46"/>
      <c r="F154" s="2"/>
      <c r="G154" s="46"/>
      <c r="H154" s="2"/>
      <c r="I154" s="2"/>
      <c r="J154" s="2"/>
    </row>
    <row r="155" spans="2:10" x14ac:dyDescent="0.2">
      <c r="B155" s="2"/>
      <c r="C155" s="46"/>
      <c r="D155" s="46"/>
      <c r="E155" s="46"/>
      <c r="F155" s="2"/>
      <c r="G155" s="46"/>
      <c r="H155" s="2"/>
      <c r="I155" s="2"/>
      <c r="J155" s="2"/>
    </row>
    <row r="156" spans="2:10" x14ac:dyDescent="0.2">
      <c r="B156" s="2"/>
      <c r="C156" s="46"/>
      <c r="D156" s="46"/>
      <c r="E156" s="46"/>
      <c r="F156" s="6"/>
      <c r="G156" s="46"/>
      <c r="H156" s="2"/>
      <c r="I156" s="2"/>
      <c r="J156" s="2"/>
    </row>
    <row r="157" spans="2:10" x14ac:dyDescent="0.2">
      <c r="B157" s="2"/>
      <c r="C157" s="46"/>
      <c r="D157" s="46"/>
      <c r="E157" s="46"/>
      <c r="F157" s="2"/>
      <c r="G157" s="46"/>
      <c r="H157" s="2"/>
      <c r="I157" s="2"/>
      <c r="J157" s="2"/>
    </row>
    <row r="158" spans="2:10" x14ac:dyDescent="0.2">
      <c r="B158" s="2"/>
      <c r="C158" s="46"/>
      <c r="D158" s="46"/>
      <c r="E158" s="46"/>
      <c r="F158" s="2"/>
      <c r="G158" s="46"/>
      <c r="H158" s="2"/>
      <c r="I158" s="2"/>
      <c r="J158" s="2"/>
    </row>
    <row r="159" spans="2:10" x14ac:dyDescent="0.2">
      <c r="B159" s="2"/>
      <c r="C159" s="46"/>
      <c r="D159" s="46"/>
      <c r="E159" s="46"/>
      <c r="F159" s="2"/>
      <c r="G159" s="46"/>
      <c r="H159" s="2"/>
      <c r="I159" s="2"/>
      <c r="J159" s="2"/>
    </row>
    <row r="160" spans="2:10" x14ac:dyDescent="0.2">
      <c r="B160" s="2"/>
      <c r="C160" s="46"/>
      <c r="D160" s="46"/>
      <c r="E160" s="46"/>
      <c r="F160" s="2"/>
      <c r="G160" s="46"/>
      <c r="H160" s="2"/>
      <c r="I160" s="2"/>
      <c r="J160" s="2"/>
    </row>
    <row r="161" spans="2:10" x14ac:dyDescent="0.2">
      <c r="B161" s="2"/>
      <c r="C161" s="46"/>
      <c r="D161" s="46"/>
      <c r="E161" s="46"/>
      <c r="F161" s="2"/>
      <c r="G161" s="46"/>
      <c r="H161" s="2"/>
      <c r="I161" s="2"/>
      <c r="J161" s="2"/>
    </row>
    <row r="162" spans="2:10" x14ac:dyDescent="0.2">
      <c r="B162" s="2"/>
      <c r="C162" s="46"/>
      <c r="D162" s="46"/>
      <c r="E162" s="46"/>
      <c r="F162" s="2"/>
      <c r="G162" s="46"/>
      <c r="H162" s="2"/>
      <c r="I162" s="2"/>
      <c r="J162" s="2"/>
    </row>
    <row r="163" spans="2:10" x14ac:dyDescent="0.2">
      <c r="B163" s="2"/>
      <c r="C163" s="46"/>
      <c r="D163" s="46"/>
      <c r="E163" s="46"/>
      <c r="F163" s="2"/>
      <c r="G163" s="46"/>
      <c r="H163" s="2"/>
      <c r="I163" s="2"/>
      <c r="J163" s="2"/>
    </row>
    <row r="164" spans="2:10" x14ac:dyDescent="0.2">
      <c r="B164" s="2"/>
      <c r="C164" s="46"/>
      <c r="D164" s="46"/>
      <c r="E164" s="46"/>
      <c r="F164" s="6"/>
      <c r="G164" s="46"/>
      <c r="H164" s="2"/>
      <c r="I164" s="2"/>
      <c r="J164" s="2"/>
    </row>
    <row r="165" spans="2:10" x14ac:dyDescent="0.2">
      <c r="B165" s="2"/>
      <c r="C165" s="46"/>
      <c r="D165" s="46"/>
      <c r="E165" s="46"/>
      <c r="F165" s="6"/>
      <c r="G165" s="46"/>
      <c r="H165" s="2"/>
      <c r="I165" s="2"/>
      <c r="J165" s="2"/>
    </row>
    <row r="166" spans="2:10" x14ac:dyDescent="0.2">
      <c r="B166" s="2"/>
      <c r="C166" s="46"/>
      <c r="D166" s="46"/>
      <c r="E166" s="46"/>
      <c r="F166" s="2"/>
      <c r="G166" s="46"/>
      <c r="H166" s="2"/>
      <c r="I166" s="2"/>
      <c r="J166" s="2"/>
    </row>
    <row r="167" spans="2:10" x14ac:dyDescent="0.2">
      <c r="B167" s="2"/>
      <c r="C167" s="46"/>
      <c r="D167" s="46"/>
      <c r="E167" s="46"/>
      <c r="F167" s="6"/>
      <c r="G167" s="46"/>
      <c r="H167" s="2"/>
      <c r="I167" s="2"/>
      <c r="J167" s="2"/>
    </row>
    <row r="168" spans="2:10" x14ac:dyDescent="0.2">
      <c r="B168" s="2"/>
      <c r="C168" s="46"/>
      <c r="D168" s="46"/>
      <c r="E168" s="46"/>
      <c r="F168" s="6"/>
      <c r="G168" s="46"/>
      <c r="H168" s="2"/>
      <c r="I168" s="2"/>
      <c r="J168" s="2"/>
    </row>
    <row r="169" spans="2:10" x14ac:dyDescent="0.2">
      <c r="B169" s="2"/>
      <c r="C169" s="46"/>
      <c r="D169" s="46"/>
      <c r="E169" s="46"/>
      <c r="F169" s="2"/>
      <c r="G169" s="46"/>
      <c r="H169" s="2"/>
      <c r="I169" s="2"/>
      <c r="J169" s="2"/>
    </row>
    <row r="170" spans="2:10" x14ac:dyDescent="0.2">
      <c r="B170" s="2"/>
      <c r="C170" s="46"/>
      <c r="D170" s="46"/>
      <c r="E170" s="46"/>
      <c r="F170" s="6"/>
      <c r="G170" s="46"/>
      <c r="H170" s="2"/>
      <c r="I170" s="2"/>
      <c r="J170" s="2"/>
    </row>
    <row r="171" spans="2:10" x14ac:dyDescent="0.2">
      <c r="B171" s="2"/>
      <c r="C171" s="46"/>
      <c r="D171" s="46"/>
      <c r="E171" s="46"/>
      <c r="F171" s="6"/>
      <c r="G171" s="46"/>
      <c r="H171" s="2"/>
      <c r="I171" s="2"/>
      <c r="J171" s="2"/>
    </row>
    <row r="172" spans="2:10" x14ac:dyDescent="0.2">
      <c r="B172" s="2"/>
      <c r="C172" s="46"/>
      <c r="D172" s="46"/>
      <c r="E172" s="46"/>
      <c r="F172" s="6"/>
      <c r="G172" s="46"/>
      <c r="H172" s="2"/>
      <c r="I172" s="2"/>
      <c r="J172" s="2"/>
    </row>
    <row r="173" spans="2:10" x14ac:dyDescent="0.2">
      <c r="B173" s="2"/>
      <c r="C173" s="46"/>
      <c r="D173" s="46"/>
      <c r="E173" s="46"/>
      <c r="F173" s="6"/>
      <c r="G173" s="46"/>
      <c r="H173" s="2"/>
      <c r="I173" s="2"/>
      <c r="J173" s="2"/>
    </row>
    <row r="174" spans="2:10" x14ac:dyDescent="0.2">
      <c r="B174" s="2"/>
      <c r="C174" s="46"/>
      <c r="D174" s="46"/>
      <c r="E174" s="46"/>
      <c r="F174" s="6"/>
      <c r="G174" s="46"/>
      <c r="H174" s="2"/>
      <c r="I174" s="2"/>
      <c r="J174" s="2"/>
    </row>
    <row r="175" spans="2:10" x14ac:dyDescent="0.2">
      <c r="B175" s="2"/>
      <c r="C175" s="46"/>
      <c r="D175" s="46"/>
      <c r="E175" s="46"/>
      <c r="F175" s="6"/>
      <c r="G175" s="46"/>
      <c r="H175" s="2"/>
      <c r="I175" s="2"/>
      <c r="J175" s="2"/>
    </row>
    <row r="176" spans="2:10" x14ac:dyDescent="0.2">
      <c r="B176" s="2"/>
      <c r="C176" s="46"/>
      <c r="D176" s="46"/>
      <c r="E176" s="46"/>
      <c r="F176" s="6"/>
      <c r="G176" s="46"/>
      <c r="H176" s="2"/>
      <c r="I176" s="2"/>
      <c r="J176" s="2"/>
    </row>
    <row r="177" spans="2:10" x14ac:dyDescent="0.2">
      <c r="B177" s="2"/>
      <c r="C177" s="46"/>
      <c r="D177" s="46"/>
      <c r="E177" s="46"/>
      <c r="F177" s="2"/>
      <c r="G177" s="46"/>
      <c r="H177" s="2"/>
      <c r="I177" s="2"/>
      <c r="J177" s="2"/>
    </row>
    <row r="178" spans="2:10" x14ac:dyDescent="0.2">
      <c r="B178" s="2"/>
      <c r="C178" s="46"/>
      <c r="D178" s="46"/>
      <c r="E178" s="46"/>
      <c r="F178" s="2"/>
      <c r="G178" s="46"/>
      <c r="H178" s="2"/>
      <c r="I178" s="2"/>
      <c r="J178" s="2"/>
    </row>
    <row r="179" spans="2:10" x14ac:dyDescent="0.2">
      <c r="B179" s="2"/>
      <c r="C179" s="46"/>
      <c r="D179" s="46"/>
      <c r="E179" s="46"/>
      <c r="F179" s="6"/>
      <c r="G179" s="46"/>
      <c r="H179" s="2"/>
      <c r="I179" s="2"/>
      <c r="J179" s="2"/>
    </row>
    <row r="180" spans="2:10" x14ac:dyDescent="0.2">
      <c r="B180" s="2"/>
      <c r="C180" s="46"/>
      <c r="D180" s="46"/>
      <c r="E180" s="46"/>
      <c r="F180" s="2"/>
      <c r="G180" s="46"/>
      <c r="H180" s="2"/>
      <c r="I180" s="2"/>
      <c r="J180" s="2"/>
    </row>
    <row r="181" spans="2:10" x14ac:dyDescent="0.2">
      <c r="B181" s="2"/>
      <c r="C181" s="46"/>
      <c r="D181" s="46"/>
      <c r="E181" s="46"/>
      <c r="F181" s="6"/>
      <c r="G181" s="46"/>
      <c r="H181" s="2"/>
      <c r="I181" s="2"/>
      <c r="J181" s="2"/>
    </row>
    <row r="182" spans="2:10" x14ac:dyDescent="0.2">
      <c r="B182" s="2"/>
      <c r="C182" s="46"/>
      <c r="D182" s="46"/>
      <c r="E182" s="46"/>
      <c r="F182" s="2"/>
      <c r="G182" s="46"/>
      <c r="H182" s="2"/>
      <c r="I182" s="2"/>
      <c r="J182" s="2"/>
    </row>
    <row r="183" spans="2:10" x14ac:dyDescent="0.2">
      <c r="B183" s="2"/>
      <c r="C183" s="46"/>
      <c r="D183" s="46"/>
      <c r="E183" s="46"/>
      <c r="F183" s="2"/>
      <c r="G183" s="46"/>
      <c r="H183" s="2"/>
      <c r="I183" s="2"/>
      <c r="J183" s="2"/>
    </row>
    <row r="184" spans="2:10" x14ac:dyDescent="0.2">
      <c r="B184" s="2"/>
      <c r="C184" s="46"/>
      <c r="D184" s="46"/>
      <c r="E184" s="46"/>
      <c r="F184" s="2"/>
      <c r="G184" s="46"/>
      <c r="H184" s="2"/>
      <c r="I184" s="2"/>
      <c r="J184" s="2"/>
    </row>
    <row r="185" spans="2:10" x14ac:dyDescent="0.2">
      <c r="B185" s="2"/>
      <c r="C185" s="46"/>
      <c r="D185" s="46"/>
      <c r="E185" s="46"/>
      <c r="F185" s="2"/>
      <c r="G185" s="46"/>
      <c r="H185" s="2"/>
      <c r="I185" s="2"/>
      <c r="J185" s="2"/>
    </row>
    <row r="186" spans="2:10" x14ac:dyDescent="0.2">
      <c r="B186" s="2"/>
      <c r="C186" s="46"/>
      <c r="D186" s="46"/>
      <c r="E186" s="46"/>
      <c r="F186" s="2"/>
      <c r="G186" s="46"/>
      <c r="H186" s="2"/>
      <c r="I186" s="2"/>
      <c r="J186" s="2"/>
    </row>
    <row r="187" spans="2:10" x14ac:dyDescent="0.2">
      <c r="B187" s="2"/>
      <c r="C187" s="46"/>
      <c r="D187" s="46"/>
      <c r="E187" s="46"/>
      <c r="F187" s="2"/>
      <c r="G187" s="46"/>
      <c r="H187" s="2"/>
      <c r="I187" s="2"/>
      <c r="J187" s="2"/>
    </row>
    <row r="188" spans="2:10" x14ac:dyDescent="0.2">
      <c r="B188" s="2"/>
      <c r="C188" s="46"/>
      <c r="D188" s="46"/>
      <c r="E188" s="46"/>
      <c r="F188" s="6"/>
      <c r="G188" s="46"/>
      <c r="H188" s="2"/>
      <c r="I188" s="2"/>
      <c r="J188" s="2"/>
    </row>
    <row r="189" spans="2:10" x14ac:dyDescent="0.2">
      <c r="B189" s="2"/>
      <c r="C189" s="46"/>
      <c r="D189" s="46"/>
      <c r="E189" s="46"/>
      <c r="F189" s="6"/>
      <c r="G189" s="46"/>
      <c r="H189" s="2"/>
      <c r="I189" s="2"/>
      <c r="J189" s="2"/>
    </row>
    <row r="190" spans="2:10" x14ac:dyDescent="0.2">
      <c r="B190" s="2"/>
      <c r="C190" s="46"/>
      <c r="D190" s="46"/>
      <c r="E190" s="46"/>
      <c r="F190" s="6"/>
      <c r="G190" s="46"/>
      <c r="H190" s="2"/>
      <c r="I190" s="2"/>
      <c r="J190" s="2"/>
    </row>
    <row r="191" spans="2:10" x14ac:dyDescent="0.2">
      <c r="B191" s="2"/>
      <c r="C191" s="46"/>
      <c r="D191" s="46"/>
      <c r="E191" s="46"/>
      <c r="F191" s="2"/>
      <c r="G191" s="46"/>
      <c r="H191" s="2"/>
      <c r="I191" s="2"/>
      <c r="J191" s="2"/>
    </row>
    <row r="192" spans="2:10" x14ac:dyDescent="0.2">
      <c r="B192" s="2"/>
      <c r="C192" s="46"/>
      <c r="D192" s="46"/>
      <c r="E192" s="46"/>
      <c r="F192" s="2"/>
      <c r="G192" s="46"/>
      <c r="H192" s="2"/>
      <c r="I192" s="2"/>
      <c r="J192" s="2"/>
    </row>
    <row r="193" spans="2:10" x14ac:dyDescent="0.2">
      <c r="B193" s="2"/>
      <c r="C193" s="46"/>
      <c r="D193" s="46"/>
      <c r="E193" s="46"/>
      <c r="F193" s="6"/>
      <c r="G193" s="46"/>
      <c r="H193" s="2"/>
      <c r="I193" s="2"/>
      <c r="J193" s="2"/>
    </row>
    <row r="194" spans="2:10" x14ac:dyDescent="0.2">
      <c r="B194" s="2"/>
      <c r="C194" s="46"/>
      <c r="D194" s="46"/>
      <c r="E194" s="46"/>
      <c r="F194" s="6"/>
      <c r="G194" s="46"/>
      <c r="H194" s="2"/>
      <c r="I194" s="2"/>
      <c r="J194" s="2"/>
    </row>
    <row r="195" spans="2:10" x14ac:dyDescent="0.2">
      <c r="B195" s="2"/>
      <c r="C195" s="46"/>
      <c r="D195" s="46"/>
      <c r="E195" s="46"/>
      <c r="F195" s="6"/>
      <c r="G195" s="46"/>
      <c r="H195" s="2"/>
      <c r="I195" s="2"/>
      <c r="J195" s="2"/>
    </row>
    <row r="196" spans="2:10" x14ac:dyDescent="0.2">
      <c r="B196" s="2"/>
      <c r="C196" s="46"/>
      <c r="D196" s="46"/>
      <c r="E196" s="46"/>
      <c r="F196" s="6"/>
      <c r="G196" s="46"/>
      <c r="H196" s="2"/>
      <c r="I196" s="2"/>
      <c r="J196" s="2"/>
    </row>
    <row r="197" spans="2:10" x14ac:dyDescent="0.2">
      <c r="B197" s="2"/>
      <c r="C197" s="46"/>
      <c r="D197" s="46"/>
      <c r="E197" s="46"/>
      <c r="F197" s="6"/>
      <c r="G197" s="46"/>
      <c r="H197" s="2"/>
      <c r="I197" s="2"/>
      <c r="J197" s="2"/>
    </row>
    <row r="198" spans="2:10" x14ac:dyDescent="0.2">
      <c r="B198" s="2"/>
      <c r="C198" s="46"/>
      <c r="D198" s="46"/>
      <c r="E198" s="46"/>
      <c r="F198" s="2"/>
      <c r="G198" s="46"/>
      <c r="H198" s="2"/>
      <c r="I198" s="2"/>
      <c r="J198" s="2"/>
    </row>
    <row r="199" spans="2:10" x14ac:dyDescent="0.2">
      <c r="B199" s="2"/>
      <c r="C199" s="46"/>
      <c r="D199" s="46"/>
      <c r="E199" s="46"/>
      <c r="F199" s="2"/>
      <c r="G199" s="46"/>
      <c r="H199" s="2"/>
      <c r="I199" s="2"/>
      <c r="J199" s="2"/>
    </row>
    <row r="200" spans="2:10" x14ac:dyDescent="0.2">
      <c r="B200" s="2"/>
      <c r="C200" s="46"/>
      <c r="D200" s="46"/>
      <c r="E200" s="46"/>
      <c r="F200" s="6"/>
      <c r="G200" s="46"/>
      <c r="H200" s="2"/>
      <c r="I200" s="2"/>
      <c r="J200" s="2"/>
    </row>
    <row r="201" spans="2:10" x14ac:dyDescent="0.2">
      <c r="B201" s="2"/>
      <c r="C201" s="46"/>
      <c r="D201" s="46"/>
      <c r="E201" s="46"/>
      <c r="F201" s="2"/>
      <c r="G201" s="46"/>
      <c r="H201" s="2"/>
      <c r="I201" s="2"/>
      <c r="J201" s="2"/>
    </row>
    <row r="202" spans="2:10" x14ac:dyDescent="0.2">
      <c r="B202" s="2"/>
      <c r="C202" s="46"/>
      <c r="D202" s="46"/>
      <c r="E202" s="46"/>
      <c r="F202" s="2"/>
      <c r="G202" s="46"/>
      <c r="H202" s="2"/>
      <c r="I202" s="2"/>
      <c r="J202" s="2"/>
    </row>
    <row r="203" spans="2:10" x14ac:dyDescent="0.2">
      <c r="B203" s="2"/>
      <c r="C203" s="46"/>
      <c r="D203" s="46"/>
      <c r="E203" s="46"/>
      <c r="F203" s="6"/>
      <c r="G203" s="46"/>
      <c r="H203" s="2"/>
      <c r="I203" s="2"/>
      <c r="J203" s="2"/>
    </row>
    <row r="204" spans="2:10" x14ac:dyDescent="0.2">
      <c r="B204" s="2"/>
      <c r="C204" s="46"/>
      <c r="D204" s="46"/>
      <c r="E204" s="46"/>
      <c r="F204" s="2"/>
      <c r="G204" s="46"/>
      <c r="H204" s="2"/>
      <c r="I204" s="2"/>
      <c r="J204" s="2"/>
    </row>
    <row r="205" spans="2:10" x14ac:dyDescent="0.2">
      <c r="B205" s="2"/>
      <c r="C205" s="46"/>
      <c r="D205" s="46"/>
      <c r="E205" s="46"/>
      <c r="F205" s="2"/>
      <c r="G205" s="46"/>
      <c r="H205" s="2"/>
      <c r="I205" s="2"/>
      <c r="J205" s="2"/>
    </row>
    <row r="206" spans="2:10" x14ac:dyDescent="0.2">
      <c r="B206" s="2"/>
      <c r="C206" s="46"/>
      <c r="D206" s="46"/>
      <c r="E206" s="46"/>
      <c r="F206" s="2"/>
      <c r="G206" s="46"/>
      <c r="H206" s="2"/>
      <c r="I206" s="2"/>
      <c r="J206" s="2"/>
    </row>
    <row r="207" spans="2:10" x14ac:dyDescent="0.2">
      <c r="B207" s="2"/>
      <c r="C207" s="46"/>
      <c r="D207" s="46"/>
      <c r="E207" s="46"/>
      <c r="F207" s="2"/>
      <c r="G207" s="46"/>
      <c r="H207" s="2"/>
      <c r="I207" s="2"/>
      <c r="J207" s="2"/>
    </row>
    <row r="208" spans="2:10" x14ac:dyDescent="0.2">
      <c r="B208" s="2"/>
      <c r="C208" s="46"/>
      <c r="D208" s="46"/>
      <c r="E208" s="46"/>
      <c r="F208" s="6"/>
      <c r="G208" s="46"/>
      <c r="H208" s="2"/>
      <c r="I208" s="2"/>
      <c r="J208" s="2"/>
    </row>
    <row r="209" spans="2:10" x14ac:dyDescent="0.2">
      <c r="B209" s="2"/>
      <c r="C209" s="46"/>
      <c r="D209" s="46"/>
      <c r="E209" s="46"/>
      <c r="F209" s="2"/>
      <c r="G209" s="46"/>
      <c r="H209" s="2"/>
      <c r="I209" s="2"/>
      <c r="J209" s="2"/>
    </row>
    <row r="210" spans="2:10" x14ac:dyDescent="0.2">
      <c r="B210" s="2"/>
      <c r="C210" s="46"/>
      <c r="D210" s="46"/>
      <c r="E210" s="46"/>
      <c r="F210" s="6"/>
      <c r="G210" s="46"/>
      <c r="H210" s="2"/>
      <c r="I210" s="2"/>
      <c r="J210" s="2"/>
    </row>
    <row r="211" spans="2:10" x14ac:dyDescent="0.2">
      <c r="B211" s="2"/>
      <c r="C211" s="46"/>
      <c r="D211" s="46"/>
      <c r="E211" s="46"/>
      <c r="F211" s="2"/>
      <c r="G211" s="46"/>
      <c r="H211" s="2"/>
      <c r="I211" s="2"/>
      <c r="J211" s="2"/>
    </row>
    <row r="212" spans="2:10" x14ac:dyDescent="0.2">
      <c r="B212" s="2"/>
      <c r="C212" s="46"/>
      <c r="D212" s="46"/>
      <c r="E212" s="46"/>
      <c r="F212" s="2"/>
      <c r="G212" s="46"/>
      <c r="H212" s="2"/>
      <c r="I212" s="2"/>
      <c r="J212" s="2"/>
    </row>
    <row r="213" spans="2:10" x14ac:dyDescent="0.2">
      <c r="B213" s="2"/>
      <c r="C213" s="46"/>
      <c r="D213" s="46"/>
      <c r="E213" s="46"/>
      <c r="F213" s="2"/>
      <c r="G213" s="46"/>
      <c r="H213" s="2"/>
      <c r="I213" s="2"/>
      <c r="J213" s="2"/>
    </row>
    <row r="214" spans="2:10" x14ac:dyDescent="0.2">
      <c r="B214" s="2"/>
      <c r="C214" s="46"/>
      <c r="D214" s="46"/>
      <c r="E214" s="46"/>
      <c r="F214" s="6"/>
      <c r="G214" s="46"/>
      <c r="H214" s="2"/>
      <c r="I214" s="2"/>
      <c r="J214" s="2"/>
    </row>
    <row r="215" spans="2:10" x14ac:dyDescent="0.2">
      <c r="B215" s="2"/>
      <c r="C215" s="46"/>
      <c r="D215" s="46"/>
      <c r="E215" s="46"/>
      <c r="F215" s="6"/>
      <c r="G215" s="46"/>
      <c r="H215" s="2"/>
      <c r="I215" s="2"/>
      <c r="J215" s="2"/>
    </row>
    <row r="216" spans="2:10" x14ac:dyDescent="0.2">
      <c r="B216" s="2"/>
      <c r="C216" s="46"/>
      <c r="D216" s="46"/>
      <c r="E216" s="46"/>
      <c r="F216" s="2"/>
      <c r="G216" s="46"/>
      <c r="H216" s="2"/>
      <c r="I216" s="2"/>
      <c r="J216" s="2"/>
    </row>
    <row r="217" spans="2:10" x14ac:dyDescent="0.2">
      <c r="B217" s="2"/>
      <c r="C217" s="46"/>
      <c r="D217" s="46"/>
      <c r="E217" s="46"/>
      <c r="F217" s="2"/>
      <c r="G217" s="46"/>
      <c r="H217" s="2"/>
      <c r="I217" s="2"/>
      <c r="J217" s="2"/>
    </row>
    <row r="218" spans="2:10" x14ac:dyDescent="0.2">
      <c r="B218" s="2"/>
      <c r="C218" s="46"/>
      <c r="D218" s="46"/>
      <c r="E218" s="46"/>
      <c r="F218" s="2"/>
      <c r="G218" s="46"/>
      <c r="H218" s="2"/>
      <c r="I218" s="2"/>
      <c r="J218" s="2"/>
    </row>
    <row r="219" spans="2:10" x14ac:dyDescent="0.2">
      <c r="B219" s="2"/>
      <c r="C219" s="46"/>
      <c r="D219" s="46"/>
      <c r="E219" s="46"/>
      <c r="F219" s="2"/>
      <c r="G219" s="46"/>
      <c r="H219" s="2"/>
      <c r="I219" s="2"/>
      <c r="J219" s="2"/>
    </row>
    <row r="220" spans="2:10" x14ac:dyDescent="0.2">
      <c r="B220" s="2"/>
      <c r="C220" s="46"/>
      <c r="D220" s="46"/>
      <c r="E220" s="46"/>
      <c r="F220" s="2"/>
      <c r="G220" s="46"/>
      <c r="H220" s="2"/>
      <c r="I220" s="2"/>
      <c r="J220" s="2"/>
    </row>
    <row r="221" spans="2:10" x14ac:dyDescent="0.2">
      <c r="B221" s="2"/>
      <c r="C221" s="46"/>
      <c r="D221" s="46"/>
      <c r="E221" s="46"/>
      <c r="F221" s="2"/>
      <c r="G221" s="46"/>
      <c r="H221" s="2"/>
      <c r="I221" s="2"/>
      <c r="J221" s="2"/>
    </row>
    <row r="222" spans="2:10" x14ac:dyDescent="0.2">
      <c r="B222" s="2"/>
      <c r="C222" s="46"/>
      <c r="D222" s="46"/>
      <c r="E222" s="46"/>
      <c r="F222" s="2"/>
      <c r="G222" s="46"/>
      <c r="H222" s="2"/>
      <c r="I222" s="2"/>
      <c r="J222" s="2"/>
    </row>
    <row r="223" spans="2:10" x14ac:dyDescent="0.2">
      <c r="B223" s="2"/>
      <c r="C223" s="46"/>
      <c r="D223" s="46"/>
      <c r="E223" s="46"/>
      <c r="F223" s="2"/>
      <c r="G223" s="46"/>
      <c r="H223" s="2"/>
      <c r="I223" s="2"/>
      <c r="J223" s="2"/>
    </row>
    <row r="224" spans="2:10" x14ac:dyDescent="0.2">
      <c r="B224" s="2"/>
      <c r="C224" s="46"/>
      <c r="D224" s="46"/>
      <c r="E224" s="46"/>
      <c r="F224" s="2"/>
      <c r="G224" s="46"/>
      <c r="H224" s="2"/>
      <c r="I224" s="2"/>
      <c r="J224" s="2"/>
    </row>
    <row r="225" spans="2:10" x14ac:dyDescent="0.2">
      <c r="B225" s="2"/>
      <c r="C225" s="46"/>
      <c r="D225" s="46"/>
      <c r="E225" s="46"/>
      <c r="F225" s="2"/>
      <c r="G225" s="46"/>
      <c r="H225" s="2"/>
      <c r="I225" s="2"/>
      <c r="J225" s="2"/>
    </row>
    <row r="226" spans="2:10" x14ac:dyDescent="0.2">
      <c r="B226" s="2"/>
      <c r="C226" s="46"/>
      <c r="D226" s="46"/>
      <c r="E226" s="46"/>
      <c r="F226" s="6"/>
      <c r="G226" s="46"/>
      <c r="H226" s="2"/>
      <c r="I226" s="2"/>
      <c r="J226" s="2"/>
    </row>
    <row r="227" spans="2:10" x14ac:dyDescent="0.2">
      <c r="B227" s="2"/>
      <c r="C227" s="46"/>
      <c r="D227" s="46"/>
      <c r="E227" s="46"/>
      <c r="F227" s="2"/>
      <c r="G227" s="46"/>
      <c r="H227" s="2"/>
      <c r="I227" s="2"/>
      <c r="J227" s="2"/>
    </row>
    <row r="228" spans="2:10" x14ac:dyDescent="0.2">
      <c r="B228" s="2"/>
      <c r="C228" s="46"/>
      <c r="D228" s="46"/>
      <c r="E228" s="46"/>
      <c r="F228" s="2"/>
      <c r="G228" s="46"/>
      <c r="H228" s="2"/>
      <c r="I228" s="2"/>
      <c r="J228" s="2"/>
    </row>
    <row r="229" spans="2:10" x14ac:dyDescent="0.2">
      <c r="B229" s="2"/>
      <c r="C229" s="46"/>
      <c r="D229" s="46"/>
      <c r="E229" s="46"/>
      <c r="F229" s="2"/>
      <c r="G229" s="46"/>
      <c r="H229" s="2"/>
      <c r="I229" s="2"/>
      <c r="J229" s="2"/>
    </row>
    <row r="230" spans="2:10" x14ac:dyDescent="0.2">
      <c r="B230" s="2"/>
      <c r="C230" s="46"/>
      <c r="D230" s="46"/>
      <c r="E230" s="46"/>
      <c r="F230" s="2"/>
      <c r="G230" s="46"/>
      <c r="H230" s="2"/>
      <c r="I230" s="2"/>
      <c r="J230" s="2"/>
    </row>
    <row r="231" spans="2:10" x14ac:dyDescent="0.2">
      <c r="B231" s="2"/>
      <c r="C231" s="46"/>
      <c r="D231" s="46"/>
      <c r="E231" s="46"/>
      <c r="F231" s="2"/>
      <c r="G231" s="46"/>
      <c r="H231" s="2"/>
      <c r="I231" s="2"/>
      <c r="J231" s="2"/>
    </row>
    <row r="232" spans="2:10" x14ac:dyDescent="0.2">
      <c r="B232" s="2"/>
      <c r="C232" s="46"/>
      <c r="D232" s="46"/>
      <c r="E232" s="46"/>
      <c r="F232" s="2"/>
      <c r="G232" s="46"/>
      <c r="H232" s="2"/>
      <c r="I232" s="2"/>
      <c r="J232" s="2"/>
    </row>
    <row r="233" spans="2:10" x14ac:dyDescent="0.2">
      <c r="B233" s="2"/>
      <c r="C233" s="46"/>
      <c r="D233" s="46"/>
      <c r="E233" s="46"/>
      <c r="F233" s="2"/>
      <c r="G233" s="46"/>
      <c r="H233" s="2"/>
      <c r="I233" s="2"/>
      <c r="J233" s="2"/>
    </row>
    <row r="234" spans="2:10" x14ac:dyDescent="0.2">
      <c r="B234" s="2"/>
      <c r="C234" s="46"/>
      <c r="D234" s="46"/>
      <c r="E234" s="46"/>
      <c r="F234" s="2"/>
      <c r="G234" s="46"/>
      <c r="H234" s="2"/>
      <c r="I234" s="2"/>
      <c r="J234" s="2"/>
    </row>
    <row r="235" spans="2:10" x14ac:dyDescent="0.2">
      <c r="B235" s="2"/>
      <c r="C235" s="46"/>
      <c r="D235" s="46"/>
      <c r="E235" s="46"/>
      <c r="F235" s="6"/>
      <c r="G235" s="46"/>
      <c r="H235" s="2"/>
      <c r="I235" s="2"/>
      <c r="J235" s="2"/>
    </row>
    <row r="236" spans="2:10" x14ac:dyDescent="0.2">
      <c r="B236" s="2"/>
      <c r="C236" s="46"/>
      <c r="D236" s="46"/>
      <c r="E236" s="46"/>
      <c r="F236" s="2"/>
      <c r="G236" s="46"/>
      <c r="H236" s="2"/>
      <c r="I236" s="2"/>
      <c r="J236" s="2"/>
    </row>
    <row r="237" spans="2:10" x14ac:dyDescent="0.2">
      <c r="B237" s="2"/>
      <c r="C237" s="46"/>
      <c r="D237" s="46"/>
      <c r="E237" s="46"/>
      <c r="F237" s="2"/>
      <c r="G237" s="46"/>
      <c r="H237" s="2"/>
      <c r="I237" s="2"/>
      <c r="J237" s="2"/>
    </row>
    <row r="238" spans="2:10" x14ac:dyDescent="0.2">
      <c r="B238" s="2"/>
      <c r="C238" s="46"/>
      <c r="D238" s="46"/>
      <c r="E238" s="46"/>
      <c r="F238" s="6"/>
      <c r="G238" s="46"/>
      <c r="H238" s="2"/>
      <c r="I238" s="2"/>
      <c r="J238" s="2"/>
    </row>
    <row r="239" spans="2:10" x14ac:dyDescent="0.2">
      <c r="B239" s="2"/>
      <c r="C239" s="46"/>
      <c r="D239" s="46"/>
      <c r="E239" s="46"/>
      <c r="F239" s="2"/>
      <c r="G239" s="46"/>
      <c r="H239" s="2"/>
      <c r="I239" s="2"/>
      <c r="J239" s="2"/>
    </row>
    <row r="240" spans="2:10" x14ac:dyDescent="0.2">
      <c r="B240" s="2"/>
      <c r="C240" s="46"/>
      <c r="D240" s="46"/>
      <c r="E240" s="46"/>
      <c r="F240" s="6"/>
      <c r="G240" s="46"/>
      <c r="H240" s="2"/>
      <c r="I240" s="2"/>
      <c r="J240" s="2"/>
    </row>
    <row r="241" spans="2:10" x14ac:dyDescent="0.2">
      <c r="B241" s="2"/>
      <c r="C241" s="46"/>
      <c r="D241" s="46"/>
      <c r="E241" s="46"/>
      <c r="F241" s="2"/>
      <c r="G241" s="46"/>
      <c r="H241" s="2"/>
      <c r="I241" s="2"/>
      <c r="J241" s="2"/>
    </row>
    <row r="242" spans="2:10" x14ac:dyDescent="0.2">
      <c r="B242" s="2"/>
      <c r="C242" s="46"/>
      <c r="D242" s="46"/>
      <c r="E242" s="46"/>
      <c r="F242" s="6"/>
      <c r="G242" s="46"/>
      <c r="H242" s="2"/>
      <c r="I242" s="2"/>
      <c r="J242" s="2"/>
    </row>
    <row r="243" spans="2:10" x14ac:dyDescent="0.2">
      <c r="B243" s="2"/>
      <c r="C243" s="46"/>
      <c r="D243" s="46"/>
      <c r="E243" s="46"/>
      <c r="F243" s="2"/>
      <c r="G243" s="46"/>
      <c r="H243" s="2"/>
      <c r="I243" s="2"/>
      <c r="J243" s="2"/>
    </row>
    <row r="244" spans="2:10" x14ac:dyDescent="0.2">
      <c r="B244" s="2"/>
      <c r="C244" s="46"/>
      <c r="D244" s="46"/>
      <c r="E244" s="46"/>
      <c r="F244" s="2"/>
      <c r="G244" s="46"/>
      <c r="H244" s="2"/>
      <c r="I244" s="2"/>
      <c r="J244" s="2"/>
    </row>
    <row r="245" spans="2:10" x14ac:dyDescent="0.2">
      <c r="B245" s="2"/>
      <c r="C245" s="46"/>
      <c r="D245" s="46"/>
      <c r="E245" s="46"/>
      <c r="F245" s="2"/>
      <c r="G245" s="46"/>
      <c r="H245" s="2"/>
      <c r="I245" s="2"/>
      <c r="J245" s="2"/>
    </row>
    <row r="246" spans="2:10" x14ac:dyDescent="0.2">
      <c r="B246" s="2"/>
      <c r="C246" s="46"/>
      <c r="D246" s="46"/>
      <c r="E246" s="46"/>
      <c r="F246" s="2"/>
      <c r="G246" s="46"/>
      <c r="H246" s="2"/>
      <c r="I246" s="2"/>
      <c r="J246" s="2"/>
    </row>
    <row r="247" spans="2:10" x14ac:dyDescent="0.2">
      <c r="B247" s="2"/>
      <c r="C247" s="46"/>
      <c r="D247" s="46"/>
      <c r="E247" s="46"/>
      <c r="F247" s="6"/>
      <c r="G247" s="46"/>
      <c r="H247" s="2"/>
      <c r="I247" s="2"/>
      <c r="J247" s="2"/>
    </row>
    <row r="248" spans="2:10" x14ac:dyDescent="0.2">
      <c r="B248" s="2"/>
      <c r="C248" s="46"/>
      <c r="D248" s="46"/>
      <c r="E248" s="46"/>
      <c r="F248" s="2"/>
      <c r="G248" s="46"/>
      <c r="H248" s="2"/>
      <c r="I248" s="2"/>
      <c r="J248" s="2"/>
    </row>
    <row r="249" spans="2:10" x14ac:dyDescent="0.2">
      <c r="B249" s="2"/>
      <c r="C249" s="46"/>
      <c r="D249" s="46"/>
      <c r="E249" s="46"/>
      <c r="F249" s="2"/>
      <c r="G249" s="46"/>
      <c r="H249" s="2"/>
      <c r="I249" s="2"/>
      <c r="J249" s="2"/>
    </row>
    <row r="250" spans="2:10" x14ac:dyDescent="0.2">
      <c r="B250" s="2"/>
      <c r="C250" s="46"/>
      <c r="D250" s="46"/>
      <c r="E250" s="46"/>
      <c r="F250" s="6"/>
      <c r="G250" s="46"/>
      <c r="H250" s="2"/>
      <c r="I250" s="2"/>
      <c r="J250" s="2"/>
    </row>
    <row r="251" spans="2:10" x14ac:dyDescent="0.2">
      <c r="B251" s="2"/>
      <c r="C251" s="46"/>
      <c r="D251" s="46"/>
      <c r="E251" s="46"/>
      <c r="F251" s="2"/>
      <c r="G251" s="46"/>
      <c r="H251" s="2"/>
      <c r="I251" s="2"/>
      <c r="J251" s="2"/>
    </row>
    <row r="252" spans="2:10" x14ac:dyDescent="0.2">
      <c r="B252" s="2"/>
      <c r="C252" s="46"/>
      <c r="D252" s="46"/>
      <c r="E252" s="46"/>
      <c r="F252" s="2"/>
      <c r="G252" s="46"/>
      <c r="H252" s="2"/>
      <c r="I252" s="2"/>
      <c r="J252" s="2"/>
    </row>
    <row r="253" spans="2:10" x14ac:dyDescent="0.2">
      <c r="B253" s="2"/>
      <c r="C253" s="46"/>
      <c r="D253" s="46"/>
      <c r="E253" s="46"/>
      <c r="F253" s="2"/>
      <c r="G253" s="46"/>
      <c r="H253" s="2"/>
      <c r="I253" s="2"/>
      <c r="J253" s="2"/>
    </row>
    <row r="254" spans="2:10" x14ac:dyDescent="0.2">
      <c r="B254" s="2"/>
      <c r="C254" s="46"/>
      <c r="D254" s="46"/>
      <c r="E254" s="46"/>
      <c r="F254" s="6"/>
      <c r="G254" s="46"/>
      <c r="H254" s="2"/>
      <c r="I254" s="2"/>
      <c r="J254" s="2"/>
    </row>
    <row r="255" spans="2:10" x14ac:dyDescent="0.2">
      <c r="B255" s="2"/>
      <c r="C255" s="46"/>
      <c r="D255" s="46"/>
      <c r="E255" s="46"/>
      <c r="F255" s="6"/>
      <c r="G255" s="46"/>
      <c r="H255" s="2"/>
      <c r="I255" s="2"/>
      <c r="J255" s="2"/>
    </row>
    <row r="256" spans="2:10" x14ac:dyDescent="0.2">
      <c r="B256" s="2"/>
      <c r="C256" s="46"/>
      <c r="D256" s="46"/>
      <c r="E256" s="46"/>
      <c r="F256" s="6"/>
      <c r="G256" s="46"/>
      <c r="H256" s="2"/>
      <c r="I256" s="2"/>
      <c r="J256" s="2"/>
    </row>
    <row r="257" spans="2:10" x14ac:dyDescent="0.2">
      <c r="B257" s="2"/>
      <c r="C257" s="46"/>
      <c r="D257" s="46"/>
      <c r="E257" s="46"/>
      <c r="F257" s="2"/>
      <c r="G257" s="46"/>
      <c r="H257" s="2"/>
      <c r="I257" s="2"/>
      <c r="J257" s="2"/>
    </row>
    <row r="258" spans="2:10" x14ac:dyDescent="0.2">
      <c r="B258" s="2"/>
      <c r="C258" s="46"/>
      <c r="D258" s="46"/>
      <c r="E258" s="46"/>
      <c r="F258" s="2"/>
      <c r="G258" s="46"/>
      <c r="H258" s="2"/>
      <c r="I258" s="2"/>
      <c r="J258" s="2"/>
    </row>
    <row r="259" spans="2:10" x14ac:dyDescent="0.2">
      <c r="B259" s="2"/>
      <c r="C259" s="46"/>
      <c r="D259" s="46"/>
      <c r="E259" s="46"/>
      <c r="F259" s="2"/>
      <c r="G259" s="46"/>
      <c r="H259" s="2"/>
      <c r="I259" s="2"/>
      <c r="J259" s="2"/>
    </row>
    <row r="260" spans="2:10" x14ac:dyDescent="0.2">
      <c r="B260" s="2"/>
      <c r="C260" s="46"/>
      <c r="D260" s="46"/>
      <c r="E260" s="46"/>
      <c r="F260" s="2"/>
      <c r="G260" s="46"/>
      <c r="H260" s="2"/>
      <c r="I260" s="2"/>
      <c r="J260" s="2"/>
    </row>
    <row r="261" spans="2:10" x14ac:dyDescent="0.2">
      <c r="B261" s="2"/>
      <c r="C261" s="46"/>
      <c r="D261" s="46"/>
      <c r="E261" s="46"/>
      <c r="F261" s="2"/>
      <c r="G261" s="46"/>
      <c r="H261" s="2"/>
      <c r="I261" s="2"/>
      <c r="J261" s="2"/>
    </row>
    <row r="262" spans="2:10" x14ac:dyDescent="0.2">
      <c r="B262" s="2"/>
      <c r="C262" s="46"/>
      <c r="D262" s="46"/>
      <c r="E262" s="46"/>
      <c r="F262" s="2"/>
      <c r="G262" s="46"/>
      <c r="H262" s="2"/>
      <c r="I262" s="2"/>
      <c r="J262" s="2"/>
    </row>
    <row r="263" spans="2:10" x14ac:dyDescent="0.2">
      <c r="B263" s="2"/>
      <c r="C263" s="46"/>
      <c r="D263" s="46"/>
      <c r="E263" s="46"/>
      <c r="F263" s="6"/>
      <c r="G263" s="46"/>
      <c r="H263" s="2"/>
      <c r="I263" s="2"/>
      <c r="J263" s="2"/>
    </row>
    <row r="264" spans="2:10" x14ac:dyDescent="0.2">
      <c r="B264" s="2"/>
      <c r="C264" s="46"/>
      <c r="D264" s="46"/>
      <c r="E264" s="46"/>
      <c r="F264" s="2"/>
      <c r="G264" s="46"/>
      <c r="H264" s="2"/>
      <c r="I264" s="2"/>
      <c r="J264" s="2"/>
    </row>
    <row r="265" spans="2:10" x14ac:dyDescent="0.2">
      <c r="B265" s="2"/>
      <c r="C265" s="46"/>
      <c r="D265" s="46"/>
      <c r="E265" s="46"/>
      <c r="F265" s="2"/>
      <c r="G265" s="46"/>
      <c r="H265" s="2"/>
      <c r="I265" s="2"/>
      <c r="J265" s="2"/>
    </row>
    <row r="266" spans="2:10" x14ac:dyDescent="0.2">
      <c r="B266" s="2"/>
      <c r="C266" s="46"/>
      <c r="D266" s="46"/>
      <c r="E266" s="46"/>
      <c r="F266" s="2"/>
      <c r="G266" s="46"/>
      <c r="H266" s="2"/>
      <c r="I266" s="2"/>
      <c r="J266" s="2"/>
    </row>
    <row r="267" spans="2:10" x14ac:dyDescent="0.2">
      <c r="B267" s="2"/>
      <c r="C267" s="46"/>
      <c r="D267" s="46"/>
      <c r="E267" s="46"/>
      <c r="F267" s="2"/>
      <c r="G267" s="46"/>
      <c r="H267" s="2"/>
      <c r="I267" s="2"/>
      <c r="J267" s="2"/>
    </row>
    <row r="268" spans="2:10" x14ac:dyDescent="0.2">
      <c r="B268" s="2"/>
      <c r="C268" s="46"/>
      <c r="D268" s="46"/>
      <c r="E268" s="46"/>
      <c r="F268" s="2"/>
      <c r="G268" s="46"/>
      <c r="H268" s="2"/>
      <c r="I268" s="2"/>
      <c r="J268" s="2"/>
    </row>
    <row r="269" spans="2:10" x14ac:dyDescent="0.2">
      <c r="B269" s="2"/>
      <c r="C269" s="46"/>
      <c r="D269" s="46"/>
      <c r="E269" s="46"/>
      <c r="F269" s="2"/>
      <c r="G269" s="46"/>
      <c r="H269" s="2"/>
      <c r="I269" s="2"/>
      <c r="J269" s="2"/>
    </row>
    <row r="270" spans="2:10" x14ac:dyDescent="0.2">
      <c r="B270" s="2"/>
      <c r="C270" s="46"/>
      <c r="D270" s="46"/>
      <c r="E270" s="46"/>
      <c r="F270" s="6"/>
      <c r="G270" s="46"/>
      <c r="H270" s="2"/>
      <c r="I270" s="2"/>
      <c r="J270" s="2"/>
    </row>
    <row r="271" spans="2:10" x14ac:dyDescent="0.2">
      <c r="B271" s="2"/>
      <c r="C271" s="46"/>
      <c r="D271" s="46"/>
      <c r="E271" s="46"/>
      <c r="F271" s="6"/>
      <c r="G271" s="46"/>
      <c r="H271" s="2"/>
      <c r="I271" s="2"/>
      <c r="J271" s="2"/>
    </row>
    <row r="272" spans="2:10" x14ac:dyDescent="0.2">
      <c r="B272" s="2"/>
      <c r="C272" s="46"/>
      <c r="D272" s="46"/>
      <c r="E272" s="46"/>
      <c r="F272" s="6"/>
      <c r="G272" s="46"/>
      <c r="H272" s="2"/>
      <c r="I272" s="2"/>
      <c r="J272" s="2"/>
    </row>
    <row r="273" spans="2:10" x14ac:dyDescent="0.2">
      <c r="B273" s="2"/>
      <c r="C273" s="46"/>
      <c r="D273" s="46"/>
      <c r="E273" s="46"/>
      <c r="F273" s="6"/>
      <c r="G273" s="46"/>
      <c r="H273" s="2"/>
      <c r="I273" s="2"/>
      <c r="J273" s="2"/>
    </row>
    <row r="274" spans="2:10" x14ac:dyDescent="0.2">
      <c r="B274" s="2"/>
      <c r="C274" s="46"/>
      <c r="D274" s="46"/>
      <c r="E274" s="46"/>
      <c r="F274" s="6"/>
      <c r="G274" s="46"/>
      <c r="H274" s="2"/>
      <c r="I274" s="2"/>
      <c r="J274" s="2"/>
    </row>
    <row r="275" spans="2:10" x14ac:dyDescent="0.2">
      <c r="B275" s="2"/>
      <c r="C275" s="46"/>
      <c r="D275" s="46"/>
      <c r="E275" s="46"/>
      <c r="F275" s="6"/>
      <c r="G275" s="46"/>
      <c r="H275" s="2"/>
      <c r="I275" s="2"/>
      <c r="J275" s="2"/>
    </row>
    <row r="276" spans="2:10" x14ac:dyDescent="0.2">
      <c r="B276" s="2"/>
      <c r="C276" s="46"/>
      <c r="D276" s="46"/>
      <c r="E276" s="46"/>
      <c r="F276" s="2"/>
      <c r="G276" s="46"/>
      <c r="H276" s="2"/>
      <c r="I276" s="2"/>
      <c r="J276" s="2"/>
    </row>
    <row r="277" spans="2:10" x14ac:dyDescent="0.2">
      <c r="B277" s="2"/>
      <c r="C277" s="46"/>
      <c r="D277" s="46"/>
      <c r="E277" s="46"/>
      <c r="F277" s="6"/>
      <c r="G277" s="46"/>
      <c r="H277" s="2"/>
      <c r="I277" s="2"/>
      <c r="J277" s="2"/>
    </row>
    <row r="278" spans="2:10" x14ac:dyDescent="0.2">
      <c r="B278" s="2"/>
      <c r="C278" s="46"/>
      <c r="D278" s="46"/>
      <c r="E278" s="46"/>
      <c r="F278" s="2"/>
      <c r="G278" s="46"/>
      <c r="H278" s="2"/>
      <c r="I278" s="2"/>
      <c r="J278" s="2"/>
    </row>
    <row r="279" spans="2:10" x14ac:dyDescent="0.2">
      <c r="B279" s="2"/>
      <c r="C279" s="46"/>
      <c r="D279" s="46"/>
      <c r="E279" s="46"/>
      <c r="F279" s="2"/>
      <c r="G279" s="46"/>
      <c r="H279" s="2"/>
      <c r="I279" s="2"/>
      <c r="J279" s="2"/>
    </row>
    <row r="280" spans="2:10" x14ac:dyDescent="0.2">
      <c r="B280" s="2"/>
      <c r="C280" s="46"/>
      <c r="D280" s="46"/>
      <c r="E280" s="46"/>
      <c r="F280" s="6"/>
      <c r="G280" s="46"/>
      <c r="H280" s="2"/>
      <c r="I280" s="2"/>
      <c r="J280" s="2"/>
    </row>
    <row r="281" spans="2:10" x14ac:dyDescent="0.2">
      <c r="B281" s="2"/>
      <c r="C281" s="46"/>
      <c r="D281" s="46"/>
      <c r="E281" s="46"/>
      <c r="F281" s="6"/>
      <c r="G281" s="46"/>
      <c r="H281" s="2"/>
      <c r="I281" s="2"/>
      <c r="J281" s="2"/>
    </row>
    <row r="282" spans="2:10" x14ac:dyDescent="0.2">
      <c r="B282" s="2"/>
      <c r="C282" s="46"/>
      <c r="D282" s="46"/>
      <c r="E282" s="46"/>
      <c r="F282" s="2"/>
      <c r="G282" s="46"/>
      <c r="H282" s="2"/>
      <c r="I282" s="2"/>
      <c r="J282" s="2"/>
    </row>
    <row r="283" spans="2:10" x14ac:dyDescent="0.2">
      <c r="B283" s="2"/>
      <c r="C283" s="46"/>
      <c r="D283" s="46"/>
      <c r="E283" s="46"/>
      <c r="F283" s="2"/>
      <c r="G283" s="46"/>
      <c r="H283" s="2"/>
      <c r="I283" s="2"/>
      <c r="J283" s="2"/>
    </row>
    <row r="284" spans="2:10" x14ac:dyDescent="0.2">
      <c r="B284" s="2"/>
      <c r="C284" s="46"/>
      <c r="D284" s="46"/>
      <c r="E284" s="46"/>
      <c r="F284" s="2"/>
      <c r="G284" s="46"/>
      <c r="H284" s="2"/>
      <c r="I284" s="2"/>
      <c r="J284" s="2"/>
    </row>
    <row r="285" spans="2:10" x14ac:dyDescent="0.2">
      <c r="B285" s="2"/>
      <c r="C285" s="46"/>
      <c r="D285" s="46"/>
      <c r="E285" s="46"/>
      <c r="F285" s="6"/>
      <c r="G285" s="46"/>
      <c r="H285" s="2"/>
      <c r="I285" s="2"/>
      <c r="J285" s="2"/>
    </row>
    <row r="286" spans="2:10" x14ac:dyDescent="0.2">
      <c r="B286" s="2"/>
      <c r="C286" s="46"/>
      <c r="D286" s="46"/>
      <c r="E286" s="46"/>
      <c r="F286" s="6"/>
      <c r="G286" s="46"/>
      <c r="H286" s="2"/>
      <c r="I286" s="2"/>
      <c r="J286" s="2"/>
    </row>
    <row r="287" spans="2:10" x14ac:dyDescent="0.2">
      <c r="B287" s="2"/>
      <c r="C287" s="46"/>
      <c r="D287" s="46"/>
      <c r="E287" s="46"/>
      <c r="F287" s="2"/>
      <c r="G287" s="46"/>
      <c r="H287" s="2"/>
      <c r="I287" s="2"/>
      <c r="J287" s="2"/>
    </row>
    <row r="288" spans="2:10" x14ac:dyDescent="0.2">
      <c r="B288" s="2"/>
      <c r="C288" s="46"/>
      <c r="D288" s="46"/>
      <c r="E288" s="46"/>
      <c r="F288" s="2"/>
      <c r="G288" s="46"/>
      <c r="H288" s="2"/>
      <c r="I288" s="2"/>
      <c r="J288" s="2"/>
    </row>
    <row r="289" spans="2:10" x14ac:dyDescent="0.2">
      <c r="B289" s="2"/>
      <c r="C289" s="46"/>
      <c r="D289" s="46"/>
      <c r="E289" s="46"/>
      <c r="F289" s="2"/>
      <c r="G289" s="46"/>
      <c r="H289" s="2"/>
      <c r="I289" s="2"/>
      <c r="J289" s="2"/>
    </row>
    <row r="290" spans="2:10" x14ac:dyDescent="0.2">
      <c r="B290" s="2"/>
      <c r="C290" s="46"/>
      <c r="D290" s="46"/>
      <c r="E290" s="46"/>
      <c r="F290" s="2"/>
      <c r="G290" s="46"/>
      <c r="H290" s="2"/>
      <c r="I290" s="2"/>
      <c r="J290" s="2"/>
    </row>
    <row r="291" spans="2:10" x14ac:dyDescent="0.2">
      <c r="B291" s="2"/>
      <c r="C291" s="46"/>
      <c r="D291" s="46"/>
      <c r="E291" s="46"/>
      <c r="F291" s="6"/>
      <c r="G291" s="46"/>
      <c r="H291" s="2"/>
      <c r="I291" s="2"/>
      <c r="J291" s="2"/>
    </row>
    <row r="292" spans="2:10" x14ac:dyDescent="0.2">
      <c r="B292" s="2"/>
      <c r="C292" s="46"/>
      <c r="D292" s="46"/>
      <c r="E292" s="46"/>
      <c r="F292" s="2"/>
      <c r="G292" s="46"/>
      <c r="H292" s="2"/>
      <c r="I292" s="2"/>
      <c r="J292" s="2"/>
    </row>
    <row r="293" spans="2:10" x14ac:dyDescent="0.2">
      <c r="B293" s="2"/>
      <c r="C293" s="46"/>
      <c r="D293" s="46"/>
      <c r="E293" s="46"/>
      <c r="F293" s="6"/>
      <c r="G293" s="46"/>
      <c r="H293" s="2"/>
      <c r="I293" s="2"/>
      <c r="J293" s="2"/>
    </row>
    <row r="294" spans="2:10" x14ac:dyDescent="0.2">
      <c r="B294" s="2"/>
      <c r="C294" s="46"/>
      <c r="D294" s="46"/>
      <c r="E294" s="46"/>
      <c r="F294" s="6"/>
      <c r="G294" s="46"/>
      <c r="H294" s="2"/>
      <c r="I294" s="2"/>
      <c r="J294" s="2"/>
    </row>
    <row r="295" spans="2:10" x14ac:dyDescent="0.2">
      <c r="B295" s="2"/>
      <c r="C295" s="46"/>
      <c r="D295" s="46"/>
      <c r="E295" s="46"/>
      <c r="F295" s="2"/>
      <c r="G295" s="46"/>
      <c r="H295" s="2"/>
      <c r="I295" s="2"/>
      <c r="J295" s="2"/>
    </row>
    <row r="296" spans="2:10" x14ac:dyDescent="0.2">
      <c r="B296" s="2"/>
      <c r="C296" s="46"/>
      <c r="D296" s="46"/>
      <c r="E296" s="46"/>
      <c r="F296" s="2"/>
      <c r="G296" s="46"/>
      <c r="H296" s="2"/>
      <c r="I296" s="2"/>
      <c r="J296" s="2"/>
    </row>
    <row r="297" spans="2:10" x14ac:dyDescent="0.2">
      <c r="B297" s="2"/>
      <c r="C297" s="46"/>
      <c r="D297" s="46"/>
      <c r="E297" s="46"/>
      <c r="F297" s="2"/>
      <c r="G297" s="46"/>
      <c r="H297" s="2"/>
      <c r="I297" s="2"/>
      <c r="J297" s="2"/>
    </row>
    <row r="298" spans="2:10" x14ac:dyDescent="0.2">
      <c r="B298" s="2"/>
      <c r="C298" s="46"/>
      <c r="D298" s="46"/>
      <c r="E298" s="46"/>
      <c r="F298" s="6"/>
      <c r="G298" s="46"/>
      <c r="H298" s="2"/>
      <c r="I298" s="2"/>
      <c r="J298" s="2"/>
    </row>
    <row r="299" spans="2:10" x14ac:dyDescent="0.2">
      <c r="B299" s="2"/>
      <c r="C299" s="46"/>
      <c r="D299" s="46"/>
      <c r="E299" s="46"/>
      <c r="F299" s="6"/>
      <c r="G299" s="46"/>
      <c r="H299" s="2"/>
      <c r="I299" s="2"/>
      <c r="J299" s="2"/>
    </row>
    <row r="300" spans="2:10" x14ac:dyDescent="0.2">
      <c r="B300" s="2"/>
      <c r="C300" s="46"/>
      <c r="D300" s="46"/>
      <c r="E300" s="46"/>
      <c r="F300" s="2"/>
      <c r="G300" s="46"/>
      <c r="H300" s="2"/>
      <c r="I300" s="2"/>
      <c r="J300" s="2"/>
    </row>
    <row r="301" spans="2:10" x14ac:dyDescent="0.2">
      <c r="B301" s="2"/>
      <c r="C301" s="46"/>
      <c r="D301" s="46"/>
      <c r="E301" s="46"/>
      <c r="F301" s="2"/>
      <c r="G301" s="46"/>
      <c r="H301" s="2"/>
      <c r="I301" s="2"/>
      <c r="J301" s="2"/>
    </row>
    <row r="302" spans="2:10" x14ac:dyDescent="0.2">
      <c r="B302" s="2"/>
      <c r="C302" s="46"/>
      <c r="D302" s="46"/>
      <c r="E302" s="46"/>
      <c r="F302" s="2"/>
      <c r="G302" s="46"/>
      <c r="H302" s="2"/>
      <c r="I302" s="2"/>
      <c r="J302" s="2"/>
    </row>
    <row r="303" spans="2:10" x14ac:dyDescent="0.2">
      <c r="B303" s="2"/>
      <c r="C303" s="46"/>
      <c r="D303" s="46"/>
      <c r="E303" s="46"/>
      <c r="F303" s="2"/>
      <c r="G303" s="46"/>
      <c r="H303" s="2"/>
      <c r="I303" s="2"/>
      <c r="J303" s="2"/>
    </row>
    <row r="304" spans="2:10" x14ac:dyDescent="0.2">
      <c r="B304" s="2"/>
      <c r="C304" s="46"/>
      <c r="D304" s="46"/>
      <c r="E304" s="46"/>
      <c r="F304" s="2"/>
      <c r="G304" s="46"/>
      <c r="H304" s="2"/>
      <c r="I304" s="2"/>
      <c r="J304" s="2"/>
    </row>
    <row r="305" spans="2:10" x14ac:dyDescent="0.2">
      <c r="B305" s="2"/>
      <c r="C305" s="46"/>
      <c r="D305" s="46"/>
      <c r="E305" s="46"/>
      <c r="F305" s="6"/>
      <c r="G305" s="46"/>
      <c r="H305" s="2"/>
      <c r="I305" s="2"/>
      <c r="J305" s="2"/>
    </row>
    <row r="306" spans="2:10" x14ac:dyDescent="0.2">
      <c r="B306" s="2"/>
      <c r="C306" s="46"/>
      <c r="D306" s="46"/>
      <c r="E306" s="46"/>
      <c r="F306" s="2"/>
      <c r="G306" s="46"/>
      <c r="H306" s="2"/>
      <c r="I306" s="2"/>
      <c r="J306" s="2"/>
    </row>
    <row r="307" spans="2:10" x14ac:dyDescent="0.2">
      <c r="B307" s="2"/>
      <c r="C307" s="46"/>
      <c r="D307" s="46"/>
      <c r="E307" s="46"/>
      <c r="F307" s="2"/>
      <c r="G307" s="46"/>
      <c r="H307" s="2"/>
      <c r="I307" s="2"/>
      <c r="J307" s="2"/>
    </row>
    <row r="308" spans="2:10" x14ac:dyDescent="0.2">
      <c r="B308" s="2"/>
      <c r="C308" s="46"/>
      <c r="D308" s="46"/>
      <c r="E308" s="46"/>
      <c r="F308" s="2"/>
      <c r="G308" s="46"/>
      <c r="H308" s="2"/>
      <c r="I308" s="2"/>
      <c r="J308" s="2"/>
    </row>
    <row r="309" spans="2:10" x14ac:dyDescent="0.2">
      <c r="B309" s="2"/>
      <c r="C309" s="46"/>
      <c r="D309" s="46"/>
      <c r="E309" s="46"/>
      <c r="F309" s="2"/>
      <c r="G309" s="46"/>
      <c r="H309" s="2"/>
      <c r="I309" s="2"/>
      <c r="J309" s="2"/>
    </row>
    <row r="310" spans="2:10" x14ac:dyDescent="0.2">
      <c r="B310" s="2"/>
      <c r="C310" s="46"/>
      <c r="D310" s="46"/>
      <c r="E310" s="46"/>
      <c r="F310" s="6"/>
      <c r="G310" s="46"/>
      <c r="H310" s="2"/>
      <c r="I310" s="2"/>
      <c r="J310" s="2"/>
    </row>
    <row r="311" spans="2:10" x14ac:dyDescent="0.2">
      <c r="B311" s="2"/>
      <c r="C311" s="46"/>
      <c r="D311" s="46"/>
      <c r="E311" s="46"/>
      <c r="F311" s="2"/>
      <c r="G311" s="46"/>
      <c r="H311" s="2"/>
      <c r="I311" s="2"/>
      <c r="J311" s="2"/>
    </row>
    <row r="312" spans="2:10" x14ac:dyDescent="0.2">
      <c r="B312" s="2"/>
      <c r="C312" s="46"/>
      <c r="D312" s="46"/>
      <c r="E312" s="46"/>
      <c r="F312" s="2"/>
      <c r="G312" s="46"/>
      <c r="H312" s="2"/>
      <c r="I312" s="2"/>
      <c r="J312" s="2"/>
    </row>
    <row r="313" spans="2:10" x14ac:dyDescent="0.2">
      <c r="B313" s="2"/>
      <c r="C313" s="46"/>
      <c r="D313" s="46"/>
      <c r="E313" s="46"/>
      <c r="F313" s="2"/>
      <c r="G313" s="46"/>
      <c r="H313" s="2"/>
      <c r="I313" s="2"/>
      <c r="J313" s="2"/>
    </row>
    <row r="314" spans="2:10" x14ac:dyDescent="0.2">
      <c r="B314" s="2"/>
      <c r="C314" s="46"/>
      <c r="D314" s="46"/>
      <c r="E314" s="46"/>
      <c r="F314" s="2"/>
      <c r="G314" s="46"/>
      <c r="H314" s="2"/>
      <c r="I314" s="2"/>
      <c r="J314" s="2"/>
    </row>
    <row r="315" spans="2:10" x14ac:dyDescent="0.2">
      <c r="B315" s="2"/>
      <c r="C315" s="46"/>
      <c r="D315" s="46"/>
      <c r="E315" s="46"/>
      <c r="F315" s="2"/>
      <c r="G315" s="46"/>
      <c r="H315" s="2"/>
      <c r="I315" s="2"/>
      <c r="J315" s="2"/>
    </row>
    <row r="316" spans="2:10" x14ac:dyDescent="0.2">
      <c r="B316" s="2"/>
      <c r="C316" s="46"/>
      <c r="D316" s="46"/>
      <c r="E316" s="46"/>
      <c r="F316" s="6"/>
      <c r="G316" s="46"/>
      <c r="H316" s="2"/>
      <c r="I316" s="2"/>
      <c r="J316" s="2"/>
    </row>
    <row r="317" spans="2:10" x14ac:dyDescent="0.2">
      <c r="B317" s="2"/>
      <c r="C317" s="46"/>
      <c r="D317" s="46"/>
      <c r="E317" s="46"/>
      <c r="F317" s="6"/>
      <c r="G317" s="46"/>
      <c r="H317" s="2"/>
      <c r="I317" s="2"/>
      <c r="J317" s="2"/>
    </row>
    <row r="318" spans="2:10" x14ac:dyDescent="0.2">
      <c r="B318" s="2"/>
      <c r="C318" s="46"/>
      <c r="D318" s="46"/>
      <c r="E318" s="46"/>
      <c r="F318" s="6"/>
      <c r="G318" s="46"/>
      <c r="H318" s="2"/>
      <c r="I318" s="2"/>
      <c r="J318" s="2"/>
    </row>
    <row r="319" spans="2:10" x14ac:dyDescent="0.2">
      <c r="B319" s="2"/>
      <c r="C319" s="46"/>
      <c r="D319" s="46"/>
      <c r="E319" s="46"/>
      <c r="F319" s="6"/>
      <c r="G319" s="46"/>
      <c r="H319" s="2"/>
      <c r="I319" s="2"/>
      <c r="J319" s="2"/>
    </row>
    <row r="320" spans="2:10" x14ac:dyDescent="0.2">
      <c r="B320" s="2"/>
      <c r="C320" s="46"/>
      <c r="D320" s="46"/>
      <c r="E320" s="46"/>
      <c r="F320" s="2"/>
      <c r="G320" s="46"/>
      <c r="H320" s="2"/>
      <c r="I320" s="2"/>
      <c r="J320" s="2"/>
    </row>
    <row r="321" spans="2:10" x14ac:dyDescent="0.2">
      <c r="B321" s="2"/>
      <c r="C321" s="46"/>
      <c r="D321" s="46"/>
      <c r="E321" s="46"/>
      <c r="F321" s="2"/>
      <c r="G321" s="46"/>
      <c r="H321" s="2"/>
      <c r="I321" s="2"/>
      <c r="J321" s="2"/>
    </row>
    <row r="322" spans="2:10" x14ac:dyDescent="0.2">
      <c r="B322" s="2"/>
      <c r="C322" s="46"/>
      <c r="D322" s="46"/>
      <c r="E322" s="46"/>
      <c r="F322" s="2"/>
      <c r="G322" s="46"/>
      <c r="H322" s="2"/>
      <c r="I322" s="2"/>
      <c r="J322" s="2"/>
    </row>
    <row r="323" spans="2:10" x14ac:dyDescent="0.2">
      <c r="B323" s="2"/>
      <c r="C323" s="46"/>
      <c r="D323" s="46"/>
      <c r="E323" s="46"/>
      <c r="F323" s="2"/>
      <c r="G323" s="46"/>
      <c r="H323" s="2"/>
      <c r="I323" s="2"/>
      <c r="J323" s="2"/>
    </row>
    <row r="324" spans="2:10" x14ac:dyDescent="0.2">
      <c r="B324" s="2"/>
      <c r="C324" s="46"/>
      <c r="D324" s="46"/>
      <c r="E324" s="46"/>
      <c r="F324" s="2"/>
      <c r="G324" s="46"/>
      <c r="H324" s="2"/>
      <c r="I324" s="2"/>
      <c r="J324" s="2"/>
    </row>
    <row r="325" spans="2:10" x14ac:dyDescent="0.2">
      <c r="B325" s="2"/>
      <c r="C325" s="46"/>
      <c r="D325" s="46"/>
      <c r="E325" s="46"/>
      <c r="F325" s="2"/>
      <c r="G325" s="46"/>
      <c r="H325" s="2"/>
      <c r="I325" s="2"/>
      <c r="J325" s="2"/>
    </row>
    <row r="326" spans="2:10" x14ac:dyDescent="0.2">
      <c r="B326" s="2"/>
      <c r="C326" s="46"/>
      <c r="D326" s="46"/>
      <c r="E326" s="46"/>
      <c r="F326" s="2"/>
      <c r="G326" s="46"/>
      <c r="H326" s="2"/>
      <c r="I326" s="2"/>
      <c r="J326" s="2"/>
    </row>
    <row r="327" spans="2:10" x14ac:dyDescent="0.2">
      <c r="B327" s="2"/>
      <c r="C327" s="46"/>
      <c r="D327" s="46"/>
      <c r="E327" s="46"/>
      <c r="F327" s="2"/>
      <c r="G327" s="46"/>
      <c r="H327" s="2"/>
      <c r="I327" s="2"/>
      <c r="J327" s="2"/>
    </row>
    <row r="328" spans="2:10" x14ac:dyDescent="0.2">
      <c r="B328" s="2"/>
      <c r="C328" s="46"/>
      <c r="D328" s="46"/>
      <c r="E328" s="46"/>
      <c r="F328" s="2"/>
      <c r="G328" s="46"/>
      <c r="H328" s="2"/>
      <c r="I328" s="2"/>
      <c r="J328" s="2"/>
    </row>
    <row r="329" spans="2:10" x14ac:dyDescent="0.2">
      <c r="B329" s="2"/>
      <c r="C329" s="46"/>
      <c r="D329" s="46"/>
      <c r="E329" s="46"/>
      <c r="F329" s="2"/>
      <c r="G329" s="46"/>
      <c r="H329" s="2"/>
      <c r="I329" s="2"/>
      <c r="J329" s="2"/>
    </row>
    <row r="330" spans="2:10" x14ac:dyDescent="0.2">
      <c r="B330" s="2"/>
      <c r="C330" s="46"/>
      <c r="D330" s="46"/>
      <c r="E330" s="46"/>
      <c r="F330" s="2"/>
      <c r="G330" s="46"/>
      <c r="H330" s="2"/>
      <c r="I330" s="2"/>
      <c r="J330" s="2"/>
    </row>
    <row r="331" spans="2:10" x14ac:dyDescent="0.2">
      <c r="B331" s="2"/>
      <c r="C331" s="46"/>
      <c r="D331" s="46"/>
      <c r="E331" s="46"/>
      <c r="F331" s="6"/>
      <c r="G331" s="46"/>
      <c r="H331" s="2"/>
      <c r="I331" s="2"/>
      <c r="J331" s="2"/>
    </row>
    <row r="332" spans="2:10" x14ac:dyDescent="0.2">
      <c r="B332" s="2"/>
      <c r="C332" s="46"/>
      <c r="D332" s="46"/>
      <c r="E332" s="46"/>
      <c r="F332" s="2"/>
      <c r="G332" s="46"/>
      <c r="H332" s="2"/>
      <c r="I332" s="2"/>
      <c r="J332" s="2"/>
    </row>
    <row r="333" spans="2:10" x14ac:dyDescent="0.2">
      <c r="B333" s="2"/>
      <c r="C333" s="46"/>
      <c r="D333" s="46"/>
      <c r="E333" s="46"/>
      <c r="F333" s="2"/>
      <c r="G333" s="46"/>
      <c r="H333" s="2"/>
      <c r="I333" s="2"/>
      <c r="J333" s="2"/>
    </row>
    <row r="334" spans="2:10" x14ac:dyDescent="0.2">
      <c r="B334" s="2"/>
      <c r="C334" s="46"/>
      <c r="D334" s="46"/>
      <c r="E334" s="46"/>
      <c r="F334" s="2"/>
      <c r="G334" s="46"/>
      <c r="H334" s="2"/>
      <c r="I334" s="2"/>
      <c r="J334" s="2"/>
    </row>
    <row r="335" spans="2:10" x14ac:dyDescent="0.2">
      <c r="B335" s="2"/>
      <c r="C335" s="46"/>
      <c r="D335" s="46"/>
      <c r="E335" s="46"/>
      <c r="F335" s="2"/>
      <c r="G335" s="46"/>
      <c r="H335" s="2"/>
      <c r="I335" s="2"/>
      <c r="J335" s="2"/>
    </row>
    <row r="336" spans="2:10" x14ac:dyDescent="0.2">
      <c r="B336" s="2"/>
      <c r="C336" s="46"/>
      <c r="D336" s="46"/>
      <c r="E336" s="46"/>
      <c r="F336" s="2"/>
      <c r="G336" s="46"/>
      <c r="H336" s="2"/>
      <c r="I336" s="2"/>
      <c r="J336" s="2"/>
    </row>
    <row r="337" spans="2:10" x14ac:dyDescent="0.2">
      <c r="B337" s="2"/>
      <c r="C337" s="46"/>
      <c r="D337" s="46"/>
      <c r="E337" s="46"/>
      <c r="F337" s="2"/>
      <c r="G337" s="46"/>
      <c r="H337" s="2"/>
      <c r="I337" s="2"/>
      <c r="J337" s="2"/>
    </row>
    <row r="338" spans="2:10" x14ac:dyDescent="0.2">
      <c r="B338" s="2"/>
      <c r="C338" s="46"/>
      <c r="D338" s="46"/>
      <c r="E338" s="46"/>
      <c r="F338" s="6"/>
      <c r="G338" s="46"/>
      <c r="H338" s="2"/>
      <c r="I338" s="2"/>
      <c r="J338" s="2"/>
    </row>
    <row r="339" spans="2:10" x14ac:dyDescent="0.2">
      <c r="B339" s="2"/>
      <c r="C339" s="46"/>
      <c r="D339" s="46"/>
      <c r="E339" s="46"/>
      <c r="F339" s="6"/>
      <c r="G339" s="46"/>
      <c r="H339" s="2"/>
      <c r="I339" s="2"/>
      <c r="J339" s="2"/>
    </row>
    <row r="340" spans="2:10" x14ac:dyDescent="0.2">
      <c r="B340" s="2"/>
      <c r="C340" s="46"/>
      <c r="D340" s="46"/>
      <c r="E340" s="46"/>
      <c r="F340" s="6"/>
      <c r="G340" s="46"/>
      <c r="H340" s="2"/>
      <c r="I340" s="2"/>
      <c r="J340" s="2"/>
    </row>
    <row r="341" spans="2:10" x14ac:dyDescent="0.2">
      <c r="B341" s="2"/>
      <c r="C341" s="46"/>
      <c r="D341" s="46"/>
      <c r="E341" s="46"/>
      <c r="F341" s="2"/>
      <c r="G341" s="46"/>
      <c r="H341" s="2"/>
      <c r="I341" s="2"/>
      <c r="J341" s="2"/>
    </row>
    <row r="342" spans="2:10" x14ac:dyDescent="0.2">
      <c r="B342" s="2"/>
      <c r="C342" s="46"/>
      <c r="D342" s="46"/>
      <c r="E342" s="46"/>
      <c r="F342" s="6"/>
      <c r="G342" s="46"/>
      <c r="H342" s="2"/>
      <c r="I342" s="2"/>
      <c r="J342" s="2"/>
    </row>
    <row r="343" spans="2:10" x14ac:dyDescent="0.2">
      <c r="B343" s="2"/>
      <c r="C343" s="46"/>
      <c r="D343" s="46"/>
      <c r="E343" s="46"/>
      <c r="F343" s="2"/>
      <c r="G343" s="46"/>
      <c r="H343" s="2"/>
      <c r="I343" s="2"/>
      <c r="J343" s="2"/>
    </row>
    <row r="344" spans="2:10" x14ac:dyDescent="0.2">
      <c r="B344" s="2"/>
      <c r="C344" s="46"/>
      <c r="D344" s="46"/>
      <c r="E344" s="46"/>
      <c r="F344" s="2"/>
      <c r="G344" s="46"/>
      <c r="H344" s="2"/>
      <c r="I344" s="2"/>
      <c r="J344" s="2"/>
    </row>
    <row r="345" spans="2:10" x14ac:dyDescent="0.2">
      <c r="B345" s="2"/>
      <c r="C345" s="46"/>
      <c r="D345" s="46"/>
      <c r="E345" s="46"/>
      <c r="F345" s="6"/>
      <c r="G345" s="46"/>
      <c r="H345" s="2"/>
      <c r="I345" s="2"/>
      <c r="J345" s="2"/>
    </row>
    <row r="346" spans="2:10" x14ac:dyDescent="0.2">
      <c r="B346" s="2"/>
      <c r="C346" s="46"/>
      <c r="D346" s="46"/>
      <c r="E346" s="46"/>
      <c r="F346" s="6"/>
      <c r="G346" s="46"/>
      <c r="H346" s="2"/>
      <c r="I346" s="2"/>
      <c r="J346" s="2"/>
    </row>
    <row r="347" spans="2:10" x14ac:dyDescent="0.2">
      <c r="B347" s="2"/>
      <c r="C347" s="46"/>
      <c r="D347" s="46"/>
      <c r="E347" s="46"/>
      <c r="F347" s="2"/>
      <c r="G347" s="46"/>
      <c r="H347" s="2"/>
      <c r="I347" s="2"/>
      <c r="J347" s="2"/>
    </row>
    <row r="348" spans="2:10" x14ac:dyDescent="0.2">
      <c r="B348" s="2"/>
      <c r="C348" s="46"/>
      <c r="D348" s="46"/>
      <c r="E348" s="46"/>
      <c r="F348" s="6"/>
      <c r="G348" s="46"/>
      <c r="H348" s="2"/>
      <c r="I348" s="2"/>
      <c r="J348" s="2"/>
    </row>
    <row r="349" spans="2:10" x14ac:dyDescent="0.2">
      <c r="B349" s="2"/>
      <c r="C349" s="46"/>
      <c r="D349" s="46"/>
      <c r="E349" s="46"/>
      <c r="F349" s="6"/>
      <c r="G349" s="46"/>
      <c r="H349" s="2"/>
      <c r="I349" s="2"/>
      <c r="J349" s="2"/>
    </row>
    <row r="350" spans="2:10" x14ac:dyDescent="0.2">
      <c r="B350" s="2"/>
      <c r="C350" s="46"/>
      <c r="D350" s="46"/>
      <c r="E350" s="46"/>
      <c r="F350" s="6"/>
      <c r="G350" s="46"/>
      <c r="H350" s="2"/>
      <c r="I350" s="2"/>
      <c r="J350" s="2"/>
    </row>
    <row r="351" spans="2:10" x14ac:dyDescent="0.2">
      <c r="B351" s="2"/>
      <c r="C351" s="46"/>
      <c r="D351" s="46"/>
      <c r="E351" s="46"/>
      <c r="F351" s="6"/>
      <c r="G351" s="46"/>
      <c r="H351" s="2"/>
      <c r="I351" s="2"/>
      <c r="J351" s="2"/>
    </row>
    <row r="352" spans="2:10" x14ac:dyDescent="0.2">
      <c r="B352" s="2"/>
      <c r="C352" s="46"/>
      <c r="D352" s="46"/>
      <c r="E352" s="46"/>
      <c r="F352" s="2"/>
      <c r="G352" s="46"/>
      <c r="H352" s="2"/>
      <c r="I352" s="2"/>
      <c r="J352" s="2"/>
    </row>
    <row r="353" spans="2:10" x14ac:dyDescent="0.2">
      <c r="B353" s="2"/>
      <c r="C353" s="46"/>
      <c r="D353" s="46"/>
      <c r="E353" s="46"/>
      <c r="F353" s="2"/>
      <c r="G353" s="46"/>
      <c r="H353" s="2"/>
      <c r="I353" s="2"/>
      <c r="J353" s="2"/>
    </row>
    <row r="354" spans="2:10" x14ac:dyDescent="0.2">
      <c r="B354" s="2"/>
      <c r="C354" s="46"/>
      <c r="D354" s="46"/>
      <c r="E354" s="46"/>
      <c r="F354" s="6"/>
      <c r="G354" s="46"/>
      <c r="H354" s="2"/>
      <c r="I354" s="2"/>
      <c r="J354" s="2"/>
    </row>
    <row r="355" spans="2:10" x14ac:dyDescent="0.2">
      <c r="B355" s="2"/>
      <c r="C355" s="46"/>
      <c r="D355" s="46"/>
      <c r="E355" s="46"/>
      <c r="F355" s="6"/>
      <c r="G355" s="46"/>
      <c r="H355" s="2"/>
      <c r="I355" s="2"/>
      <c r="J355" s="2"/>
    </row>
    <row r="356" spans="2:10" x14ac:dyDescent="0.2">
      <c r="B356" s="2"/>
      <c r="C356" s="46"/>
      <c r="D356" s="46"/>
      <c r="E356" s="46"/>
      <c r="F356" s="6"/>
      <c r="G356" s="46"/>
      <c r="H356" s="2"/>
      <c r="I356" s="2"/>
      <c r="J356" s="2"/>
    </row>
    <row r="357" spans="2:10" x14ac:dyDescent="0.2">
      <c r="B357" s="2"/>
      <c r="C357" s="46"/>
      <c r="D357" s="46"/>
      <c r="E357" s="46"/>
      <c r="F357" s="2"/>
      <c r="G357" s="46"/>
      <c r="H357" s="2"/>
      <c r="I357" s="2"/>
      <c r="J357" s="2"/>
    </row>
    <row r="358" spans="2:10" x14ac:dyDescent="0.2">
      <c r="B358" s="2"/>
      <c r="C358" s="46"/>
      <c r="D358" s="46"/>
      <c r="E358" s="46"/>
      <c r="F358" s="6"/>
      <c r="G358" s="46"/>
      <c r="H358" s="2"/>
      <c r="I358" s="2"/>
      <c r="J358" s="2"/>
    </row>
    <row r="359" spans="2:10" x14ac:dyDescent="0.2">
      <c r="B359" s="2"/>
      <c r="C359" s="46"/>
      <c r="D359" s="46"/>
      <c r="E359" s="46"/>
      <c r="F359" s="6"/>
      <c r="G359" s="46"/>
      <c r="H359" s="2"/>
      <c r="I359" s="2"/>
      <c r="J359" s="2"/>
    </row>
    <row r="360" spans="2:10" x14ac:dyDescent="0.2">
      <c r="B360" s="2"/>
      <c r="C360" s="46"/>
      <c r="D360" s="46"/>
      <c r="E360" s="46"/>
      <c r="F360" s="2"/>
      <c r="G360" s="46"/>
      <c r="H360" s="2"/>
      <c r="I360" s="2"/>
      <c r="J360" s="2"/>
    </row>
    <row r="361" spans="2:10" x14ac:dyDescent="0.2">
      <c r="B361" s="2"/>
      <c r="C361" s="46"/>
      <c r="D361" s="46"/>
      <c r="E361" s="46"/>
      <c r="F361" s="2"/>
      <c r="G361" s="46"/>
      <c r="H361" s="2"/>
      <c r="I361" s="2"/>
      <c r="J361" s="2"/>
    </row>
    <row r="362" spans="2:10" x14ac:dyDescent="0.2">
      <c r="B362" s="2"/>
      <c r="C362" s="46"/>
      <c r="D362" s="46"/>
      <c r="E362" s="46"/>
      <c r="F362" s="2"/>
      <c r="G362" s="46"/>
      <c r="H362" s="2"/>
      <c r="I362" s="2"/>
      <c r="J362" s="2"/>
    </row>
    <row r="363" spans="2:10" x14ac:dyDescent="0.2">
      <c r="B363" s="2"/>
      <c r="C363" s="46"/>
      <c r="D363" s="46"/>
      <c r="E363" s="46"/>
      <c r="F363" s="2"/>
      <c r="G363" s="46"/>
      <c r="H363" s="2"/>
      <c r="I363" s="2"/>
      <c r="J363" s="2"/>
    </row>
    <row r="364" spans="2:10" x14ac:dyDescent="0.2">
      <c r="B364" s="2"/>
      <c r="C364" s="46"/>
      <c r="D364" s="46"/>
      <c r="E364" s="46"/>
      <c r="F364" s="6"/>
      <c r="G364" s="46"/>
      <c r="H364" s="2"/>
      <c r="I364" s="2"/>
      <c r="J364" s="2"/>
    </row>
    <row r="365" spans="2:10" x14ac:dyDescent="0.2">
      <c r="B365" s="2"/>
      <c r="C365" s="46"/>
      <c r="D365" s="46"/>
      <c r="E365" s="46"/>
      <c r="F365" s="6"/>
      <c r="G365" s="46"/>
      <c r="H365" s="2"/>
      <c r="I365" s="2"/>
      <c r="J365" s="2"/>
    </row>
    <row r="366" spans="2:10" x14ac:dyDescent="0.2">
      <c r="B366" s="2"/>
      <c r="C366" s="46"/>
      <c r="D366" s="46"/>
      <c r="E366" s="46"/>
      <c r="F366" s="2"/>
      <c r="G366" s="46"/>
      <c r="H366" s="2"/>
      <c r="I366" s="2"/>
      <c r="J366" s="2"/>
    </row>
    <row r="367" spans="2:10" x14ac:dyDescent="0.2">
      <c r="B367" s="2"/>
      <c r="C367" s="46"/>
      <c r="D367" s="46"/>
      <c r="E367" s="46"/>
      <c r="F367" s="2"/>
      <c r="G367" s="46"/>
      <c r="H367" s="2"/>
      <c r="I367" s="2"/>
      <c r="J367" s="2"/>
    </row>
    <row r="368" spans="2:10" x14ac:dyDescent="0.2">
      <c r="B368" s="2"/>
      <c r="C368" s="46"/>
      <c r="D368" s="46"/>
      <c r="E368" s="46"/>
      <c r="F368" s="2"/>
      <c r="G368" s="46"/>
      <c r="H368" s="2"/>
      <c r="I368" s="2"/>
      <c r="J368" s="2"/>
    </row>
    <row r="369" spans="2:10" x14ac:dyDescent="0.2">
      <c r="B369" s="2"/>
      <c r="C369" s="46"/>
      <c r="D369" s="46"/>
      <c r="E369" s="46"/>
      <c r="F369" s="6"/>
      <c r="G369" s="46"/>
      <c r="H369" s="2"/>
      <c r="I369" s="2"/>
      <c r="J369" s="2"/>
    </row>
    <row r="370" spans="2:10" x14ac:dyDescent="0.2">
      <c r="B370" s="2"/>
      <c r="C370" s="46"/>
      <c r="D370" s="46"/>
      <c r="E370" s="46"/>
      <c r="F370" s="2"/>
      <c r="G370" s="46"/>
      <c r="H370" s="2"/>
      <c r="I370" s="2"/>
      <c r="J370" s="2"/>
    </row>
    <row r="371" spans="2:10" x14ac:dyDescent="0.2">
      <c r="B371" s="2"/>
      <c r="C371" s="46"/>
      <c r="D371" s="46"/>
      <c r="E371" s="46"/>
      <c r="F371" s="2"/>
      <c r="G371" s="46"/>
      <c r="H371" s="2"/>
      <c r="I371" s="2"/>
      <c r="J371" s="2"/>
    </row>
    <row r="372" spans="2:10" x14ac:dyDescent="0.2">
      <c r="B372" s="2"/>
      <c r="C372" s="46"/>
      <c r="D372" s="46"/>
      <c r="E372" s="46"/>
      <c r="F372" s="2"/>
      <c r="G372" s="46"/>
      <c r="H372" s="2"/>
      <c r="I372" s="2"/>
      <c r="J372" s="2"/>
    </row>
    <row r="373" spans="2:10" x14ac:dyDescent="0.2">
      <c r="B373" s="2"/>
      <c r="C373" s="46"/>
      <c r="D373" s="46"/>
      <c r="E373" s="46"/>
      <c r="F373" s="2"/>
      <c r="G373" s="46"/>
      <c r="H373" s="2"/>
      <c r="I373" s="2"/>
      <c r="J373" s="2"/>
    </row>
    <row r="374" spans="2:10" x14ac:dyDescent="0.2">
      <c r="B374" s="2"/>
      <c r="C374" s="46"/>
      <c r="D374" s="46"/>
      <c r="E374" s="46"/>
      <c r="F374" s="6"/>
      <c r="G374" s="46"/>
      <c r="H374" s="2"/>
      <c r="I374" s="2"/>
      <c r="J374" s="2"/>
    </row>
    <row r="375" spans="2:10" x14ac:dyDescent="0.2">
      <c r="B375" s="2"/>
      <c r="C375" s="46"/>
      <c r="D375" s="46"/>
      <c r="E375" s="46"/>
      <c r="F375" s="2"/>
      <c r="G375" s="46"/>
      <c r="H375" s="2"/>
      <c r="I375" s="2"/>
      <c r="J375" s="2"/>
    </row>
    <row r="376" spans="2:10" x14ac:dyDescent="0.2">
      <c r="B376" s="2"/>
      <c r="C376" s="46"/>
      <c r="D376" s="46"/>
      <c r="E376" s="46"/>
      <c r="F376" s="2"/>
      <c r="G376" s="46"/>
      <c r="H376" s="2"/>
      <c r="I376" s="2"/>
      <c r="J376" s="2"/>
    </row>
    <row r="377" spans="2:10" x14ac:dyDescent="0.2">
      <c r="B377" s="2"/>
      <c r="C377" s="46"/>
      <c r="D377" s="46"/>
      <c r="E377" s="46"/>
      <c r="F377" s="2"/>
      <c r="G377" s="46"/>
      <c r="H377" s="2"/>
      <c r="I377" s="2"/>
      <c r="J377" s="2"/>
    </row>
    <row r="378" spans="2:10" x14ac:dyDescent="0.2">
      <c r="B378" s="2"/>
      <c r="C378" s="46"/>
      <c r="D378" s="46"/>
      <c r="E378" s="46"/>
      <c r="F378" s="2"/>
      <c r="G378" s="46"/>
      <c r="H378" s="2"/>
      <c r="I378" s="2"/>
      <c r="J378" s="2"/>
    </row>
    <row r="379" spans="2:10" x14ac:dyDescent="0.2">
      <c r="B379" s="2"/>
      <c r="C379" s="46"/>
      <c r="D379" s="46"/>
      <c r="E379" s="46"/>
      <c r="F379" s="2"/>
      <c r="G379" s="46"/>
      <c r="H379" s="2"/>
      <c r="I379" s="2"/>
      <c r="J379" s="2"/>
    </row>
    <row r="380" spans="2:10" x14ac:dyDescent="0.2">
      <c r="B380" s="2"/>
      <c r="C380" s="46"/>
      <c r="D380" s="46"/>
      <c r="E380" s="46"/>
      <c r="F380" s="2"/>
      <c r="G380" s="46"/>
      <c r="H380" s="2"/>
      <c r="I380" s="2"/>
      <c r="J380" s="2"/>
    </row>
    <row r="381" spans="2:10" x14ac:dyDescent="0.2">
      <c r="B381" s="2"/>
      <c r="C381" s="46"/>
      <c r="D381" s="46"/>
      <c r="E381" s="46"/>
      <c r="F381" s="6"/>
      <c r="G381" s="46"/>
      <c r="H381" s="2"/>
      <c r="I381" s="2"/>
      <c r="J381" s="2"/>
    </row>
    <row r="382" spans="2:10" x14ac:dyDescent="0.2">
      <c r="B382" s="2"/>
      <c r="C382" s="46"/>
      <c r="D382" s="46"/>
      <c r="E382" s="46"/>
      <c r="F382" s="2"/>
      <c r="G382" s="46"/>
      <c r="H382" s="2"/>
      <c r="I382" s="2"/>
      <c r="J382" s="2"/>
    </row>
    <row r="383" spans="2:10" x14ac:dyDescent="0.2">
      <c r="B383" s="2"/>
      <c r="C383" s="46"/>
      <c r="D383" s="46"/>
      <c r="E383" s="46"/>
      <c r="F383" s="6"/>
      <c r="G383" s="46"/>
      <c r="H383" s="2"/>
      <c r="I383" s="2"/>
      <c r="J383" s="2"/>
    </row>
    <row r="384" spans="2:10" x14ac:dyDescent="0.2">
      <c r="B384" s="2"/>
      <c r="C384" s="46"/>
      <c r="D384" s="46"/>
      <c r="E384" s="46"/>
      <c r="F384" s="2"/>
      <c r="G384" s="46"/>
      <c r="H384" s="2"/>
      <c r="I384" s="2"/>
      <c r="J384" s="2"/>
    </row>
    <row r="385" spans="2:10" x14ac:dyDescent="0.2">
      <c r="B385" s="2"/>
      <c r="C385" s="46"/>
      <c r="D385" s="46"/>
      <c r="E385" s="46"/>
      <c r="F385" s="6"/>
      <c r="G385" s="46"/>
      <c r="H385" s="2"/>
      <c r="I385" s="2"/>
      <c r="J385" s="2"/>
    </row>
    <row r="386" spans="2:10" x14ac:dyDescent="0.2">
      <c r="B386" s="2"/>
      <c r="C386" s="46"/>
      <c r="D386" s="46"/>
      <c r="E386" s="46"/>
      <c r="F386" s="6"/>
      <c r="G386" s="46"/>
      <c r="H386" s="2"/>
      <c r="I386" s="2"/>
      <c r="J386" s="2"/>
    </row>
    <row r="387" spans="2:10" x14ac:dyDescent="0.2">
      <c r="B387" s="2"/>
      <c r="C387" s="46"/>
      <c r="D387" s="46"/>
      <c r="E387" s="46"/>
      <c r="F387" s="2"/>
      <c r="G387" s="46"/>
      <c r="H387" s="2"/>
      <c r="I387" s="2"/>
      <c r="J387" s="2"/>
    </row>
    <row r="388" spans="2:10" x14ac:dyDescent="0.2">
      <c r="B388" s="2"/>
      <c r="C388" s="46"/>
      <c r="D388" s="46"/>
      <c r="E388" s="46"/>
      <c r="F388" s="2"/>
      <c r="G388" s="46"/>
      <c r="H388" s="2"/>
      <c r="I388" s="2"/>
      <c r="J388" s="2"/>
    </row>
    <row r="389" spans="2:10" x14ac:dyDescent="0.2">
      <c r="B389" s="2"/>
      <c r="C389" s="46"/>
      <c r="D389" s="46"/>
      <c r="E389" s="46"/>
      <c r="F389" s="2"/>
      <c r="G389" s="46"/>
      <c r="H389" s="2"/>
      <c r="I389" s="2"/>
      <c r="J389" s="2"/>
    </row>
    <row r="390" spans="2:10" x14ac:dyDescent="0.2">
      <c r="B390" s="2"/>
      <c r="C390" s="46"/>
      <c r="D390" s="46"/>
      <c r="E390" s="46"/>
      <c r="F390" s="2"/>
      <c r="G390" s="46"/>
      <c r="H390" s="2"/>
      <c r="I390" s="2"/>
      <c r="J390" s="2"/>
    </row>
    <row r="391" spans="2:10" x14ac:dyDescent="0.2">
      <c r="B391" s="2"/>
      <c r="C391" s="46"/>
      <c r="D391" s="46"/>
      <c r="E391" s="46"/>
      <c r="F391" s="2"/>
      <c r="G391" s="46"/>
      <c r="H391" s="2"/>
      <c r="I391" s="2"/>
      <c r="J391" s="2"/>
    </row>
    <row r="392" spans="2:10" x14ac:dyDescent="0.2">
      <c r="B392" s="2"/>
      <c r="C392" s="46"/>
      <c r="D392" s="46"/>
      <c r="E392" s="46"/>
      <c r="F392" s="6"/>
      <c r="G392" s="46"/>
      <c r="H392" s="2"/>
      <c r="I392" s="2"/>
      <c r="J392" s="2"/>
    </row>
    <row r="393" spans="2:10" x14ac:dyDescent="0.2">
      <c r="B393" s="2"/>
      <c r="C393" s="46"/>
      <c r="D393" s="46"/>
      <c r="E393" s="46"/>
      <c r="F393" s="2"/>
      <c r="G393" s="46"/>
      <c r="H393" s="2"/>
      <c r="I393" s="2"/>
      <c r="J393" s="2"/>
    </row>
    <row r="394" spans="2:10" x14ac:dyDescent="0.2">
      <c r="B394" s="2"/>
      <c r="C394" s="46"/>
      <c r="D394" s="46"/>
      <c r="E394" s="46"/>
      <c r="F394" s="6"/>
      <c r="G394" s="46"/>
      <c r="H394" s="2"/>
      <c r="I394" s="2"/>
      <c r="J394" s="2"/>
    </row>
    <row r="395" spans="2:10" x14ac:dyDescent="0.2">
      <c r="B395" s="2"/>
      <c r="C395" s="46"/>
      <c r="D395" s="46"/>
      <c r="E395" s="46"/>
      <c r="F395" s="2"/>
      <c r="G395" s="46"/>
      <c r="H395" s="2"/>
      <c r="I395" s="2"/>
      <c r="J395" s="2"/>
    </row>
    <row r="396" spans="2:10" x14ac:dyDescent="0.2">
      <c r="B396" s="2"/>
      <c r="C396" s="46"/>
      <c r="D396" s="46"/>
      <c r="E396" s="46"/>
      <c r="F396" s="2"/>
      <c r="G396" s="46"/>
      <c r="H396" s="2"/>
      <c r="I396" s="2"/>
      <c r="J396" s="2"/>
    </row>
    <row r="397" spans="2:10" x14ac:dyDescent="0.2">
      <c r="B397" s="2"/>
      <c r="C397" s="46"/>
      <c r="D397" s="46"/>
      <c r="E397" s="46"/>
      <c r="F397" s="2"/>
      <c r="G397" s="46"/>
      <c r="H397" s="2"/>
      <c r="I397" s="2"/>
      <c r="J397" s="2"/>
    </row>
    <row r="398" spans="2:10" x14ac:dyDescent="0.2">
      <c r="B398" s="2"/>
      <c r="C398" s="46"/>
      <c r="D398" s="46"/>
      <c r="E398" s="46"/>
      <c r="F398" s="2"/>
      <c r="G398" s="46"/>
      <c r="H398" s="2"/>
      <c r="I398" s="2"/>
      <c r="J398" s="2"/>
    </row>
    <row r="399" spans="2:10" x14ac:dyDescent="0.2">
      <c r="B399" s="2"/>
      <c r="C399" s="46"/>
      <c r="D399" s="46"/>
      <c r="E399" s="46"/>
      <c r="F399" s="2"/>
      <c r="G399" s="46"/>
      <c r="H399" s="2"/>
      <c r="I399" s="2"/>
      <c r="J399" s="2"/>
    </row>
    <row r="400" spans="2:10" x14ac:dyDescent="0.2">
      <c r="B400" s="2"/>
      <c r="C400" s="46"/>
      <c r="D400" s="46"/>
      <c r="E400" s="46"/>
      <c r="F400" s="6"/>
      <c r="G400" s="46"/>
      <c r="H400" s="2"/>
      <c r="I400" s="2"/>
      <c r="J400" s="2"/>
    </row>
    <row r="401" spans="2:10" x14ac:dyDescent="0.2">
      <c r="B401" s="2"/>
      <c r="C401" s="46"/>
      <c r="D401" s="46"/>
      <c r="E401" s="46"/>
      <c r="F401" s="2"/>
      <c r="G401" s="46"/>
      <c r="H401" s="2"/>
      <c r="I401" s="2"/>
      <c r="J401" s="2"/>
    </row>
    <row r="402" spans="2:10" x14ac:dyDescent="0.2">
      <c r="B402" s="2"/>
      <c r="C402" s="46"/>
      <c r="D402" s="46"/>
      <c r="E402" s="46"/>
      <c r="F402" s="6"/>
      <c r="G402" s="46"/>
      <c r="H402" s="2"/>
      <c r="I402" s="2"/>
      <c r="J402" s="2"/>
    </row>
    <row r="403" spans="2:10" x14ac:dyDescent="0.2">
      <c r="B403" s="2"/>
      <c r="C403" s="46"/>
      <c r="D403" s="46"/>
      <c r="E403" s="46"/>
      <c r="F403" s="2"/>
      <c r="G403" s="46"/>
      <c r="H403" s="2"/>
      <c r="I403" s="2"/>
      <c r="J403" s="2"/>
    </row>
    <row r="404" spans="2:10" x14ac:dyDescent="0.2">
      <c r="B404" s="2"/>
      <c r="C404" s="46"/>
      <c r="D404" s="46"/>
      <c r="E404" s="46"/>
      <c r="F404" s="2"/>
      <c r="G404" s="46"/>
      <c r="H404" s="2"/>
      <c r="I404" s="2"/>
      <c r="J404" s="2"/>
    </row>
    <row r="405" spans="2:10" x14ac:dyDescent="0.2">
      <c r="B405" s="2"/>
      <c r="C405" s="46"/>
      <c r="D405" s="46"/>
      <c r="E405" s="46"/>
      <c r="F405" s="2"/>
      <c r="G405" s="46"/>
      <c r="H405" s="2"/>
      <c r="I405" s="2"/>
      <c r="J405" s="2"/>
    </row>
    <row r="406" spans="2:10" x14ac:dyDescent="0.2">
      <c r="B406" s="2"/>
      <c r="C406" s="46"/>
      <c r="D406" s="46"/>
      <c r="E406" s="46"/>
      <c r="F406" s="2"/>
      <c r="G406" s="46"/>
      <c r="H406" s="2"/>
      <c r="I406" s="2"/>
      <c r="J406" s="2"/>
    </row>
    <row r="407" spans="2:10" x14ac:dyDescent="0.2">
      <c r="B407" s="2"/>
      <c r="C407" s="46"/>
      <c r="D407" s="46"/>
      <c r="E407" s="46"/>
      <c r="F407" s="2"/>
      <c r="G407" s="46"/>
      <c r="H407" s="2"/>
      <c r="I407" s="2"/>
      <c r="J407" s="2"/>
    </row>
    <row r="408" spans="2:10" x14ac:dyDescent="0.2">
      <c r="B408" s="2"/>
      <c r="C408" s="46"/>
      <c r="D408" s="46"/>
      <c r="E408" s="46"/>
      <c r="F408" s="2"/>
      <c r="G408" s="46"/>
      <c r="H408" s="2"/>
      <c r="I408" s="2"/>
      <c r="J408" s="2"/>
    </row>
    <row r="409" spans="2:10" x14ac:dyDescent="0.2">
      <c r="B409" s="2"/>
      <c r="C409" s="46"/>
      <c r="D409" s="46"/>
      <c r="E409" s="46"/>
      <c r="F409" s="2"/>
      <c r="G409" s="46"/>
      <c r="H409" s="2"/>
      <c r="I409" s="2"/>
      <c r="J409" s="2"/>
    </row>
    <row r="410" spans="2:10" x14ac:dyDescent="0.2">
      <c r="B410" s="2"/>
      <c r="C410" s="46"/>
      <c r="D410" s="46"/>
      <c r="E410" s="46"/>
      <c r="F410" s="6"/>
      <c r="G410" s="46"/>
      <c r="H410" s="2"/>
      <c r="I410" s="2"/>
      <c r="J410" s="2"/>
    </row>
    <row r="411" spans="2:10" x14ac:dyDescent="0.2">
      <c r="B411" s="2"/>
      <c r="C411" s="46"/>
      <c r="D411" s="46"/>
      <c r="E411" s="46"/>
      <c r="F411" s="2"/>
      <c r="G411" s="46"/>
      <c r="H411" s="2"/>
      <c r="I411" s="2"/>
      <c r="J411" s="2"/>
    </row>
    <row r="412" spans="2:10" x14ac:dyDescent="0.2">
      <c r="B412" s="2"/>
      <c r="C412" s="46"/>
      <c r="D412" s="46"/>
      <c r="E412" s="46"/>
      <c r="F412" s="2"/>
      <c r="G412" s="46"/>
      <c r="H412" s="2"/>
      <c r="I412" s="2"/>
      <c r="J412" s="2"/>
    </row>
    <row r="413" spans="2:10" x14ac:dyDescent="0.2">
      <c r="B413" s="2"/>
      <c r="C413" s="46"/>
      <c r="D413" s="46"/>
      <c r="E413" s="46"/>
      <c r="F413" s="2"/>
      <c r="G413" s="46"/>
      <c r="H413" s="2"/>
      <c r="I413" s="2"/>
      <c r="J413" s="2"/>
    </row>
    <row r="414" spans="2:10" x14ac:dyDescent="0.2">
      <c r="B414" s="2"/>
      <c r="C414" s="46"/>
      <c r="D414" s="46"/>
      <c r="E414" s="46"/>
      <c r="F414" s="6"/>
      <c r="G414" s="46"/>
      <c r="H414" s="2"/>
      <c r="I414" s="2"/>
      <c r="J414" s="2"/>
    </row>
    <row r="415" spans="2:10" x14ac:dyDescent="0.2">
      <c r="B415" s="2"/>
      <c r="C415" s="46"/>
      <c r="D415" s="46"/>
      <c r="E415" s="46"/>
      <c r="F415" s="2"/>
      <c r="G415" s="46"/>
      <c r="H415" s="2"/>
      <c r="I415" s="2"/>
      <c r="J415" s="2"/>
    </row>
    <row r="416" spans="2:10" x14ac:dyDescent="0.2">
      <c r="B416" s="2"/>
      <c r="C416" s="46"/>
      <c r="D416" s="46"/>
      <c r="E416" s="46"/>
      <c r="F416" s="6"/>
      <c r="G416" s="46"/>
      <c r="H416" s="2"/>
      <c r="I416" s="2"/>
      <c r="J416" s="2"/>
    </row>
    <row r="417" spans="2:10" x14ac:dyDescent="0.2">
      <c r="B417" s="2"/>
      <c r="C417" s="46"/>
      <c r="D417" s="46"/>
      <c r="E417" s="46"/>
      <c r="F417" s="2"/>
      <c r="G417" s="46"/>
      <c r="H417" s="2"/>
      <c r="I417" s="2"/>
      <c r="J417" s="2"/>
    </row>
    <row r="418" spans="2:10" x14ac:dyDescent="0.2">
      <c r="B418" s="2"/>
      <c r="C418" s="46"/>
      <c r="D418" s="46"/>
      <c r="E418" s="46"/>
      <c r="F418" s="6"/>
      <c r="G418" s="46"/>
      <c r="H418" s="2"/>
      <c r="I418" s="2"/>
      <c r="J418" s="2"/>
    </row>
    <row r="419" spans="2:10" x14ac:dyDescent="0.2">
      <c r="B419" s="2"/>
      <c r="C419" s="46"/>
      <c r="D419" s="46"/>
      <c r="E419" s="46"/>
      <c r="F419" s="6"/>
      <c r="G419" s="46"/>
      <c r="H419" s="2"/>
      <c r="I419" s="2"/>
      <c r="J419" s="2"/>
    </row>
    <row r="420" spans="2:10" x14ac:dyDescent="0.2">
      <c r="B420" s="2"/>
      <c r="C420" s="46"/>
      <c r="D420" s="46"/>
      <c r="E420" s="46"/>
      <c r="F420" s="6"/>
      <c r="G420" s="46"/>
      <c r="H420" s="2"/>
      <c r="I420" s="2"/>
      <c r="J420" s="2"/>
    </row>
    <row r="421" spans="2:10" x14ac:dyDescent="0.2">
      <c r="B421" s="2"/>
      <c r="C421" s="46"/>
      <c r="D421" s="46"/>
      <c r="E421" s="46"/>
      <c r="F421" s="6"/>
      <c r="G421" s="46"/>
      <c r="H421" s="2"/>
      <c r="I421" s="2"/>
      <c r="J421" s="2"/>
    </row>
    <row r="422" spans="2:10" x14ac:dyDescent="0.2">
      <c r="B422" s="2"/>
      <c r="C422" s="46"/>
      <c r="D422" s="46"/>
      <c r="E422" s="46"/>
      <c r="F422" s="6"/>
      <c r="G422" s="46"/>
      <c r="H422" s="2"/>
      <c r="I422" s="2"/>
      <c r="J422" s="2"/>
    </row>
    <row r="423" spans="2:10" x14ac:dyDescent="0.2">
      <c r="B423" s="2"/>
      <c r="C423" s="46"/>
      <c r="D423" s="46"/>
      <c r="E423" s="46"/>
      <c r="F423" s="2"/>
      <c r="G423" s="46"/>
      <c r="H423" s="2"/>
      <c r="I423" s="2"/>
      <c r="J423" s="2"/>
    </row>
    <row r="424" spans="2:10" x14ac:dyDescent="0.2">
      <c r="B424" s="2"/>
      <c r="C424" s="46"/>
      <c r="D424" s="46"/>
      <c r="E424" s="46"/>
      <c r="F424" s="6"/>
      <c r="G424" s="46"/>
      <c r="H424" s="2"/>
      <c r="I424" s="2"/>
      <c r="J424" s="2"/>
    </row>
    <row r="425" spans="2:10" x14ac:dyDescent="0.2">
      <c r="B425" s="2"/>
      <c r="C425" s="46"/>
      <c r="D425" s="46"/>
      <c r="E425" s="46"/>
      <c r="F425" s="6"/>
      <c r="G425" s="46"/>
      <c r="H425" s="2"/>
      <c r="I425" s="2"/>
      <c r="J425" s="2"/>
    </row>
    <row r="426" spans="2:10" x14ac:dyDescent="0.2">
      <c r="B426" s="2"/>
      <c r="C426" s="46"/>
      <c r="D426" s="46"/>
      <c r="E426" s="46"/>
      <c r="F426" s="2"/>
      <c r="G426" s="46"/>
      <c r="H426" s="2"/>
      <c r="I426" s="2"/>
      <c r="J426" s="2"/>
    </row>
    <row r="427" spans="2:10" x14ac:dyDescent="0.2">
      <c r="B427" s="2"/>
      <c r="C427" s="46"/>
      <c r="D427" s="46"/>
      <c r="E427" s="46"/>
      <c r="F427" s="2"/>
      <c r="G427" s="46"/>
      <c r="H427" s="2"/>
      <c r="I427" s="2"/>
      <c r="J427" s="2"/>
    </row>
    <row r="428" spans="2:10" x14ac:dyDescent="0.2">
      <c r="B428" s="2"/>
      <c r="C428" s="46"/>
      <c r="D428" s="46"/>
      <c r="E428" s="46"/>
      <c r="F428" s="2"/>
      <c r="G428" s="46"/>
      <c r="H428" s="2"/>
      <c r="I428" s="2"/>
      <c r="J428" s="2"/>
    </row>
    <row r="429" spans="2:10" x14ac:dyDescent="0.2">
      <c r="B429" s="2"/>
      <c r="C429" s="46"/>
      <c r="D429" s="46"/>
      <c r="E429" s="46"/>
      <c r="F429" s="2"/>
      <c r="G429" s="46"/>
      <c r="H429" s="2"/>
      <c r="I429" s="2"/>
      <c r="J429" s="2"/>
    </row>
    <row r="430" spans="2:10" x14ac:dyDescent="0.2">
      <c r="B430" s="2"/>
      <c r="C430" s="46"/>
      <c r="D430" s="46"/>
      <c r="E430" s="46"/>
      <c r="F430" s="2"/>
      <c r="G430" s="46"/>
      <c r="H430" s="2"/>
      <c r="I430" s="2"/>
      <c r="J430" s="2"/>
    </row>
    <row r="431" spans="2:10" x14ac:dyDescent="0.2">
      <c r="B431" s="2"/>
      <c r="C431" s="46"/>
      <c r="D431" s="46"/>
      <c r="E431" s="46"/>
      <c r="F431" s="2"/>
      <c r="G431" s="46"/>
      <c r="H431" s="2"/>
      <c r="I431" s="2"/>
      <c r="J431" s="2"/>
    </row>
    <row r="432" spans="2:10" x14ac:dyDescent="0.2">
      <c r="B432" s="2"/>
      <c r="C432" s="46"/>
      <c r="D432" s="46"/>
      <c r="E432" s="46"/>
      <c r="F432" s="2"/>
      <c r="G432" s="46"/>
      <c r="H432" s="2"/>
      <c r="I432" s="2"/>
      <c r="J432" s="2"/>
    </row>
    <row r="433" spans="2:10" x14ac:dyDescent="0.2">
      <c r="B433" s="2"/>
      <c r="C433" s="46"/>
      <c r="D433" s="46"/>
      <c r="E433" s="46"/>
      <c r="F433" s="2"/>
      <c r="G433" s="46"/>
      <c r="H433" s="2"/>
      <c r="I433" s="2"/>
      <c r="J433" s="2"/>
    </row>
    <row r="434" spans="2:10" x14ac:dyDescent="0.2">
      <c r="B434" s="2"/>
      <c r="C434" s="46"/>
      <c r="D434" s="46"/>
      <c r="E434" s="46"/>
      <c r="F434" s="2"/>
      <c r="G434" s="46"/>
      <c r="H434" s="2"/>
      <c r="I434" s="2"/>
      <c r="J434" s="2"/>
    </row>
    <row r="435" spans="2:10" x14ac:dyDescent="0.2">
      <c r="B435" s="2"/>
      <c r="C435" s="46"/>
      <c r="D435" s="46"/>
      <c r="E435" s="46"/>
      <c r="F435" s="6"/>
      <c r="G435" s="46"/>
      <c r="H435" s="2"/>
      <c r="I435" s="2"/>
      <c r="J435" s="2"/>
    </row>
    <row r="436" spans="2:10" x14ac:dyDescent="0.2">
      <c r="B436" s="2"/>
      <c r="C436" s="46"/>
      <c r="D436" s="46"/>
      <c r="E436" s="46"/>
      <c r="F436" s="6"/>
      <c r="G436" s="46"/>
      <c r="H436" s="2"/>
      <c r="I436" s="2"/>
      <c r="J436" s="2"/>
    </row>
    <row r="437" spans="2:10" x14ac:dyDescent="0.2">
      <c r="B437" s="2"/>
      <c r="C437" s="46"/>
      <c r="D437" s="46"/>
      <c r="E437" s="46"/>
      <c r="F437" s="6"/>
      <c r="G437" s="46"/>
      <c r="H437" s="2"/>
      <c r="I437" s="2"/>
      <c r="J437" s="2"/>
    </row>
    <row r="438" spans="2:10" x14ac:dyDescent="0.2">
      <c r="B438" s="2"/>
      <c r="C438" s="46"/>
      <c r="D438" s="46"/>
      <c r="E438" s="46"/>
      <c r="F438" s="6"/>
      <c r="G438" s="46"/>
      <c r="H438" s="2"/>
      <c r="I438" s="2"/>
      <c r="J438" s="2"/>
    </row>
    <row r="439" spans="2:10" x14ac:dyDescent="0.2">
      <c r="B439" s="2"/>
      <c r="C439" s="46"/>
      <c r="D439" s="46"/>
      <c r="E439" s="46"/>
      <c r="F439" s="2"/>
      <c r="G439" s="46"/>
      <c r="H439" s="2"/>
      <c r="I439" s="2"/>
      <c r="J439" s="2"/>
    </row>
    <row r="440" spans="2:10" x14ac:dyDescent="0.2">
      <c r="B440" s="2"/>
      <c r="C440" s="46"/>
      <c r="D440" s="46"/>
      <c r="E440" s="46"/>
      <c r="F440" s="2"/>
      <c r="G440" s="46"/>
      <c r="H440" s="2"/>
      <c r="I440" s="2"/>
      <c r="J440" s="2"/>
    </row>
    <row r="441" spans="2:10" x14ac:dyDescent="0.2">
      <c r="B441" s="2"/>
      <c r="C441" s="46"/>
      <c r="D441" s="46"/>
      <c r="E441" s="46"/>
      <c r="F441" s="2"/>
      <c r="G441" s="46"/>
      <c r="H441" s="2"/>
      <c r="I441" s="2"/>
      <c r="J441" s="2"/>
    </row>
    <row r="442" spans="2:10" x14ac:dyDescent="0.2">
      <c r="B442" s="2"/>
      <c r="C442" s="46"/>
      <c r="D442" s="46"/>
      <c r="E442" s="46"/>
      <c r="F442" s="2"/>
      <c r="G442" s="46"/>
      <c r="H442" s="2"/>
      <c r="I442" s="2"/>
      <c r="J442" s="2"/>
    </row>
    <row r="443" spans="2:10" x14ac:dyDescent="0.2">
      <c r="B443" s="2"/>
      <c r="C443" s="46"/>
      <c r="D443" s="46"/>
      <c r="E443" s="46"/>
      <c r="F443" s="2"/>
      <c r="G443" s="46"/>
      <c r="H443" s="2"/>
      <c r="I443" s="2"/>
      <c r="J443" s="2"/>
    </row>
    <row r="444" spans="2:10" x14ac:dyDescent="0.2">
      <c r="B444" s="2"/>
      <c r="C444" s="46"/>
      <c r="D444" s="46"/>
      <c r="E444" s="46"/>
      <c r="F444" s="6"/>
      <c r="G444" s="46"/>
      <c r="H444" s="2"/>
      <c r="I444" s="2"/>
      <c r="J444" s="2"/>
    </row>
    <row r="445" spans="2:10" x14ac:dyDescent="0.2">
      <c r="B445" s="2"/>
      <c r="C445" s="46"/>
      <c r="D445" s="46"/>
      <c r="E445" s="46"/>
      <c r="F445" s="2"/>
      <c r="G445" s="46"/>
      <c r="H445" s="2"/>
      <c r="I445" s="2"/>
      <c r="J445" s="2"/>
    </row>
    <row r="446" spans="2:10" x14ac:dyDescent="0.2">
      <c r="B446" s="2"/>
      <c r="C446" s="46"/>
      <c r="D446" s="46"/>
      <c r="E446" s="46"/>
      <c r="F446" s="2"/>
      <c r="G446" s="46"/>
      <c r="H446" s="2"/>
      <c r="I446" s="2"/>
      <c r="J446" s="2"/>
    </row>
    <row r="447" spans="2:10" x14ac:dyDescent="0.2">
      <c r="B447" s="2"/>
      <c r="C447" s="46"/>
      <c r="D447" s="46"/>
      <c r="E447" s="46"/>
      <c r="F447" s="2"/>
      <c r="G447" s="46"/>
      <c r="H447" s="2"/>
      <c r="I447" s="2"/>
      <c r="J447" s="2"/>
    </row>
    <row r="448" spans="2:10" x14ac:dyDescent="0.2">
      <c r="B448" s="2"/>
      <c r="C448" s="46"/>
      <c r="D448" s="46"/>
      <c r="E448" s="46"/>
      <c r="F448" s="2"/>
      <c r="G448" s="46"/>
      <c r="H448" s="2"/>
      <c r="I448" s="2"/>
      <c r="J448" s="2"/>
    </row>
    <row r="449" spans="2:10" x14ac:dyDescent="0.2">
      <c r="B449" s="2"/>
      <c r="C449" s="46"/>
      <c r="D449" s="46"/>
      <c r="E449" s="46"/>
      <c r="F449" s="6"/>
      <c r="G449" s="46"/>
      <c r="H449" s="2"/>
      <c r="I449" s="2"/>
      <c r="J449" s="2"/>
    </row>
    <row r="450" spans="2:10" x14ac:dyDescent="0.2">
      <c r="B450" s="2"/>
      <c r="C450" s="46"/>
      <c r="D450" s="46"/>
      <c r="E450" s="46"/>
      <c r="F450" s="6"/>
      <c r="G450" s="46"/>
      <c r="H450" s="2"/>
      <c r="I450" s="2"/>
      <c r="J450" s="2"/>
    </row>
    <row r="451" spans="2:10" x14ac:dyDescent="0.2">
      <c r="B451" s="2"/>
      <c r="C451" s="46"/>
      <c r="D451" s="46"/>
      <c r="E451" s="46"/>
      <c r="F451" s="6"/>
      <c r="G451" s="46"/>
      <c r="H451" s="2"/>
      <c r="I451" s="2"/>
      <c r="J451" s="2"/>
    </row>
    <row r="452" spans="2:10" x14ac:dyDescent="0.2">
      <c r="B452" s="2"/>
      <c r="C452" s="46"/>
      <c r="D452" s="46"/>
      <c r="E452" s="46"/>
      <c r="F452" s="2"/>
      <c r="G452" s="46"/>
      <c r="H452" s="2"/>
      <c r="I452" s="2"/>
      <c r="J452" s="2"/>
    </row>
    <row r="453" spans="2:10" x14ac:dyDescent="0.2">
      <c r="B453" s="2"/>
      <c r="C453" s="46"/>
      <c r="D453" s="46"/>
      <c r="E453" s="46"/>
      <c r="F453" s="6"/>
      <c r="G453" s="46"/>
      <c r="H453" s="2"/>
      <c r="I453" s="2"/>
      <c r="J453" s="2"/>
    </row>
    <row r="454" spans="2:10" x14ac:dyDescent="0.2">
      <c r="B454" s="2"/>
      <c r="C454" s="46"/>
      <c r="D454" s="46"/>
      <c r="E454" s="46"/>
      <c r="F454" s="2"/>
      <c r="G454" s="46"/>
      <c r="H454" s="2"/>
      <c r="I454" s="2"/>
      <c r="J454" s="2"/>
    </row>
    <row r="455" spans="2:10" x14ac:dyDescent="0.2">
      <c r="B455" s="2"/>
      <c r="C455" s="46"/>
      <c r="D455" s="46"/>
      <c r="E455" s="46"/>
      <c r="F455" s="2"/>
      <c r="G455" s="46"/>
      <c r="H455" s="2"/>
      <c r="I455" s="2"/>
      <c r="J455" s="2"/>
    </row>
    <row r="456" spans="2:10" x14ac:dyDescent="0.2">
      <c r="B456" s="2"/>
      <c r="C456" s="46"/>
      <c r="D456" s="46"/>
      <c r="E456" s="46"/>
      <c r="F456" s="2"/>
      <c r="G456" s="46"/>
      <c r="H456" s="2"/>
      <c r="I456" s="2"/>
      <c r="J456" s="2"/>
    </row>
    <row r="457" spans="2:10" x14ac:dyDescent="0.2">
      <c r="B457" s="2"/>
      <c r="C457" s="46"/>
      <c r="D457" s="46"/>
      <c r="E457" s="46"/>
      <c r="F457" s="6"/>
      <c r="G457" s="46"/>
      <c r="H457" s="2"/>
      <c r="I457" s="2"/>
      <c r="J457" s="2"/>
    </row>
    <row r="458" spans="2:10" x14ac:dyDescent="0.2">
      <c r="B458" s="2"/>
      <c r="C458" s="46"/>
      <c r="D458" s="46"/>
      <c r="E458" s="46"/>
      <c r="F458" s="6"/>
      <c r="G458" s="46"/>
      <c r="H458" s="2"/>
      <c r="I458" s="2"/>
      <c r="J458" s="2"/>
    </row>
    <row r="459" spans="2:10" x14ac:dyDescent="0.2">
      <c r="B459" s="2"/>
      <c r="C459" s="46"/>
      <c r="D459" s="46"/>
      <c r="E459" s="46"/>
      <c r="F459" s="6"/>
      <c r="G459" s="46"/>
      <c r="H459" s="2"/>
      <c r="I459" s="2"/>
      <c r="J459" s="2"/>
    </row>
    <row r="460" spans="2:10" x14ac:dyDescent="0.2">
      <c r="B460" s="2"/>
      <c r="C460" s="46"/>
      <c r="D460" s="46"/>
      <c r="E460" s="46"/>
      <c r="F460" s="2"/>
      <c r="G460" s="46"/>
      <c r="H460" s="2"/>
      <c r="I460" s="2"/>
      <c r="J460" s="2"/>
    </row>
    <row r="461" spans="2:10" x14ac:dyDescent="0.2">
      <c r="B461" s="2"/>
      <c r="C461" s="46"/>
      <c r="D461" s="46"/>
      <c r="E461" s="46"/>
      <c r="F461" s="2"/>
      <c r="G461" s="46"/>
      <c r="H461" s="2"/>
      <c r="I461" s="2"/>
      <c r="J461" s="2"/>
    </row>
    <row r="462" spans="2:10" x14ac:dyDescent="0.2">
      <c r="B462" s="2"/>
      <c r="C462" s="46"/>
      <c r="D462" s="46"/>
      <c r="E462" s="46"/>
      <c r="F462" s="2"/>
      <c r="G462" s="46"/>
      <c r="H462" s="2"/>
      <c r="I462" s="2"/>
      <c r="J462" s="2"/>
    </row>
    <row r="463" spans="2:10" x14ac:dyDescent="0.2">
      <c r="B463" s="2"/>
      <c r="C463" s="46"/>
      <c r="D463" s="46"/>
      <c r="E463" s="46"/>
      <c r="F463" s="2"/>
      <c r="G463" s="46"/>
      <c r="H463" s="2"/>
      <c r="I463" s="2"/>
      <c r="J463" s="2"/>
    </row>
    <row r="464" spans="2:10" x14ac:dyDescent="0.2">
      <c r="B464" s="2"/>
      <c r="C464" s="46"/>
      <c r="D464" s="46"/>
      <c r="E464" s="46"/>
      <c r="F464" s="2"/>
      <c r="G464" s="46"/>
      <c r="H464" s="2"/>
      <c r="I464" s="2"/>
      <c r="J464" s="2"/>
    </row>
    <row r="465" spans="2:10" x14ac:dyDescent="0.2">
      <c r="B465" s="2"/>
      <c r="C465" s="46"/>
      <c r="D465" s="46"/>
      <c r="E465" s="46"/>
      <c r="F465" s="6"/>
      <c r="G465" s="46"/>
      <c r="H465" s="2"/>
      <c r="I465" s="2"/>
      <c r="J465" s="2"/>
    </row>
    <row r="466" spans="2:10" x14ac:dyDescent="0.2">
      <c r="B466" s="2"/>
      <c r="C466" s="46"/>
      <c r="D466" s="46"/>
      <c r="E466" s="46"/>
      <c r="F466" s="2"/>
      <c r="G466" s="46"/>
      <c r="H466" s="2"/>
      <c r="I466" s="2"/>
      <c r="J466" s="2"/>
    </row>
    <row r="467" spans="2:10" x14ac:dyDescent="0.2">
      <c r="B467" s="2"/>
      <c r="C467" s="46"/>
      <c r="D467" s="46"/>
      <c r="E467" s="46"/>
      <c r="F467" s="2"/>
      <c r="G467" s="46"/>
      <c r="H467" s="2"/>
      <c r="I467" s="2"/>
      <c r="J467" s="2"/>
    </row>
    <row r="468" spans="2:10" x14ac:dyDescent="0.2">
      <c r="B468" s="2"/>
      <c r="C468" s="46"/>
      <c r="D468" s="46"/>
      <c r="E468" s="46"/>
      <c r="F468" s="2"/>
      <c r="G468" s="46"/>
      <c r="H468" s="2"/>
      <c r="I468" s="2"/>
      <c r="J468" s="2"/>
    </row>
    <row r="469" spans="2:10" x14ac:dyDescent="0.2">
      <c r="B469" s="2"/>
      <c r="C469" s="46"/>
      <c r="D469" s="46"/>
      <c r="E469" s="46"/>
      <c r="F469" s="2"/>
      <c r="G469" s="46"/>
      <c r="H469" s="2"/>
      <c r="I469" s="2"/>
      <c r="J469" s="2"/>
    </row>
    <row r="470" spans="2:10" x14ac:dyDescent="0.2">
      <c r="B470" s="2"/>
      <c r="C470" s="46"/>
      <c r="D470" s="46"/>
      <c r="E470" s="46"/>
      <c r="F470" s="6"/>
      <c r="G470" s="46"/>
      <c r="H470" s="2"/>
      <c r="I470" s="2"/>
      <c r="J470" s="2"/>
    </row>
    <row r="471" spans="2:10" x14ac:dyDescent="0.2">
      <c r="B471" s="2"/>
      <c r="C471" s="46"/>
      <c r="D471" s="46"/>
      <c r="E471" s="46"/>
      <c r="F471" s="2"/>
      <c r="G471" s="46"/>
      <c r="H471" s="2"/>
      <c r="I471" s="2"/>
      <c r="J471" s="2"/>
    </row>
    <row r="472" spans="2:10" x14ac:dyDescent="0.2">
      <c r="B472" s="2"/>
      <c r="C472" s="46"/>
      <c r="D472" s="46"/>
      <c r="E472" s="46"/>
      <c r="F472" s="2"/>
      <c r="G472" s="46"/>
      <c r="H472" s="2"/>
      <c r="I472" s="2"/>
      <c r="J472" s="2"/>
    </row>
    <row r="473" spans="2:10" x14ac:dyDescent="0.2">
      <c r="B473" s="2"/>
      <c r="C473" s="46"/>
      <c r="D473" s="46"/>
      <c r="E473" s="46"/>
      <c r="F473" s="6"/>
      <c r="G473" s="46"/>
      <c r="H473" s="2"/>
      <c r="I473" s="2"/>
      <c r="J473" s="2"/>
    </row>
    <row r="474" spans="2:10" x14ac:dyDescent="0.2">
      <c r="B474" s="2"/>
      <c r="C474" s="46"/>
      <c r="D474" s="46"/>
      <c r="E474" s="46"/>
      <c r="F474" s="2"/>
      <c r="G474" s="46"/>
      <c r="H474" s="2"/>
      <c r="I474" s="2"/>
      <c r="J474" s="2"/>
    </row>
    <row r="475" spans="2:10" x14ac:dyDescent="0.2">
      <c r="B475" s="2"/>
      <c r="C475" s="46"/>
      <c r="D475" s="46"/>
      <c r="E475" s="46"/>
      <c r="F475" s="2"/>
      <c r="G475" s="46"/>
      <c r="H475" s="2"/>
      <c r="I475" s="2"/>
      <c r="J475" s="2"/>
    </row>
    <row r="476" spans="2:10" x14ac:dyDescent="0.2">
      <c r="B476" s="2"/>
      <c r="C476" s="46"/>
      <c r="D476" s="46"/>
      <c r="E476" s="46"/>
      <c r="F476" s="2"/>
      <c r="G476" s="46"/>
      <c r="H476" s="2"/>
      <c r="I476" s="2"/>
      <c r="J476" s="2"/>
    </row>
    <row r="477" spans="2:10" x14ac:dyDescent="0.2">
      <c r="B477" s="2"/>
      <c r="C477" s="46"/>
      <c r="D477" s="46"/>
      <c r="E477" s="46"/>
      <c r="F477" s="2"/>
      <c r="G477" s="46"/>
      <c r="H477" s="2"/>
      <c r="I477" s="2"/>
      <c r="J477" s="2"/>
    </row>
    <row r="478" spans="2:10" x14ac:dyDescent="0.2">
      <c r="B478" s="2"/>
      <c r="C478" s="46"/>
      <c r="D478" s="46"/>
      <c r="E478" s="46"/>
      <c r="F478" s="6"/>
      <c r="G478" s="46"/>
      <c r="H478" s="2"/>
      <c r="I478" s="2"/>
      <c r="J478" s="2"/>
    </row>
    <row r="479" spans="2:10" x14ac:dyDescent="0.2">
      <c r="B479" s="2"/>
      <c r="C479" s="46"/>
      <c r="D479" s="46"/>
      <c r="E479" s="46"/>
      <c r="F479" s="2"/>
      <c r="G479" s="46"/>
      <c r="H479" s="2"/>
      <c r="I479" s="2"/>
      <c r="J479" s="2"/>
    </row>
    <row r="480" spans="2:10" x14ac:dyDescent="0.2">
      <c r="B480" s="2"/>
      <c r="C480" s="46"/>
      <c r="D480" s="46"/>
      <c r="E480" s="46"/>
      <c r="F480" s="6"/>
      <c r="G480" s="46"/>
      <c r="H480" s="2"/>
      <c r="I480" s="2"/>
      <c r="J480" s="2"/>
    </row>
    <row r="481" spans="2:10" x14ac:dyDescent="0.2">
      <c r="B481" s="2"/>
      <c r="C481" s="46"/>
      <c r="D481" s="46"/>
      <c r="E481" s="46"/>
      <c r="F481" s="2"/>
      <c r="G481" s="46"/>
      <c r="H481" s="2"/>
      <c r="I481" s="2"/>
      <c r="J481" s="2"/>
    </row>
    <row r="482" spans="2:10" x14ac:dyDescent="0.2">
      <c r="B482" s="2"/>
      <c r="C482" s="46"/>
      <c r="D482" s="46"/>
      <c r="E482" s="46"/>
      <c r="F482" s="6"/>
      <c r="G482" s="46"/>
      <c r="H482" s="2"/>
      <c r="I482" s="2"/>
      <c r="J482" s="2"/>
    </row>
    <row r="483" spans="2:10" x14ac:dyDescent="0.2">
      <c r="B483" s="2"/>
      <c r="C483" s="46"/>
      <c r="D483" s="46"/>
      <c r="E483" s="46"/>
      <c r="F483" s="6"/>
      <c r="G483" s="46"/>
      <c r="H483" s="2"/>
      <c r="I483" s="2"/>
      <c r="J483" s="2"/>
    </row>
    <row r="484" spans="2:10" x14ac:dyDescent="0.2">
      <c r="B484" s="2"/>
      <c r="C484" s="46"/>
      <c r="D484" s="46"/>
      <c r="E484" s="46"/>
      <c r="F484" s="2"/>
      <c r="G484" s="46"/>
      <c r="H484" s="2"/>
      <c r="I484" s="2"/>
      <c r="J484" s="2"/>
    </row>
    <row r="485" spans="2:10" x14ac:dyDescent="0.2">
      <c r="B485" s="2"/>
      <c r="C485" s="46"/>
      <c r="D485" s="46"/>
      <c r="E485" s="46"/>
      <c r="F485" s="2"/>
      <c r="G485" s="46"/>
      <c r="H485" s="2"/>
      <c r="I485" s="2"/>
      <c r="J485" s="2"/>
    </row>
    <row r="486" spans="2:10" x14ac:dyDescent="0.2">
      <c r="B486" s="2"/>
      <c r="C486" s="46"/>
      <c r="D486" s="46"/>
      <c r="E486" s="46"/>
      <c r="F486" s="2"/>
      <c r="G486" s="46"/>
      <c r="H486" s="2"/>
      <c r="I486" s="2"/>
      <c r="J486" s="2"/>
    </row>
    <row r="487" spans="2:10" x14ac:dyDescent="0.2">
      <c r="B487" s="2"/>
      <c r="C487" s="46"/>
      <c r="D487" s="46"/>
      <c r="E487" s="46"/>
      <c r="F487" s="2"/>
      <c r="G487" s="46"/>
      <c r="H487" s="2"/>
      <c r="I487" s="2"/>
      <c r="J487" s="2"/>
    </row>
    <row r="488" spans="2:10" x14ac:dyDescent="0.2">
      <c r="B488" s="2"/>
      <c r="C488" s="46"/>
      <c r="D488" s="46"/>
      <c r="E488" s="46"/>
      <c r="F488" s="2"/>
      <c r="G488" s="46"/>
      <c r="H488" s="2"/>
      <c r="I488" s="2"/>
      <c r="J488" s="2"/>
    </row>
    <row r="489" spans="2:10" x14ac:dyDescent="0.2">
      <c r="B489" s="2"/>
      <c r="C489" s="46"/>
      <c r="D489" s="46"/>
      <c r="E489" s="46"/>
      <c r="F489" s="2"/>
      <c r="G489" s="46"/>
      <c r="H489" s="2"/>
      <c r="I489" s="2"/>
      <c r="J489" s="2"/>
    </row>
    <row r="490" spans="2:10" x14ac:dyDescent="0.2">
      <c r="B490" s="2"/>
      <c r="C490" s="46"/>
      <c r="D490" s="46"/>
      <c r="E490" s="46"/>
      <c r="F490" s="2"/>
      <c r="G490" s="46"/>
      <c r="H490" s="2"/>
      <c r="I490" s="2"/>
      <c r="J490" s="2"/>
    </row>
    <row r="491" spans="2:10" x14ac:dyDescent="0.2">
      <c r="B491" s="2"/>
      <c r="C491" s="46"/>
      <c r="D491" s="46"/>
      <c r="E491" s="46"/>
      <c r="F491" s="2"/>
      <c r="G491" s="46"/>
      <c r="H491" s="2"/>
      <c r="I491" s="2"/>
      <c r="J491" s="2"/>
    </row>
    <row r="492" spans="2:10" x14ac:dyDescent="0.2">
      <c r="B492" s="2"/>
      <c r="C492" s="46"/>
      <c r="D492" s="46"/>
      <c r="E492" s="46"/>
      <c r="F492" s="2"/>
      <c r="G492" s="46"/>
      <c r="H492" s="2"/>
      <c r="I492" s="2"/>
      <c r="J492" s="2"/>
    </row>
    <row r="493" spans="2:10" x14ac:dyDescent="0.2">
      <c r="B493" s="2"/>
      <c r="C493" s="46"/>
      <c r="D493" s="46"/>
      <c r="E493" s="46"/>
      <c r="F493" s="2"/>
      <c r="G493" s="46"/>
      <c r="H493" s="2"/>
      <c r="I493" s="2"/>
      <c r="J493" s="2"/>
    </row>
    <row r="494" spans="2:10" x14ac:dyDescent="0.2">
      <c r="B494" s="2"/>
      <c r="C494" s="46"/>
      <c r="D494" s="46"/>
      <c r="E494" s="46"/>
      <c r="F494" s="2"/>
      <c r="G494" s="46"/>
      <c r="H494" s="2"/>
      <c r="I494" s="2"/>
      <c r="J494" s="2"/>
    </row>
    <row r="495" spans="2:10" x14ac:dyDescent="0.2">
      <c r="B495" s="2"/>
      <c r="C495" s="46"/>
      <c r="D495" s="46"/>
      <c r="E495" s="46"/>
      <c r="F495" s="2"/>
      <c r="G495" s="46"/>
      <c r="H495" s="2"/>
      <c r="I495" s="2"/>
      <c r="J495" s="2"/>
    </row>
    <row r="496" spans="2:10" x14ac:dyDescent="0.2">
      <c r="B496" s="2"/>
      <c r="C496" s="46"/>
      <c r="D496" s="46"/>
      <c r="E496" s="46"/>
      <c r="F496" s="2"/>
      <c r="G496" s="46"/>
      <c r="H496" s="2"/>
      <c r="I496" s="2"/>
      <c r="J496" s="2"/>
    </row>
    <row r="497" spans="2:10" x14ac:dyDescent="0.2">
      <c r="B497" s="2"/>
      <c r="C497" s="46"/>
      <c r="D497" s="46"/>
      <c r="E497" s="46"/>
      <c r="F497" s="2"/>
      <c r="G497" s="46"/>
      <c r="H497" s="2"/>
      <c r="I497" s="2"/>
      <c r="J497" s="2"/>
    </row>
    <row r="498" spans="2:10" x14ac:dyDescent="0.2">
      <c r="B498" s="2"/>
      <c r="C498" s="46"/>
      <c r="D498" s="46"/>
      <c r="E498" s="46"/>
      <c r="F498" s="2"/>
      <c r="G498" s="46"/>
      <c r="H498" s="2"/>
      <c r="I498" s="2"/>
      <c r="J498" s="2"/>
    </row>
    <row r="499" spans="2:10" x14ac:dyDescent="0.2">
      <c r="B499" s="2"/>
      <c r="C499" s="46"/>
      <c r="D499" s="46"/>
      <c r="E499" s="46"/>
      <c r="F499" s="2"/>
      <c r="G499" s="46"/>
      <c r="H499" s="2"/>
      <c r="I499" s="2"/>
      <c r="J499" s="2"/>
    </row>
    <row r="500" spans="2:10" x14ac:dyDescent="0.2">
      <c r="B500" s="2"/>
      <c r="C500" s="46"/>
      <c r="D500" s="46"/>
      <c r="E500" s="46"/>
      <c r="F500" s="2"/>
      <c r="G500" s="46"/>
      <c r="H500" s="2"/>
      <c r="I500" s="2"/>
      <c r="J500" s="2"/>
    </row>
    <row r="501" spans="2:10" x14ac:dyDescent="0.2">
      <c r="B501" s="2"/>
      <c r="C501" s="46"/>
      <c r="D501" s="46"/>
      <c r="E501" s="46"/>
      <c r="F501" s="2"/>
      <c r="G501" s="46"/>
      <c r="H501" s="2"/>
      <c r="I501" s="2"/>
      <c r="J501" s="2"/>
    </row>
    <row r="502" spans="2:10" x14ac:dyDescent="0.2">
      <c r="B502" s="2"/>
      <c r="C502" s="46"/>
      <c r="D502" s="46"/>
      <c r="E502" s="46"/>
      <c r="F502" s="2"/>
      <c r="G502" s="46"/>
      <c r="H502" s="2"/>
      <c r="I502" s="2"/>
      <c r="J502" s="2"/>
    </row>
    <row r="503" spans="2:10" x14ac:dyDescent="0.2">
      <c r="B503" s="2"/>
      <c r="C503" s="46"/>
      <c r="D503" s="46"/>
      <c r="E503" s="46"/>
      <c r="F503" s="2"/>
      <c r="G503" s="46"/>
      <c r="H503" s="2"/>
      <c r="I503" s="2"/>
      <c r="J503" s="2"/>
    </row>
    <row r="504" spans="2:10" x14ac:dyDescent="0.2">
      <c r="B504" s="2"/>
      <c r="C504" s="46"/>
      <c r="D504" s="46"/>
      <c r="E504" s="46"/>
      <c r="F504" s="6"/>
      <c r="G504" s="46"/>
      <c r="H504" s="2"/>
      <c r="I504" s="2"/>
      <c r="J504" s="2"/>
    </row>
    <row r="505" spans="2:10" x14ac:dyDescent="0.2">
      <c r="B505" s="2"/>
      <c r="C505" s="46"/>
      <c r="D505" s="46"/>
      <c r="E505" s="46"/>
      <c r="F505" s="6"/>
      <c r="G505" s="46"/>
      <c r="H505" s="2"/>
      <c r="I505" s="2"/>
      <c r="J505" s="2"/>
    </row>
    <row r="506" spans="2:10" x14ac:dyDescent="0.2">
      <c r="B506" s="2"/>
      <c r="C506" s="46"/>
      <c r="D506" s="46"/>
      <c r="E506" s="46"/>
      <c r="F506" s="6"/>
      <c r="G506" s="46"/>
      <c r="H506" s="2"/>
      <c r="I506" s="2"/>
      <c r="J506" s="2"/>
    </row>
    <row r="507" spans="2:10" x14ac:dyDescent="0.2">
      <c r="B507" s="2"/>
      <c r="C507" s="46"/>
      <c r="D507" s="46"/>
      <c r="E507" s="46"/>
      <c r="F507" s="2"/>
      <c r="G507" s="46"/>
      <c r="H507" s="2"/>
      <c r="I507" s="2"/>
      <c r="J507" s="2"/>
    </row>
    <row r="508" spans="2:10" x14ac:dyDescent="0.2">
      <c r="B508" s="2"/>
      <c r="C508" s="46"/>
      <c r="D508" s="46"/>
      <c r="E508" s="46"/>
      <c r="F508" s="6"/>
      <c r="G508" s="46"/>
      <c r="H508" s="2"/>
      <c r="I508" s="2"/>
      <c r="J508" s="2"/>
    </row>
    <row r="509" spans="2:10" x14ac:dyDescent="0.2">
      <c r="B509" s="2"/>
      <c r="C509" s="46"/>
      <c r="D509" s="46"/>
      <c r="E509" s="46"/>
      <c r="F509" s="6"/>
      <c r="G509" s="46"/>
      <c r="H509" s="2"/>
      <c r="I509" s="2"/>
      <c r="J509" s="2"/>
    </row>
    <row r="510" spans="2:10" x14ac:dyDescent="0.2">
      <c r="B510" s="2"/>
      <c r="C510" s="46"/>
      <c r="D510" s="46"/>
      <c r="E510" s="46"/>
      <c r="F510" s="6"/>
      <c r="G510" s="46"/>
      <c r="H510" s="2"/>
      <c r="I510" s="2"/>
      <c r="J510" s="2"/>
    </row>
    <row r="511" spans="2:10" x14ac:dyDescent="0.2">
      <c r="B511" s="2"/>
      <c r="C511" s="46"/>
      <c r="D511" s="46"/>
      <c r="E511" s="46"/>
      <c r="F511" s="2"/>
      <c r="G511" s="46"/>
      <c r="H511" s="2"/>
      <c r="I511" s="2"/>
      <c r="J511" s="2"/>
    </row>
    <row r="512" spans="2:10" x14ac:dyDescent="0.2">
      <c r="B512" s="2"/>
      <c r="C512" s="46"/>
      <c r="D512" s="46"/>
      <c r="E512" s="46"/>
      <c r="F512" s="2"/>
      <c r="G512" s="46"/>
      <c r="H512" s="2"/>
      <c r="I512" s="2"/>
      <c r="J512" s="2"/>
    </row>
    <row r="513" spans="2:10" x14ac:dyDescent="0.2">
      <c r="B513" s="2"/>
      <c r="C513" s="46"/>
      <c r="D513" s="46"/>
      <c r="E513" s="46"/>
      <c r="F513" s="6"/>
      <c r="G513" s="46"/>
      <c r="H513" s="2"/>
      <c r="I513" s="2"/>
      <c r="J513" s="2"/>
    </row>
    <row r="514" spans="2:10" x14ac:dyDescent="0.2">
      <c r="B514" s="2"/>
      <c r="C514" s="46"/>
      <c r="D514" s="46"/>
      <c r="E514" s="46"/>
      <c r="F514" s="2"/>
      <c r="G514" s="46"/>
      <c r="H514" s="2"/>
      <c r="I514" s="2"/>
      <c r="J514" s="2"/>
    </row>
    <row r="515" spans="2:10" x14ac:dyDescent="0.2">
      <c r="B515" s="2"/>
      <c r="C515" s="46"/>
      <c r="D515" s="46"/>
      <c r="E515" s="46"/>
      <c r="F515" s="6"/>
      <c r="G515" s="46"/>
      <c r="H515" s="2"/>
      <c r="I515" s="2"/>
      <c r="J515" s="2"/>
    </row>
    <row r="516" spans="2:10" x14ac:dyDescent="0.2">
      <c r="B516" s="2"/>
      <c r="C516" s="46"/>
      <c r="D516" s="46"/>
      <c r="E516" s="46"/>
      <c r="F516" s="2"/>
      <c r="G516" s="46"/>
      <c r="H516" s="2"/>
      <c r="I516" s="2"/>
      <c r="J516" s="2"/>
    </row>
    <row r="517" spans="2:10" x14ac:dyDescent="0.2">
      <c r="B517" s="2"/>
      <c r="C517" s="46"/>
      <c r="D517" s="46"/>
      <c r="E517" s="46"/>
      <c r="F517" s="2"/>
      <c r="G517" s="46"/>
      <c r="H517" s="2"/>
      <c r="I517" s="2"/>
      <c r="J517" s="2"/>
    </row>
    <row r="518" spans="2:10" x14ac:dyDescent="0.2">
      <c r="B518" s="2"/>
      <c r="C518" s="46"/>
      <c r="D518" s="46"/>
      <c r="E518" s="46"/>
      <c r="F518" s="6"/>
      <c r="G518" s="46"/>
      <c r="H518" s="2"/>
      <c r="I518" s="2"/>
      <c r="J518" s="2"/>
    </row>
    <row r="519" spans="2:10" x14ac:dyDescent="0.2">
      <c r="B519" s="2"/>
      <c r="C519" s="46"/>
      <c r="D519" s="46"/>
      <c r="E519" s="46"/>
      <c r="F519" s="2"/>
      <c r="G519" s="46"/>
      <c r="H519" s="2"/>
      <c r="I519" s="2"/>
      <c r="J519" s="2"/>
    </row>
    <row r="520" spans="2:10" x14ac:dyDescent="0.2">
      <c r="B520" s="2"/>
      <c r="C520" s="46"/>
      <c r="D520" s="46"/>
      <c r="E520" s="46"/>
      <c r="F520" s="6"/>
      <c r="G520" s="46"/>
      <c r="H520" s="2"/>
      <c r="I520" s="2"/>
      <c r="J520" s="2"/>
    </row>
    <row r="521" spans="2:10" x14ac:dyDescent="0.2">
      <c r="B521" s="2"/>
      <c r="C521" s="46"/>
      <c r="D521" s="46"/>
      <c r="E521" s="46"/>
      <c r="F521" s="2"/>
      <c r="G521" s="46"/>
      <c r="H521" s="2"/>
      <c r="I521" s="2"/>
      <c r="J521" s="2"/>
    </row>
    <row r="522" spans="2:10" x14ac:dyDescent="0.2">
      <c r="B522" s="2"/>
      <c r="C522" s="46"/>
      <c r="D522" s="46"/>
      <c r="E522" s="46"/>
      <c r="F522" s="2"/>
      <c r="G522" s="46"/>
      <c r="H522" s="2"/>
      <c r="I522" s="2"/>
      <c r="J522" s="2"/>
    </row>
    <row r="523" spans="2:10" x14ac:dyDescent="0.2">
      <c r="B523" s="2"/>
      <c r="C523" s="46"/>
      <c r="D523" s="46"/>
      <c r="E523" s="46"/>
      <c r="F523" s="2"/>
      <c r="G523" s="46"/>
      <c r="H523" s="2"/>
      <c r="I523" s="2"/>
      <c r="J523" s="2"/>
    </row>
    <row r="524" spans="2:10" x14ac:dyDescent="0.2">
      <c r="B524" s="2"/>
      <c r="C524" s="46"/>
      <c r="D524" s="46"/>
      <c r="E524" s="46"/>
      <c r="F524" s="2"/>
      <c r="G524" s="46"/>
      <c r="H524" s="2"/>
      <c r="I524" s="2"/>
      <c r="J524" s="2"/>
    </row>
    <row r="525" spans="2:10" x14ac:dyDescent="0.2">
      <c r="B525" s="2"/>
      <c r="C525" s="46"/>
      <c r="D525" s="46"/>
      <c r="E525" s="46"/>
      <c r="F525" s="2"/>
      <c r="G525" s="46"/>
      <c r="H525" s="2"/>
      <c r="I525" s="2"/>
      <c r="J525" s="2"/>
    </row>
    <row r="526" spans="2:10" x14ac:dyDescent="0.2">
      <c r="B526" s="2"/>
      <c r="C526" s="46"/>
      <c r="D526" s="46"/>
      <c r="E526" s="46"/>
      <c r="F526" s="6"/>
      <c r="G526" s="46"/>
      <c r="H526" s="2"/>
      <c r="I526" s="2"/>
      <c r="J526" s="2"/>
    </row>
    <row r="527" spans="2:10" x14ac:dyDescent="0.2">
      <c r="B527" s="2"/>
      <c r="C527" s="46"/>
      <c r="D527" s="46"/>
      <c r="E527" s="46"/>
      <c r="F527" s="2"/>
      <c r="G527" s="46"/>
      <c r="H527" s="2"/>
      <c r="I527" s="2"/>
      <c r="J527" s="2"/>
    </row>
    <row r="528" spans="2:10" x14ac:dyDescent="0.2">
      <c r="B528" s="2"/>
      <c r="C528" s="46"/>
      <c r="D528" s="46"/>
      <c r="E528" s="46"/>
      <c r="F528" s="2"/>
      <c r="G528" s="46"/>
      <c r="H528" s="2"/>
      <c r="I528" s="2"/>
      <c r="J528" s="2"/>
    </row>
    <row r="529" spans="2:10" x14ac:dyDescent="0.2">
      <c r="B529" s="2"/>
      <c r="C529" s="46"/>
      <c r="D529" s="46"/>
      <c r="E529" s="46"/>
      <c r="F529" s="6"/>
      <c r="G529" s="46"/>
      <c r="H529" s="2"/>
      <c r="I529" s="2"/>
      <c r="J529" s="2"/>
    </row>
    <row r="530" spans="2:10" x14ac:dyDescent="0.2">
      <c r="B530" s="2"/>
      <c r="C530" s="46"/>
      <c r="D530" s="46"/>
      <c r="E530" s="46"/>
      <c r="F530" s="2"/>
      <c r="G530" s="46"/>
      <c r="H530" s="2"/>
      <c r="I530" s="2"/>
      <c r="J530" s="2"/>
    </row>
    <row r="531" spans="2:10" x14ac:dyDescent="0.2">
      <c r="B531" s="2"/>
      <c r="C531" s="46"/>
      <c r="D531" s="46"/>
      <c r="E531" s="46"/>
      <c r="F531" s="6"/>
      <c r="G531" s="46"/>
      <c r="H531" s="2"/>
      <c r="I531" s="2"/>
      <c r="J531" s="2"/>
    </row>
    <row r="532" spans="2:10" x14ac:dyDescent="0.2">
      <c r="B532" s="2"/>
      <c r="C532" s="46"/>
      <c r="D532" s="46"/>
      <c r="E532" s="46"/>
      <c r="F532" s="2"/>
      <c r="G532" s="46"/>
      <c r="H532" s="2"/>
      <c r="I532" s="2"/>
      <c r="J532" s="2"/>
    </row>
    <row r="533" spans="2:10" x14ac:dyDescent="0.2">
      <c r="B533" s="2"/>
      <c r="C533" s="46"/>
      <c r="D533" s="46"/>
      <c r="E533" s="46"/>
      <c r="F533" s="2"/>
      <c r="G533" s="46"/>
      <c r="H533" s="2"/>
      <c r="I533" s="2"/>
      <c r="J533" s="2"/>
    </row>
    <row r="534" spans="2:10" x14ac:dyDescent="0.2">
      <c r="B534" s="2"/>
      <c r="C534" s="46"/>
      <c r="D534" s="46"/>
      <c r="E534" s="46"/>
      <c r="F534" s="2"/>
      <c r="G534" s="46"/>
      <c r="H534" s="2"/>
      <c r="I534" s="2"/>
      <c r="J534" s="2"/>
    </row>
    <row r="535" spans="2:10" x14ac:dyDescent="0.2">
      <c r="B535" s="2"/>
      <c r="C535" s="46"/>
      <c r="D535" s="46"/>
      <c r="E535" s="46"/>
      <c r="F535" s="2"/>
      <c r="G535" s="46"/>
      <c r="H535" s="2"/>
      <c r="I535" s="2"/>
      <c r="J535" s="2"/>
    </row>
    <row r="536" spans="2:10" x14ac:dyDescent="0.2">
      <c r="B536" s="2"/>
      <c r="C536" s="46"/>
      <c r="D536" s="46"/>
      <c r="E536" s="46"/>
      <c r="F536" s="6"/>
      <c r="G536" s="46"/>
      <c r="H536" s="2"/>
      <c r="I536" s="2"/>
      <c r="J536" s="2"/>
    </row>
    <row r="537" spans="2:10" x14ac:dyDescent="0.2">
      <c r="B537" s="2"/>
      <c r="C537" s="46"/>
      <c r="D537" s="46"/>
      <c r="E537" s="46"/>
      <c r="F537" s="6"/>
      <c r="G537" s="46"/>
      <c r="H537" s="2"/>
      <c r="I537" s="2"/>
      <c r="J537" s="2"/>
    </row>
    <row r="538" spans="2:10" x14ac:dyDescent="0.2">
      <c r="B538" s="2"/>
      <c r="C538" s="46"/>
      <c r="D538" s="46"/>
      <c r="E538" s="46"/>
      <c r="F538" s="2"/>
      <c r="G538" s="46"/>
      <c r="H538" s="2"/>
      <c r="I538" s="2"/>
      <c r="J538" s="2"/>
    </row>
    <row r="539" spans="2:10" x14ac:dyDescent="0.2">
      <c r="B539" s="2"/>
      <c r="C539" s="46"/>
      <c r="D539" s="46"/>
      <c r="E539" s="46"/>
      <c r="F539" s="2"/>
      <c r="G539" s="46"/>
      <c r="H539" s="2"/>
      <c r="I539" s="2"/>
      <c r="J539" s="2"/>
    </row>
    <row r="540" spans="2:10" x14ac:dyDescent="0.2">
      <c r="B540" s="2"/>
      <c r="C540" s="46"/>
      <c r="D540" s="46"/>
      <c r="E540" s="46"/>
      <c r="F540" s="2"/>
      <c r="G540" s="46"/>
      <c r="H540" s="2"/>
      <c r="I540" s="2"/>
      <c r="J540" s="2"/>
    </row>
    <row r="541" spans="2:10" x14ac:dyDescent="0.2">
      <c r="B541" s="2"/>
      <c r="C541" s="46"/>
      <c r="D541" s="46"/>
      <c r="E541" s="46"/>
      <c r="F541" s="2"/>
      <c r="G541" s="46"/>
      <c r="H541" s="2"/>
      <c r="I541" s="2"/>
      <c r="J541" s="2"/>
    </row>
    <row r="542" spans="2:10" x14ac:dyDescent="0.2">
      <c r="B542" s="2"/>
      <c r="C542" s="46"/>
      <c r="D542" s="46"/>
      <c r="E542" s="46"/>
      <c r="F542" s="6"/>
      <c r="G542" s="46"/>
      <c r="H542" s="2"/>
      <c r="I542" s="2"/>
      <c r="J542" s="2"/>
    </row>
    <row r="543" spans="2:10" x14ac:dyDescent="0.2">
      <c r="B543" s="2"/>
      <c r="C543" s="46"/>
      <c r="D543" s="46"/>
      <c r="E543" s="46"/>
      <c r="F543" s="6"/>
      <c r="G543" s="46"/>
      <c r="H543" s="2"/>
      <c r="I543" s="2"/>
      <c r="J543" s="2"/>
    </row>
    <row r="544" spans="2:10" x14ac:dyDescent="0.2">
      <c r="B544" s="2"/>
      <c r="C544" s="46"/>
      <c r="D544" s="46"/>
      <c r="E544" s="46"/>
      <c r="F544" s="6"/>
      <c r="G544" s="46"/>
      <c r="H544" s="2"/>
      <c r="I544" s="2"/>
      <c r="J544" s="2"/>
    </row>
    <row r="545" spans="2:10" x14ac:dyDescent="0.2">
      <c r="B545" s="2"/>
      <c r="C545" s="46"/>
      <c r="D545" s="46"/>
      <c r="E545" s="46"/>
      <c r="F545" s="2"/>
      <c r="G545" s="46"/>
      <c r="H545" s="2"/>
      <c r="I545" s="2"/>
      <c r="J545" s="2"/>
    </row>
    <row r="546" spans="2:10" x14ac:dyDescent="0.2">
      <c r="B546" s="2"/>
      <c r="C546" s="46"/>
      <c r="D546" s="46"/>
      <c r="E546" s="46"/>
      <c r="F546" s="6"/>
      <c r="G546" s="46"/>
      <c r="H546" s="2"/>
      <c r="I546" s="2"/>
      <c r="J546" s="2"/>
    </row>
    <row r="547" spans="2:10" x14ac:dyDescent="0.2">
      <c r="B547" s="2"/>
      <c r="C547" s="46"/>
      <c r="D547" s="46"/>
      <c r="E547" s="46"/>
      <c r="F547" s="6"/>
      <c r="G547" s="46"/>
      <c r="H547" s="2"/>
      <c r="I547" s="2"/>
      <c r="J547" s="2"/>
    </row>
    <row r="548" spans="2:10" x14ac:dyDescent="0.2">
      <c r="B548" s="2"/>
      <c r="C548" s="46"/>
      <c r="D548" s="46"/>
      <c r="E548" s="46"/>
      <c r="F548" s="6"/>
      <c r="G548" s="46"/>
      <c r="H548" s="2"/>
      <c r="I548" s="2"/>
      <c r="J548" s="2"/>
    </row>
    <row r="549" spans="2:10" x14ac:dyDescent="0.2">
      <c r="B549" s="2"/>
      <c r="C549" s="46"/>
      <c r="D549" s="46"/>
      <c r="E549" s="46"/>
      <c r="F549" s="6"/>
      <c r="G549" s="46"/>
      <c r="H549" s="2"/>
      <c r="I549" s="2"/>
      <c r="J549" s="2"/>
    </row>
    <row r="550" spans="2:10" x14ac:dyDescent="0.2">
      <c r="B550" s="2"/>
      <c r="C550" s="46"/>
      <c r="D550" s="46"/>
      <c r="E550" s="46"/>
      <c r="F550" s="6"/>
      <c r="G550" s="46"/>
      <c r="H550" s="2"/>
      <c r="I550" s="2"/>
      <c r="J550" s="2"/>
    </row>
    <row r="551" spans="2:10" x14ac:dyDescent="0.2">
      <c r="B551" s="2"/>
      <c r="C551" s="46"/>
      <c r="D551" s="46"/>
      <c r="E551" s="46"/>
      <c r="F551" s="6"/>
      <c r="G551" s="46"/>
      <c r="H551" s="2"/>
      <c r="I551" s="2"/>
      <c r="J551" s="2"/>
    </row>
    <row r="552" spans="2:10" x14ac:dyDescent="0.2">
      <c r="B552" s="2"/>
      <c r="C552" s="46"/>
      <c r="D552" s="46"/>
      <c r="E552" s="46"/>
      <c r="F552" s="6"/>
      <c r="G552" s="46"/>
      <c r="H552" s="2"/>
      <c r="I552" s="2"/>
      <c r="J552" s="2"/>
    </row>
    <row r="553" spans="2:10" x14ac:dyDescent="0.2">
      <c r="B553" s="2"/>
      <c r="C553" s="46"/>
      <c r="D553" s="46"/>
      <c r="E553" s="46"/>
      <c r="F553" s="6"/>
      <c r="G553" s="46"/>
      <c r="H553" s="2"/>
      <c r="I553" s="2"/>
      <c r="J553" s="2"/>
    </row>
    <row r="554" spans="2:10" x14ac:dyDescent="0.2">
      <c r="B554" s="2"/>
      <c r="C554" s="46"/>
      <c r="D554" s="46"/>
      <c r="E554" s="46"/>
      <c r="F554" s="2"/>
      <c r="G554" s="46"/>
      <c r="H554" s="2"/>
      <c r="I554" s="2"/>
      <c r="J554" s="2"/>
    </row>
    <row r="555" spans="2:10" x14ac:dyDescent="0.2">
      <c r="B555" s="2"/>
      <c r="C555" s="46"/>
      <c r="D555" s="46"/>
      <c r="E555" s="46"/>
      <c r="F555" s="2"/>
      <c r="G555" s="46"/>
      <c r="H555" s="2"/>
      <c r="I555" s="2"/>
      <c r="J555" s="2"/>
    </row>
    <row r="556" spans="2:10" x14ac:dyDescent="0.2">
      <c r="B556" s="2"/>
      <c r="C556" s="46"/>
      <c r="D556" s="46"/>
      <c r="E556" s="46"/>
      <c r="F556" s="6"/>
      <c r="G556" s="46"/>
      <c r="H556" s="2"/>
      <c r="I556" s="2"/>
      <c r="J556" s="2"/>
    </row>
    <row r="557" spans="2:10" x14ac:dyDescent="0.2">
      <c r="B557" s="2"/>
      <c r="C557" s="46"/>
      <c r="D557" s="46"/>
      <c r="E557" s="46"/>
      <c r="F557" s="2"/>
      <c r="G557" s="46"/>
      <c r="H557" s="2"/>
      <c r="I557" s="2"/>
      <c r="J557" s="2"/>
    </row>
    <row r="558" spans="2:10" x14ac:dyDescent="0.2">
      <c r="B558" s="2"/>
      <c r="C558" s="46"/>
      <c r="D558" s="46"/>
      <c r="E558" s="46"/>
      <c r="F558" s="6"/>
      <c r="G558" s="46"/>
      <c r="H558" s="2"/>
      <c r="I558" s="2"/>
      <c r="J558" s="2"/>
    </row>
    <row r="559" spans="2:10" x14ac:dyDescent="0.2">
      <c r="B559" s="2"/>
      <c r="C559" s="46"/>
      <c r="D559" s="46"/>
      <c r="E559" s="46"/>
      <c r="F559" s="2"/>
      <c r="G559" s="46"/>
      <c r="H559" s="2"/>
      <c r="I559" s="2"/>
      <c r="J559" s="2"/>
    </row>
    <row r="560" spans="2:10" x14ac:dyDescent="0.2">
      <c r="B560" s="2"/>
      <c r="C560" s="46"/>
      <c r="D560" s="46"/>
      <c r="E560" s="46"/>
      <c r="F560" s="6"/>
      <c r="G560" s="46"/>
      <c r="H560" s="2"/>
      <c r="I560" s="2"/>
      <c r="J560" s="2"/>
    </row>
    <row r="561" spans="2:10" x14ac:dyDescent="0.2">
      <c r="B561" s="2"/>
      <c r="C561" s="46"/>
      <c r="D561" s="46"/>
      <c r="E561" s="46"/>
      <c r="F561" s="6"/>
      <c r="G561" s="46"/>
      <c r="H561" s="2"/>
      <c r="I561" s="2"/>
      <c r="J561" s="2"/>
    </row>
    <row r="562" spans="2:10" x14ac:dyDescent="0.2">
      <c r="B562" s="2"/>
      <c r="C562" s="46"/>
      <c r="D562" s="46"/>
      <c r="E562" s="46"/>
      <c r="F562" s="6"/>
      <c r="G562" s="46"/>
      <c r="H562" s="2"/>
      <c r="I562" s="2"/>
      <c r="J562" s="2"/>
    </row>
    <row r="563" spans="2:10" x14ac:dyDescent="0.2">
      <c r="B563" s="2"/>
      <c r="C563" s="46"/>
      <c r="D563" s="46"/>
      <c r="E563" s="46"/>
      <c r="F563" s="2"/>
      <c r="G563" s="46"/>
      <c r="H563" s="2"/>
      <c r="I563" s="2"/>
      <c r="J563" s="2"/>
    </row>
    <row r="564" spans="2:10" x14ac:dyDescent="0.2">
      <c r="B564" s="2"/>
      <c r="C564" s="46"/>
      <c r="D564" s="46"/>
      <c r="E564" s="46"/>
      <c r="F564" s="6"/>
      <c r="G564" s="46"/>
      <c r="H564" s="2"/>
      <c r="I564" s="2"/>
      <c r="J564" s="2"/>
    </row>
    <row r="565" spans="2:10" x14ac:dyDescent="0.2">
      <c r="B565" s="2"/>
      <c r="C565" s="46"/>
      <c r="D565" s="46"/>
      <c r="E565" s="46"/>
      <c r="F565" s="6"/>
      <c r="G565" s="46"/>
      <c r="H565" s="2"/>
      <c r="I565" s="2"/>
      <c r="J565" s="2"/>
    </row>
    <row r="566" spans="2:10" x14ac:dyDescent="0.2">
      <c r="B566" s="2"/>
      <c r="C566" s="46"/>
      <c r="D566" s="46"/>
      <c r="E566" s="46"/>
      <c r="F566" s="6"/>
      <c r="G566" s="46"/>
      <c r="H566" s="2"/>
      <c r="I566" s="2"/>
      <c r="J566" s="2"/>
    </row>
    <row r="567" spans="2:10" x14ac:dyDescent="0.2">
      <c r="B567" s="2"/>
      <c r="C567" s="46"/>
      <c r="D567" s="46"/>
      <c r="E567" s="46"/>
      <c r="F567" s="6"/>
      <c r="G567" s="46"/>
      <c r="H567" s="2"/>
      <c r="I567" s="2"/>
      <c r="J567" s="2"/>
    </row>
    <row r="568" spans="2:10" x14ac:dyDescent="0.2">
      <c r="B568" s="2"/>
      <c r="C568" s="46"/>
      <c r="D568" s="46"/>
      <c r="E568" s="46"/>
      <c r="F568" s="6"/>
      <c r="G568" s="46"/>
      <c r="H568" s="2"/>
      <c r="I568" s="2"/>
      <c r="J568" s="2"/>
    </row>
    <row r="569" spans="2:10" x14ac:dyDescent="0.2">
      <c r="B569" s="2"/>
      <c r="C569" s="46"/>
      <c r="D569" s="46"/>
      <c r="E569" s="46"/>
      <c r="F569" s="2"/>
      <c r="G569" s="46"/>
      <c r="H569" s="2"/>
      <c r="I569" s="2"/>
      <c r="J569" s="2"/>
    </row>
    <row r="570" spans="2:10" x14ac:dyDescent="0.2">
      <c r="B570" s="2"/>
      <c r="C570" s="46"/>
      <c r="D570" s="46"/>
      <c r="E570" s="46"/>
      <c r="F570" s="2"/>
      <c r="G570" s="46"/>
      <c r="H570" s="2"/>
      <c r="I570" s="2"/>
      <c r="J570" s="2"/>
    </row>
    <row r="571" spans="2:10" x14ac:dyDescent="0.2">
      <c r="B571" s="2"/>
      <c r="C571" s="46"/>
      <c r="D571" s="46"/>
      <c r="E571" s="46"/>
      <c r="F571" s="6"/>
      <c r="G571" s="46"/>
      <c r="H571" s="2"/>
      <c r="I571" s="2"/>
      <c r="J571" s="2"/>
    </row>
    <row r="572" spans="2:10" x14ac:dyDescent="0.2">
      <c r="B572" s="2"/>
      <c r="C572" s="46"/>
      <c r="D572" s="46"/>
      <c r="E572" s="46"/>
      <c r="F572" s="2"/>
      <c r="G572" s="46"/>
      <c r="H572" s="2"/>
      <c r="I572" s="2"/>
      <c r="J572" s="2"/>
    </row>
    <row r="573" spans="2:10" x14ac:dyDescent="0.2">
      <c r="B573" s="2"/>
      <c r="C573" s="46"/>
      <c r="D573" s="46"/>
      <c r="E573" s="46"/>
      <c r="F573" s="6"/>
      <c r="G573" s="46"/>
      <c r="H573" s="2"/>
      <c r="I573" s="2"/>
      <c r="J573" s="2"/>
    </row>
    <row r="574" spans="2:10" x14ac:dyDescent="0.2">
      <c r="B574" s="2"/>
      <c r="C574" s="46"/>
      <c r="D574" s="46"/>
      <c r="E574" s="46"/>
      <c r="F574" s="2"/>
      <c r="G574" s="46"/>
      <c r="H574" s="2"/>
      <c r="I574" s="2"/>
      <c r="J574" s="2"/>
    </row>
    <row r="575" spans="2:10" x14ac:dyDescent="0.2">
      <c r="B575" s="2"/>
      <c r="C575" s="46"/>
      <c r="D575" s="46"/>
      <c r="E575" s="46"/>
      <c r="F575" s="2"/>
      <c r="G575" s="46"/>
      <c r="H575" s="2"/>
      <c r="I575" s="2"/>
      <c r="J575" s="2"/>
    </row>
    <row r="576" spans="2:10" x14ac:dyDescent="0.2">
      <c r="B576" s="2"/>
      <c r="C576" s="46"/>
      <c r="D576" s="46"/>
      <c r="E576" s="46"/>
      <c r="F576" s="2"/>
      <c r="G576" s="46"/>
      <c r="H576" s="2"/>
      <c r="I576" s="2"/>
      <c r="J576" s="2"/>
    </row>
    <row r="577" spans="2:10" x14ac:dyDescent="0.2">
      <c r="B577" s="2"/>
      <c r="C577" s="46"/>
      <c r="D577" s="46"/>
      <c r="E577" s="46"/>
      <c r="F577" s="6"/>
      <c r="G577" s="46"/>
      <c r="H577" s="2"/>
      <c r="I577" s="2"/>
      <c r="J577" s="2"/>
    </row>
    <row r="578" spans="2:10" x14ac:dyDescent="0.2">
      <c r="B578" s="2"/>
      <c r="C578" s="46"/>
      <c r="D578" s="46"/>
      <c r="E578" s="46"/>
      <c r="F578" s="6"/>
      <c r="G578" s="46"/>
      <c r="H578" s="2"/>
      <c r="I578" s="2"/>
      <c r="J578" s="2"/>
    </row>
    <row r="579" spans="2:10" x14ac:dyDescent="0.2">
      <c r="B579" s="2"/>
      <c r="C579" s="46"/>
      <c r="D579" s="46"/>
      <c r="E579" s="46"/>
      <c r="F579" s="6"/>
      <c r="G579" s="46"/>
      <c r="H579" s="2"/>
      <c r="I579" s="2"/>
      <c r="J579" s="2"/>
    </row>
    <row r="580" spans="2:10" x14ac:dyDescent="0.2">
      <c r="B580" s="2"/>
      <c r="C580" s="46"/>
      <c r="D580" s="46"/>
      <c r="E580" s="46"/>
      <c r="F580" s="2"/>
      <c r="G580" s="46"/>
      <c r="H580" s="2"/>
      <c r="I580" s="2"/>
      <c r="J580" s="2"/>
    </row>
    <row r="581" spans="2:10" x14ac:dyDescent="0.2">
      <c r="B581" s="2"/>
      <c r="C581" s="46"/>
      <c r="D581" s="46"/>
      <c r="E581" s="46"/>
      <c r="F581" s="2"/>
      <c r="G581" s="46"/>
      <c r="H581" s="2"/>
      <c r="I581" s="2"/>
      <c r="J581" s="2"/>
    </row>
    <row r="582" spans="2:10" x14ac:dyDescent="0.2">
      <c r="B582" s="2"/>
      <c r="C582" s="46"/>
      <c r="D582" s="46"/>
      <c r="E582" s="46"/>
      <c r="F582" s="6"/>
      <c r="G582" s="46"/>
      <c r="H582" s="2"/>
      <c r="I582" s="2"/>
      <c r="J582" s="2"/>
    </row>
    <row r="583" spans="2:10" x14ac:dyDescent="0.2">
      <c r="B583" s="2"/>
      <c r="C583" s="46"/>
      <c r="D583" s="46"/>
      <c r="E583" s="46"/>
      <c r="F583" s="6"/>
      <c r="G583" s="46"/>
      <c r="H583" s="2"/>
      <c r="I583" s="2"/>
      <c r="J583" s="2"/>
    </row>
    <row r="584" spans="2:10" x14ac:dyDescent="0.2">
      <c r="B584" s="2"/>
      <c r="C584" s="46"/>
      <c r="D584" s="46"/>
      <c r="E584" s="46"/>
      <c r="F584" s="2"/>
      <c r="G584" s="46"/>
      <c r="H584" s="2"/>
      <c r="I584" s="2"/>
      <c r="J584" s="2"/>
    </row>
    <row r="585" spans="2:10" x14ac:dyDescent="0.2">
      <c r="B585" s="2"/>
      <c r="C585" s="46"/>
      <c r="D585" s="46"/>
      <c r="E585" s="46"/>
      <c r="F585" s="6"/>
      <c r="G585" s="46"/>
      <c r="H585" s="2"/>
      <c r="I585" s="2"/>
      <c r="J585" s="2"/>
    </row>
    <row r="586" spans="2:10" x14ac:dyDescent="0.2">
      <c r="B586" s="2"/>
      <c r="C586" s="46"/>
      <c r="D586" s="46"/>
      <c r="E586" s="46"/>
      <c r="F586" s="6"/>
      <c r="G586" s="46"/>
      <c r="H586" s="2"/>
      <c r="I586" s="2"/>
      <c r="J586" s="2"/>
    </row>
    <row r="587" spans="2:10" x14ac:dyDescent="0.2">
      <c r="B587" s="2"/>
      <c r="C587" s="46"/>
      <c r="D587" s="46"/>
      <c r="E587" s="46"/>
      <c r="F587" s="6"/>
      <c r="G587" s="46"/>
      <c r="H587" s="2"/>
      <c r="I587" s="2"/>
      <c r="J587" s="2"/>
    </row>
    <row r="588" spans="2:10" x14ac:dyDescent="0.2">
      <c r="B588" s="2"/>
      <c r="C588" s="46"/>
      <c r="D588" s="46"/>
      <c r="E588" s="46"/>
      <c r="F588" s="2"/>
      <c r="G588" s="46"/>
      <c r="H588" s="2"/>
      <c r="I588" s="2"/>
      <c r="J588" s="2"/>
    </row>
    <row r="589" spans="2:10" x14ac:dyDescent="0.2">
      <c r="B589" s="2"/>
      <c r="C589" s="46"/>
      <c r="D589" s="46"/>
      <c r="E589" s="46"/>
      <c r="F589" s="6"/>
      <c r="G589" s="46"/>
      <c r="H589" s="2"/>
      <c r="I589" s="2"/>
      <c r="J589" s="2"/>
    </row>
    <row r="590" spans="2:10" x14ac:dyDescent="0.2">
      <c r="B590" s="2"/>
      <c r="C590" s="46"/>
      <c r="D590" s="46"/>
      <c r="E590" s="46"/>
      <c r="F590" s="6"/>
      <c r="G590" s="46"/>
      <c r="H590" s="2"/>
      <c r="I590" s="2"/>
      <c r="J590" s="2"/>
    </row>
    <row r="591" spans="2:10" x14ac:dyDescent="0.2">
      <c r="B591" s="2"/>
      <c r="C591" s="46"/>
      <c r="D591" s="46"/>
      <c r="E591" s="46"/>
      <c r="F591" s="2"/>
      <c r="G591" s="46"/>
      <c r="H591" s="2"/>
      <c r="I591" s="2"/>
      <c r="J591" s="2"/>
    </row>
    <row r="592" spans="2:10" x14ac:dyDescent="0.2">
      <c r="B592" s="2"/>
      <c r="C592" s="46"/>
      <c r="D592" s="46"/>
      <c r="E592" s="46"/>
      <c r="F592" s="6"/>
      <c r="G592" s="46"/>
      <c r="H592" s="2"/>
      <c r="I592" s="2"/>
      <c r="J592" s="2"/>
    </row>
    <row r="593" spans="2:10" x14ac:dyDescent="0.2">
      <c r="B593" s="2"/>
      <c r="C593" s="46"/>
      <c r="D593" s="46"/>
      <c r="E593" s="46"/>
      <c r="F593" s="6"/>
      <c r="G593" s="46"/>
      <c r="H593" s="2"/>
      <c r="I593" s="2"/>
      <c r="J593" s="2"/>
    </row>
    <row r="594" spans="2:10" x14ac:dyDescent="0.2">
      <c r="B594" s="2"/>
      <c r="C594" s="46"/>
      <c r="D594" s="46"/>
      <c r="E594" s="46"/>
      <c r="F594" s="6"/>
      <c r="G594" s="46"/>
      <c r="H594" s="2"/>
      <c r="I594" s="2"/>
      <c r="J594" s="2"/>
    </row>
    <row r="595" spans="2:10" x14ac:dyDescent="0.2">
      <c r="B595" s="2"/>
      <c r="C595" s="46"/>
      <c r="D595" s="46"/>
      <c r="E595" s="46"/>
      <c r="F595" s="2"/>
      <c r="G595" s="46"/>
      <c r="H595" s="2"/>
      <c r="I595" s="2"/>
      <c r="J595" s="2"/>
    </row>
    <row r="596" spans="2:10" x14ac:dyDescent="0.2">
      <c r="B596" s="2"/>
      <c r="C596" s="46"/>
      <c r="D596" s="46"/>
      <c r="E596" s="46"/>
      <c r="F596" s="6"/>
      <c r="G596" s="46"/>
      <c r="H596" s="2"/>
      <c r="I596" s="2"/>
      <c r="J596" s="2"/>
    </row>
    <row r="597" spans="2:10" x14ac:dyDescent="0.2">
      <c r="B597" s="2"/>
      <c r="C597" s="46"/>
      <c r="D597" s="46"/>
      <c r="E597" s="46"/>
      <c r="F597" s="2"/>
      <c r="G597" s="46"/>
      <c r="H597" s="2"/>
      <c r="I597" s="2"/>
      <c r="J597" s="2"/>
    </row>
    <row r="598" spans="2:10" x14ac:dyDescent="0.2">
      <c r="B598" s="2"/>
      <c r="C598" s="46"/>
      <c r="D598" s="46"/>
      <c r="E598" s="46"/>
      <c r="F598" s="2"/>
      <c r="G598" s="46"/>
      <c r="H598" s="2"/>
      <c r="I598" s="2"/>
      <c r="J598" s="2"/>
    </row>
    <row r="599" spans="2:10" x14ac:dyDescent="0.2">
      <c r="B599" s="2"/>
      <c r="C599" s="46"/>
      <c r="D599" s="46"/>
      <c r="E599" s="46"/>
      <c r="F599" s="6"/>
      <c r="G599" s="46"/>
      <c r="H599" s="2"/>
      <c r="I599" s="2"/>
      <c r="J599" s="2"/>
    </row>
    <row r="600" spans="2:10" x14ac:dyDescent="0.2">
      <c r="B600" s="2"/>
      <c r="C600" s="46"/>
      <c r="D600" s="46"/>
      <c r="E600" s="46"/>
      <c r="F600" s="2"/>
      <c r="G600" s="46"/>
      <c r="H600" s="2"/>
      <c r="I600" s="2"/>
      <c r="J600" s="2"/>
    </row>
    <row r="601" spans="2:10" x14ac:dyDescent="0.2">
      <c r="B601" s="2"/>
      <c r="C601" s="46"/>
      <c r="D601" s="46"/>
      <c r="E601" s="46"/>
      <c r="F601" s="6"/>
      <c r="G601" s="46"/>
      <c r="H601" s="2"/>
      <c r="I601" s="2"/>
      <c r="J601" s="2"/>
    </row>
    <row r="602" spans="2:10" x14ac:dyDescent="0.2">
      <c r="B602" s="2"/>
      <c r="C602" s="46"/>
      <c r="D602" s="46"/>
      <c r="E602" s="46"/>
      <c r="F602" s="6"/>
      <c r="G602" s="46"/>
      <c r="H602" s="2"/>
      <c r="I602" s="2"/>
      <c r="J602" s="2"/>
    </row>
    <row r="603" spans="2:10" x14ac:dyDescent="0.2">
      <c r="B603" s="2"/>
      <c r="C603" s="46"/>
      <c r="D603" s="46"/>
      <c r="E603" s="46"/>
      <c r="F603" s="6"/>
      <c r="G603" s="46"/>
      <c r="H603" s="2"/>
      <c r="I603" s="2"/>
      <c r="J603" s="2"/>
    </row>
    <row r="604" spans="2:10" x14ac:dyDescent="0.2">
      <c r="B604" s="2"/>
      <c r="C604" s="46"/>
      <c r="D604" s="46"/>
      <c r="E604" s="46"/>
      <c r="F604" s="6"/>
      <c r="G604" s="46"/>
      <c r="H604" s="2"/>
      <c r="I604" s="2"/>
      <c r="J604" s="2"/>
    </row>
    <row r="605" spans="2:10" x14ac:dyDescent="0.2">
      <c r="B605" s="2"/>
      <c r="C605" s="46"/>
      <c r="D605" s="46"/>
      <c r="E605" s="46"/>
      <c r="F605" s="2"/>
      <c r="G605" s="46"/>
      <c r="H605" s="2"/>
      <c r="I605" s="2"/>
      <c r="J605" s="2"/>
    </row>
    <row r="606" spans="2:10" x14ac:dyDescent="0.2">
      <c r="B606" s="2"/>
      <c r="C606" s="46"/>
      <c r="D606" s="46"/>
      <c r="E606" s="46"/>
      <c r="F606" s="6"/>
      <c r="G606" s="46"/>
      <c r="H606" s="2"/>
      <c r="I606" s="2"/>
      <c r="J606" s="2"/>
    </row>
    <row r="607" spans="2:10" x14ac:dyDescent="0.2">
      <c r="B607" s="2"/>
      <c r="C607" s="46"/>
      <c r="D607" s="46"/>
      <c r="E607" s="46"/>
      <c r="F607" s="2"/>
      <c r="G607" s="46"/>
      <c r="H607" s="2"/>
      <c r="I607" s="2"/>
      <c r="J607" s="2"/>
    </row>
    <row r="608" spans="2:10" x14ac:dyDescent="0.2">
      <c r="B608" s="2"/>
      <c r="C608" s="46"/>
      <c r="D608" s="46"/>
      <c r="E608" s="46"/>
      <c r="F608" s="2"/>
      <c r="G608" s="46"/>
      <c r="H608" s="2"/>
      <c r="I608" s="2"/>
      <c r="J608" s="2"/>
    </row>
    <row r="609" spans="2:10" x14ac:dyDescent="0.2">
      <c r="B609" s="2"/>
      <c r="C609" s="46"/>
      <c r="D609" s="46"/>
      <c r="E609" s="46"/>
      <c r="F609" s="2"/>
      <c r="G609" s="46"/>
      <c r="H609" s="2"/>
      <c r="I609" s="2"/>
      <c r="J609" s="2"/>
    </row>
    <row r="610" spans="2:10" x14ac:dyDescent="0.2">
      <c r="B610" s="2"/>
      <c r="C610" s="46"/>
      <c r="D610" s="46"/>
      <c r="E610" s="46"/>
      <c r="F610" s="2"/>
      <c r="G610" s="46"/>
      <c r="H610" s="2"/>
      <c r="I610" s="2"/>
      <c r="J610" s="2"/>
    </row>
    <row r="611" spans="2:10" x14ac:dyDescent="0.2">
      <c r="B611" s="2"/>
      <c r="C611" s="46"/>
      <c r="D611" s="46"/>
      <c r="E611" s="46"/>
      <c r="F611" s="6"/>
      <c r="G611" s="46"/>
      <c r="H611" s="2"/>
      <c r="I611" s="2"/>
      <c r="J611" s="2"/>
    </row>
    <row r="612" spans="2:10" x14ac:dyDescent="0.2">
      <c r="B612" s="2"/>
      <c r="C612" s="46"/>
      <c r="D612" s="46"/>
      <c r="E612" s="46"/>
      <c r="F612" s="6"/>
      <c r="G612" s="46"/>
      <c r="H612" s="2"/>
      <c r="I612" s="2"/>
      <c r="J612" s="2"/>
    </row>
    <row r="613" spans="2:10" x14ac:dyDescent="0.2">
      <c r="B613" s="2"/>
      <c r="C613" s="46"/>
      <c r="D613" s="46"/>
      <c r="E613" s="46"/>
      <c r="F613" s="6"/>
      <c r="G613" s="46"/>
      <c r="H613" s="2"/>
      <c r="I613" s="2"/>
      <c r="J613" s="2"/>
    </row>
    <row r="614" spans="2:10" x14ac:dyDescent="0.2">
      <c r="B614" s="2"/>
      <c r="C614" s="46"/>
      <c r="D614" s="46"/>
      <c r="E614" s="46"/>
      <c r="F614" s="2"/>
      <c r="G614" s="46"/>
      <c r="H614" s="2"/>
      <c r="I614" s="2"/>
      <c r="J614" s="2"/>
    </row>
    <row r="615" spans="2:10" x14ac:dyDescent="0.2">
      <c r="B615" s="2"/>
      <c r="C615" s="46"/>
      <c r="D615" s="46"/>
      <c r="E615" s="46"/>
      <c r="F615" s="6"/>
      <c r="G615" s="46"/>
      <c r="H615" s="2"/>
      <c r="I615" s="2"/>
      <c r="J615" s="2"/>
    </row>
    <row r="616" spans="2:10" x14ac:dyDescent="0.2">
      <c r="B616" s="2"/>
      <c r="C616" s="46"/>
      <c r="D616" s="46"/>
      <c r="E616" s="46"/>
      <c r="F616" s="6"/>
      <c r="G616" s="46"/>
      <c r="H616" s="2"/>
      <c r="I616" s="2"/>
      <c r="J616" s="2"/>
    </row>
    <row r="617" spans="2:10" x14ac:dyDescent="0.2">
      <c r="B617" s="2"/>
      <c r="C617" s="46"/>
      <c r="D617" s="46"/>
      <c r="E617" s="46"/>
      <c r="F617" s="6"/>
      <c r="G617" s="46"/>
      <c r="H617" s="2"/>
      <c r="I617" s="2"/>
      <c r="J617" s="2"/>
    </row>
    <row r="618" spans="2:10" x14ac:dyDescent="0.2">
      <c r="B618" s="2"/>
      <c r="C618" s="46"/>
      <c r="D618" s="46"/>
      <c r="E618" s="46"/>
      <c r="F618" s="6"/>
      <c r="G618" s="46"/>
      <c r="H618" s="2"/>
      <c r="I618" s="2"/>
      <c r="J618" s="2"/>
    </row>
    <row r="619" spans="2:10" x14ac:dyDescent="0.2">
      <c r="B619" s="2"/>
      <c r="C619" s="46"/>
      <c r="D619" s="46"/>
      <c r="E619" s="46"/>
      <c r="F619" s="6"/>
      <c r="G619" s="46"/>
      <c r="H619" s="2"/>
      <c r="I619" s="2"/>
      <c r="J619" s="2"/>
    </row>
    <row r="620" spans="2:10" x14ac:dyDescent="0.2">
      <c r="B620" s="2"/>
      <c r="C620" s="46"/>
      <c r="D620" s="46"/>
      <c r="E620" s="46"/>
      <c r="F620" s="6"/>
      <c r="G620" s="46"/>
      <c r="H620" s="2"/>
      <c r="I620" s="2"/>
      <c r="J620" s="2"/>
    </row>
    <row r="621" spans="2:10" x14ac:dyDescent="0.2">
      <c r="B621" s="2"/>
      <c r="C621" s="46"/>
      <c r="D621" s="46"/>
      <c r="E621" s="46"/>
      <c r="F621" s="6"/>
      <c r="G621" s="46"/>
      <c r="H621" s="2"/>
      <c r="I621" s="2"/>
      <c r="J621" s="2"/>
    </row>
    <row r="622" spans="2:10" x14ac:dyDescent="0.2">
      <c r="B622" s="2"/>
      <c r="C622" s="46"/>
      <c r="D622" s="46"/>
      <c r="E622" s="46"/>
      <c r="F622" s="6"/>
      <c r="G622" s="46"/>
      <c r="H622" s="2"/>
      <c r="I622" s="2"/>
      <c r="J622" s="2"/>
    </row>
    <row r="623" spans="2:10" x14ac:dyDescent="0.2">
      <c r="B623" s="2"/>
      <c r="C623" s="46"/>
      <c r="D623" s="46"/>
      <c r="E623" s="46"/>
      <c r="F623" s="2"/>
      <c r="G623" s="46"/>
      <c r="H623" s="2"/>
      <c r="I623" s="2"/>
      <c r="J623" s="2"/>
    </row>
    <row r="624" spans="2:10" x14ac:dyDescent="0.2">
      <c r="B624" s="2"/>
      <c r="C624" s="46"/>
      <c r="D624" s="46"/>
      <c r="E624" s="46"/>
      <c r="F624" s="6"/>
      <c r="G624" s="46"/>
      <c r="H624" s="2"/>
      <c r="I624" s="2"/>
      <c r="J624" s="2"/>
    </row>
    <row r="625" spans="2:10" x14ac:dyDescent="0.2">
      <c r="B625" s="2"/>
      <c r="C625" s="46"/>
      <c r="D625" s="46"/>
      <c r="E625" s="46"/>
      <c r="F625" s="2"/>
      <c r="G625" s="46"/>
      <c r="H625" s="2"/>
      <c r="I625" s="2"/>
      <c r="J625" s="2"/>
    </row>
    <row r="626" spans="2:10" x14ac:dyDescent="0.2">
      <c r="B626" s="2"/>
      <c r="C626" s="46"/>
      <c r="D626" s="46"/>
      <c r="E626" s="46"/>
      <c r="F626" s="6"/>
      <c r="G626" s="46"/>
      <c r="H626" s="2"/>
      <c r="I626" s="2"/>
      <c r="J626" s="2"/>
    </row>
    <row r="627" spans="2:10" x14ac:dyDescent="0.2">
      <c r="B627" s="2"/>
      <c r="C627" s="46"/>
      <c r="D627" s="46"/>
      <c r="E627" s="46"/>
      <c r="F627" s="6"/>
      <c r="G627" s="46"/>
      <c r="H627" s="2"/>
      <c r="I627" s="2"/>
      <c r="J627" s="2"/>
    </row>
    <row r="628" spans="2:10" x14ac:dyDescent="0.2">
      <c r="B628" s="2"/>
      <c r="C628" s="46"/>
      <c r="D628" s="46"/>
      <c r="E628" s="46"/>
      <c r="F628" s="2"/>
      <c r="G628" s="46"/>
      <c r="H628" s="2"/>
      <c r="I628" s="2"/>
      <c r="J628" s="2"/>
    </row>
    <row r="629" spans="2:10" x14ac:dyDescent="0.2">
      <c r="B629" s="2"/>
      <c r="C629" s="46"/>
      <c r="D629" s="46"/>
      <c r="E629" s="46"/>
      <c r="F629" s="6"/>
      <c r="G629" s="46"/>
      <c r="H629" s="2"/>
      <c r="I629" s="2"/>
      <c r="J629" s="2"/>
    </row>
    <row r="630" spans="2:10" x14ac:dyDescent="0.2">
      <c r="B630" s="2"/>
      <c r="C630" s="46"/>
      <c r="D630" s="46"/>
      <c r="E630" s="46"/>
      <c r="F630" s="6"/>
      <c r="G630" s="46"/>
      <c r="H630" s="2"/>
      <c r="I630" s="2"/>
      <c r="J630" s="2"/>
    </row>
    <row r="631" spans="2:10" x14ac:dyDescent="0.2">
      <c r="B631" s="2"/>
      <c r="C631" s="46"/>
      <c r="D631" s="46"/>
      <c r="E631" s="46"/>
      <c r="F631" s="2"/>
      <c r="G631" s="46"/>
      <c r="H631" s="2"/>
      <c r="I631" s="2"/>
      <c r="J631" s="2"/>
    </row>
    <row r="632" spans="2:10" x14ac:dyDescent="0.2">
      <c r="B632" s="2"/>
      <c r="C632" s="46"/>
      <c r="D632" s="46"/>
      <c r="E632" s="46"/>
      <c r="F632" s="2"/>
      <c r="G632" s="46"/>
      <c r="H632" s="2"/>
      <c r="I632" s="2"/>
      <c r="J632" s="2"/>
    </row>
    <row r="633" spans="2:10" x14ac:dyDescent="0.2">
      <c r="B633" s="2"/>
      <c r="C633" s="46"/>
      <c r="D633" s="46"/>
      <c r="E633" s="46"/>
      <c r="F633" s="6"/>
      <c r="G633" s="46"/>
      <c r="H633" s="2"/>
      <c r="I633" s="2"/>
      <c r="J633" s="2"/>
    </row>
    <row r="634" spans="2:10" x14ac:dyDescent="0.2">
      <c r="B634" s="2"/>
      <c r="C634" s="46"/>
      <c r="D634" s="46"/>
      <c r="E634" s="46"/>
      <c r="F634" s="6"/>
      <c r="G634" s="46"/>
      <c r="H634" s="2"/>
      <c r="I634" s="2"/>
      <c r="J634" s="2"/>
    </row>
    <row r="635" spans="2:10" x14ac:dyDescent="0.2">
      <c r="B635" s="2"/>
      <c r="C635" s="46"/>
      <c r="D635" s="46"/>
      <c r="E635" s="46"/>
      <c r="F635" s="6"/>
      <c r="G635" s="46"/>
      <c r="H635" s="2"/>
      <c r="I635" s="2"/>
      <c r="J635" s="2"/>
    </row>
    <row r="636" spans="2:10" x14ac:dyDescent="0.2">
      <c r="B636" s="2"/>
      <c r="C636" s="46"/>
      <c r="D636" s="46"/>
      <c r="E636" s="46"/>
      <c r="F636" s="6"/>
      <c r="G636" s="46"/>
      <c r="H636" s="2"/>
      <c r="I636" s="2"/>
      <c r="J636" s="2"/>
    </row>
    <row r="637" spans="2:10" x14ac:dyDescent="0.2">
      <c r="B637" s="2"/>
      <c r="C637" s="46"/>
      <c r="D637" s="46"/>
      <c r="E637" s="46"/>
      <c r="F637" s="2"/>
      <c r="G637" s="46"/>
      <c r="H637" s="2"/>
      <c r="I637" s="2"/>
      <c r="J637" s="2"/>
    </row>
    <row r="638" spans="2:10" x14ac:dyDescent="0.2">
      <c r="B638" s="2"/>
      <c r="C638" s="46"/>
      <c r="D638" s="46"/>
      <c r="E638" s="46"/>
      <c r="F638" s="6"/>
      <c r="G638" s="46"/>
      <c r="H638" s="2"/>
      <c r="I638" s="2"/>
      <c r="J638" s="2"/>
    </row>
    <row r="639" spans="2:10" x14ac:dyDescent="0.2">
      <c r="B639" s="2"/>
      <c r="C639" s="46"/>
      <c r="D639" s="46"/>
      <c r="E639" s="46"/>
      <c r="F639" s="6"/>
      <c r="G639" s="46"/>
      <c r="H639" s="2"/>
      <c r="I639" s="2"/>
      <c r="J639" s="2"/>
    </row>
    <row r="640" spans="2:10" x14ac:dyDescent="0.2">
      <c r="B640" s="2"/>
      <c r="C640" s="46"/>
      <c r="D640" s="46"/>
      <c r="E640" s="46"/>
      <c r="F640" s="2"/>
      <c r="G640" s="46"/>
      <c r="H640" s="2"/>
      <c r="I640" s="2"/>
      <c r="J640" s="2"/>
    </row>
    <row r="641" spans="2:10" x14ac:dyDescent="0.2">
      <c r="B641" s="2"/>
      <c r="C641" s="46"/>
      <c r="D641" s="46"/>
      <c r="E641" s="46"/>
      <c r="F641" s="2"/>
      <c r="G641" s="46"/>
      <c r="H641" s="2"/>
      <c r="I641" s="2"/>
      <c r="J641" s="2"/>
    </row>
    <row r="642" spans="2:10" x14ac:dyDescent="0.2">
      <c r="B642" s="2"/>
      <c r="C642" s="46"/>
      <c r="D642" s="46"/>
      <c r="E642" s="46"/>
      <c r="F642" s="6"/>
      <c r="G642" s="46"/>
      <c r="H642" s="2"/>
      <c r="I642" s="2"/>
      <c r="J642" s="2"/>
    </row>
    <row r="643" spans="2:10" x14ac:dyDescent="0.2">
      <c r="B643" s="2"/>
      <c r="C643" s="46"/>
      <c r="D643" s="46"/>
      <c r="E643" s="46"/>
      <c r="F643" s="6"/>
      <c r="G643" s="46"/>
      <c r="H643" s="2"/>
      <c r="I643" s="2"/>
      <c r="J643" s="2"/>
    </row>
    <row r="644" spans="2:10" x14ac:dyDescent="0.2">
      <c r="B644" s="2"/>
      <c r="C644" s="46"/>
      <c r="D644" s="46"/>
      <c r="E644" s="46"/>
      <c r="F644" s="6"/>
      <c r="G644" s="46"/>
      <c r="H644" s="2"/>
      <c r="I644" s="2"/>
      <c r="J644" s="2"/>
    </row>
    <row r="645" spans="2:10" x14ac:dyDescent="0.2">
      <c r="B645" s="2"/>
      <c r="C645" s="46"/>
      <c r="D645" s="46"/>
      <c r="E645" s="46"/>
      <c r="F645" s="6"/>
      <c r="G645" s="46"/>
      <c r="H645" s="2"/>
      <c r="I645" s="2"/>
      <c r="J645" s="2"/>
    </row>
    <row r="646" spans="2:10" x14ac:dyDescent="0.2">
      <c r="B646" s="2"/>
      <c r="C646" s="46"/>
      <c r="D646" s="46"/>
      <c r="E646" s="46"/>
      <c r="F646" s="6"/>
      <c r="G646" s="46"/>
      <c r="H646" s="2"/>
      <c r="I646" s="2"/>
      <c r="J646" s="2"/>
    </row>
    <row r="647" spans="2:10" x14ac:dyDescent="0.2">
      <c r="B647" s="2"/>
      <c r="C647" s="46"/>
      <c r="D647" s="46"/>
      <c r="E647" s="46"/>
      <c r="F647" s="2"/>
      <c r="G647" s="46"/>
      <c r="H647" s="2"/>
      <c r="I647" s="2"/>
      <c r="J647" s="2"/>
    </row>
    <row r="648" spans="2:10" x14ac:dyDescent="0.2">
      <c r="B648" s="2"/>
      <c r="C648" s="46"/>
      <c r="D648" s="46"/>
      <c r="E648" s="46"/>
      <c r="F648" s="6"/>
      <c r="G648" s="46"/>
      <c r="H648" s="2"/>
      <c r="I648" s="2"/>
      <c r="J648" s="2"/>
    </row>
    <row r="649" spans="2:10" x14ac:dyDescent="0.2">
      <c r="B649" s="2"/>
      <c r="C649" s="46"/>
      <c r="D649" s="46"/>
      <c r="E649" s="46"/>
      <c r="F649" s="6"/>
      <c r="G649" s="46"/>
      <c r="H649" s="2"/>
      <c r="I649" s="2"/>
      <c r="J649" s="2"/>
    </row>
    <row r="650" spans="2:10" x14ac:dyDescent="0.2">
      <c r="B650" s="2"/>
      <c r="C650" s="46"/>
      <c r="D650" s="46"/>
      <c r="E650" s="46"/>
      <c r="F650" s="2"/>
      <c r="G650" s="46"/>
      <c r="H650" s="2"/>
      <c r="I650" s="2"/>
      <c r="J650" s="2"/>
    </row>
    <row r="651" spans="2:10" x14ac:dyDescent="0.2">
      <c r="B651" s="2"/>
      <c r="C651" s="46"/>
      <c r="D651" s="46"/>
      <c r="E651" s="46"/>
      <c r="F651" s="6"/>
      <c r="G651" s="46"/>
      <c r="H651" s="2"/>
      <c r="I651" s="2"/>
      <c r="J651" s="2"/>
    </row>
    <row r="652" spans="2:10" x14ac:dyDescent="0.2">
      <c r="B652" s="2"/>
      <c r="C652" s="46"/>
      <c r="D652" s="46"/>
      <c r="E652" s="46"/>
      <c r="F652" s="6"/>
      <c r="G652" s="46"/>
      <c r="H652" s="2"/>
      <c r="I652" s="2"/>
      <c r="J652" s="2"/>
    </row>
    <row r="653" spans="2:10" x14ac:dyDescent="0.2">
      <c r="B653" s="2"/>
      <c r="C653" s="46"/>
      <c r="D653" s="46"/>
      <c r="E653" s="46"/>
      <c r="F653" s="6"/>
      <c r="G653" s="46"/>
      <c r="H653" s="2"/>
      <c r="I653" s="2"/>
      <c r="J653" s="2"/>
    </row>
    <row r="654" spans="2:10" x14ac:dyDescent="0.2">
      <c r="B654" s="2"/>
      <c r="C654" s="46"/>
      <c r="D654" s="46"/>
      <c r="E654" s="46"/>
      <c r="F654" s="2"/>
      <c r="G654" s="46"/>
      <c r="H654" s="2"/>
      <c r="I654" s="2"/>
      <c r="J654" s="2"/>
    </row>
    <row r="655" spans="2:10" x14ac:dyDescent="0.2">
      <c r="B655" s="2"/>
      <c r="C655" s="46"/>
      <c r="D655" s="46"/>
      <c r="E655" s="46"/>
      <c r="F655" s="2"/>
      <c r="G655" s="46"/>
      <c r="H655" s="2"/>
      <c r="I655" s="2"/>
      <c r="J655" s="2"/>
    </row>
    <row r="656" spans="2:10" x14ac:dyDescent="0.2">
      <c r="B656" s="2"/>
      <c r="C656" s="46"/>
      <c r="D656" s="46"/>
      <c r="E656" s="46"/>
      <c r="F656" s="6"/>
      <c r="G656" s="46"/>
      <c r="H656" s="2"/>
      <c r="I656" s="2"/>
      <c r="J656" s="2"/>
    </row>
    <row r="657" spans="2:10" x14ac:dyDescent="0.2">
      <c r="B657" s="2"/>
      <c r="C657" s="46"/>
      <c r="D657" s="46"/>
      <c r="E657" s="46"/>
      <c r="F657" s="6"/>
      <c r="G657" s="46"/>
      <c r="H657" s="2"/>
      <c r="I657" s="2"/>
      <c r="J657" s="2"/>
    </row>
    <row r="658" spans="2:10" x14ac:dyDescent="0.2">
      <c r="B658" s="2"/>
      <c r="C658" s="46"/>
      <c r="D658" s="46"/>
      <c r="E658" s="46"/>
      <c r="F658" s="6"/>
      <c r="G658" s="46"/>
      <c r="H658" s="2"/>
      <c r="I658" s="2"/>
      <c r="J658" s="2"/>
    </row>
    <row r="659" spans="2:10" x14ac:dyDescent="0.2">
      <c r="B659" s="2"/>
      <c r="C659" s="46"/>
      <c r="D659" s="46"/>
      <c r="E659" s="46"/>
      <c r="F659" s="6"/>
      <c r="G659" s="46"/>
      <c r="H659" s="2"/>
      <c r="I659" s="2"/>
      <c r="J659" s="2"/>
    </row>
    <row r="660" spans="2:10" x14ac:dyDescent="0.2">
      <c r="B660" s="2"/>
      <c r="C660" s="46"/>
      <c r="D660" s="46"/>
      <c r="E660" s="46"/>
      <c r="F660" s="6"/>
      <c r="G660" s="46"/>
      <c r="H660" s="2"/>
      <c r="I660" s="2"/>
      <c r="J660" s="2"/>
    </row>
    <row r="661" spans="2:10" x14ac:dyDescent="0.2">
      <c r="B661" s="2"/>
      <c r="C661" s="46"/>
      <c r="D661" s="46"/>
      <c r="E661" s="46"/>
      <c r="F661" s="6"/>
      <c r="G661" s="46"/>
      <c r="H661" s="2"/>
      <c r="I661" s="2"/>
      <c r="J661" s="2"/>
    </row>
    <row r="662" spans="2:10" x14ac:dyDescent="0.2">
      <c r="B662" s="2"/>
      <c r="C662" s="46"/>
      <c r="D662" s="46"/>
      <c r="E662" s="46"/>
      <c r="F662" s="2"/>
      <c r="G662" s="46"/>
      <c r="H662" s="2"/>
      <c r="I662" s="2"/>
      <c r="J662" s="2"/>
    </row>
    <row r="663" spans="2:10" x14ac:dyDescent="0.2">
      <c r="B663" s="2"/>
      <c r="C663" s="46"/>
      <c r="D663" s="46"/>
      <c r="E663" s="46"/>
      <c r="F663" s="6"/>
      <c r="G663" s="46"/>
      <c r="H663" s="2"/>
      <c r="I663" s="2"/>
      <c r="J663" s="2"/>
    </row>
    <row r="664" spans="2:10" x14ac:dyDescent="0.2">
      <c r="B664" s="2"/>
      <c r="C664" s="46"/>
      <c r="D664" s="46"/>
      <c r="E664" s="46"/>
      <c r="F664" s="6"/>
      <c r="G664" s="46"/>
      <c r="H664" s="2"/>
      <c r="I664" s="2"/>
      <c r="J664" s="2"/>
    </row>
    <row r="665" spans="2:10" x14ac:dyDescent="0.2">
      <c r="B665" s="2"/>
      <c r="C665" s="46"/>
      <c r="D665" s="46"/>
      <c r="E665" s="46"/>
      <c r="F665" s="6"/>
      <c r="G665" s="46"/>
      <c r="H665" s="2"/>
      <c r="I665" s="2"/>
      <c r="J665" s="2"/>
    </row>
    <row r="666" spans="2:10" x14ac:dyDescent="0.2">
      <c r="B666" s="2"/>
      <c r="C666" s="46"/>
      <c r="D666" s="46"/>
      <c r="E666" s="46"/>
      <c r="F666" s="2"/>
      <c r="G666" s="46"/>
      <c r="H666" s="2"/>
      <c r="I666" s="2"/>
      <c r="J666" s="2"/>
    </row>
    <row r="667" spans="2:10" x14ac:dyDescent="0.2">
      <c r="B667" s="2"/>
      <c r="C667" s="46"/>
      <c r="D667" s="46"/>
      <c r="E667" s="46"/>
      <c r="F667" s="6"/>
      <c r="G667" s="46"/>
      <c r="H667" s="2"/>
      <c r="I667" s="2"/>
      <c r="J667" s="2"/>
    </row>
    <row r="668" spans="2:10" x14ac:dyDescent="0.2">
      <c r="B668" s="2"/>
      <c r="C668" s="46"/>
      <c r="D668" s="46"/>
      <c r="E668" s="46"/>
      <c r="F668" s="6"/>
      <c r="G668" s="46"/>
      <c r="H668" s="2"/>
      <c r="I668" s="2"/>
      <c r="J668" s="2"/>
    </row>
    <row r="669" spans="2:10" x14ac:dyDescent="0.2">
      <c r="B669" s="2"/>
      <c r="C669" s="46"/>
      <c r="D669" s="46"/>
      <c r="E669" s="46"/>
      <c r="F669" s="6"/>
      <c r="G669" s="46"/>
      <c r="H669" s="2"/>
      <c r="I669" s="2"/>
      <c r="J669" s="2"/>
    </row>
    <row r="670" spans="2:10" x14ac:dyDescent="0.2">
      <c r="B670" s="2"/>
      <c r="C670" s="46"/>
      <c r="D670" s="46"/>
      <c r="E670" s="46"/>
      <c r="F670" s="6"/>
      <c r="G670" s="46"/>
      <c r="H670" s="2"/>
      <c r="I670" s="2"/>
      <c r="J670" s="2"/>
    </row>
    <row r="671" spans="2:10" x14ac:dyDescent="0.2">
      <c r="B671" s="2"/>
      <c r="C671" s="46"/>
      <c r="D671" s="46"/>
      <c r="E671" s="46"/>
      <c r="F671" s="2"/>
      <c r="G671" s="46"/>
      <c r="H671" s="2"/>
      <c r="I671" s="2"/>
      <c r="J671" s="2"/>
    </row>
    <row r="672" spans="2:10" x14ac:dyDescent="0.2">
      <c r="B672" s="2"/>
      <c r="C672" s="46"/>
      <c r="D672" s="46"/>
      <c r="E672" s="46"/>
      <c r="F672" s="6"/>
      <c r="G672" s="46"/>
      <c r="H672" s="2"/>
      <c r="I672" s="2"/>
      <c r="J672" s="2"/>
    </row>
    <row r="673" spans="2:10" x14ac:dyDescent="0.2">
      <c r="B673" s="2"/>
      <c r="C673" s="46"/>
      <c r="D673" s="46"/>
      <c r="E673" s="46"/>
      <c r="F673" s="2"/>
      <c r="G673" s="46"/>
      <c r="H673" s="2"/>
      <c r="I673" s="2"/>
      <c r="J673" s="2"/>
    </row>
    <row r="674" spans="2:10" x14ac:dyDescent="0.2">
      <c r="B674" s="2"/>
      <c r="C674" s="46"/>
      <c r="D674" s="46"/>
      <c r="E674" s="46"/>
      <c r="F674" s="2"/>
      <c r="G674" s="46"/>
      <c r="H674" s="2"/>
      <c r="I674" s="2"/>
      <c r="J674" s="2"/>
    </row>
    <row r="675" spans="2:10" x14ac:dyDescent="0.2">
      <c r="B675" s="2"/>
      <c r="C675" s="46"/>
      <c r="D675" s="46"/>
      <c r="E675" s="46"/>
      <c r="F675" s="2"/>
      <c r="G675" s="46"/>
      <c r="H675" s="2"/>
      <c r="I675" s="2"/>
      <c r="J675" s="2"/>
    </row>
    <row r="676" spans="2:10" x14ac:dyDescent="0.2">
      <c r="B676" s="2"/>
      <c r="C676" s="46"/>
      <c r="D676" s="46"/>
      <c r="E676" s="46"/>
      <c r="F676" s="2"/>
      <c r="G676" s="46"/>
      <c r="H676" s="2"/>
      <c r="I676" s="2"/>
      <c r="J676" s="2"/>
    </row>
    <row r="677" spans="2:10" x14ac:dyDescent="0.2">
      <c r="B677" s="2"/>
      <c r="C677" s="46"/>
      <c r="D677" s="46"/>
      <c r="E677" s="46"/>
      <c r="F677" s="2"/>
      <c r="G677" s="46"/>
      <c r="H677" s="2"/>
      <c r="I677" s="2"/>
      <c r="J677" s="2"/>
    </row>
    <row r="678" spans="2:10" x14ac:dyDescent="0.2">
      <c r="B678" s="2"/>
      <c r="C678" s="46"/>
      <c r="D678" s="46"/>
      <c r="E678" s="46"/>
      <c r="F678" s="2"/>
      <c r="G678" s="46"/>
      <c r="H678" s="2"/>
      <c r="I678" s="2"/>
      <c r="J678" s="2"/>
    </row>
    <row r="679" spans="2:10" x14ac:dyDescent="0.2">
      <c r="B679" s="2"/>
      <c r="C679" s="46"/>
      <c r="D679" s="46"/>
      <c r="E679" s="46"/>
      <c r="F679" s="2"/>
      <c r="G679" s="46"/>
      <c r="H679" s="2"/>
      <c r="I679" s="2"/>
      <c r="J679" s="2"/>
    </row>
    <row r="680" spans="2:10" x14ac:dyDescent="0.2">
      <c r="B680" s="2"/>
      <c r="C680" s="46"/>
      <c r="D680" s="46"/>
      <c r="E680" s="46"/>
      <c r="F680" s="2"/>
      <c r="G680" s="46"/>
      <c r="H680" s="2"/>
      <c r="I680" s="2"/>
      <c r="J680" s="2"/>
    </row>
    <row r="681" spans="2:10" x14ac:dyDescent="0.2">
      <c r="B681" s="2"/>
      <c r="C681" s="46"/>
      <c r="D681" s="46"/>
      <c r="E681" s="46"/>
      <c r="F681" s="2"/>
      <c r="G681" s="46"/>
      <c r="H681" s="2"/>
      <c r="I681" s="2"/>
      <c r="J681" s="2"/>
    </row>
    <row r="682" spans="2:10" x14ac:dyDescent="0.2">
      <c r="B682" s="2"/>
      <c r="C682" s="46"/>
      <c r="D682" s="46"/>
      <c r="E682" s="46"/>
      <c r="F682" s="2"/>
      <c r="G682" s="46"/>
      <c r="H682" s="2"/>
      <c r="I682" s="2"/>
      <c r="J682" s="2"/>
    </row>
    <row r="683" spans="2:10" x14ac:dyDescent="0.2">
      <c r="B683" s="2"/>
      <c r="C683" s="46"/>
      <c r="D683" s="46"/>
      <c r="E683" s="46"/>
      <c r="F683" s="2"/>
      <c r="G683" s="46"/>
      <c r="H683" s="2"/>
      <c r="I683" s="2"/>
      <c r="J683" s="2"/>
    </row>
    <row r="684" spans="2:10" x14ac:dyDescent="0.2">
      <c r="B684" s="2"/>
      <c r="C684" s="46"/>
      <c r="D684" s="46"/>
      <c r="E684" s="46"/>
      <c r="F684" s="6"/>
      <c r="G684" s="46"/>
      <c r="H684" s="2"/>
      <c r="I684" s="2"/>
      <c r="J684" s="2"/>
    </row>
    <row r="685" spans="2:10" x14ac:dyDescent="0.2">
      <c r="B685" s="2"/>
      <c r="C685" s="46"/>
      <c r="D685" s="46"/>
      <c r="E685" s="46"/>
      <c r="F685" s="6"/>
      <c r="G685" s="46"/>
      <c r="H685" s="2"/>
      <c r="I685" s="2"/>
      <c r="J685" s="2"/>
    </row>
    <row r="686" spans="2:10" x14ac:dyDescent="0.2">
      <c r="B686" s="2"/>
      <c r="C686" s="46"/>
      <c r="D686" s="46"/>
      <c r="E686" s="46"/>
      <c r="F686" s="6"/>
      <c r="G686" s="46"/>
      <c r="H686" s="2"/>
      <c r="I686" s="2"/>
      <c r="J686" s="2"/>
    </row>
    <row r="687" spans="2:10" x14ac:dyDescent="0.2">
      <c r="B687" s="2"/>
      <c r="C687" s="46"/>
      <c r="D687" s="46"/>
      <c r="E687" s="46"/>
      <c r="F687" s="6"/>
      <c r="G687" s="46"/>
      <c r="H687" s="2"/>
      <c r="I687" s="2"/>
      <c r="J687" s="2"/>
    </row>
    <row r="688" spans="2:10" x14ac:dyDescent="0.2">
      <c r="B688" s="2"/>
      <c r="C688" s="46"/>
      <c r="D688" s="46"/>
      <c r="E688" s="46"/>
      <c r="F688" s="6"/>
      <c r="G688" s="46"/>
      <c r="H688" s="2"/>
      <c r="I688" s="2"/>
      <c r="J688" s="2"/>
    </row>
    <row r="689" spans="2:10" x14ac:dyDescent="0.2">
      <c r="B689" s="2"/>
      <c r="C689" s="46"/>
      <c r="D689" s="46"/>
      <c r="E689" s="46"/>
      <c r="F689" s="6"/>
      <c r="G689" s="46"/>
      <c r="H689" s="2"/>
      <c r="I689" s="2"/>
      <c r="J689" s="2"/>
    </row>
    <row r="690" spans="2:10" x14ac:dyDescent="0.2">
      <c r="B690" s="2"/>
      <c r="C690" s="46"/>
      <c r="D690" s="46"/>
      <c r="E690" s="46"/>
      <c r="F690" s="6"/>
      <c r="G690" s="46"/>
      <c r="H690" s="2"/>
      <c r="I690" s="2"/>
      <c r="J690" s="2"/>
    </row>
    <row r="691" spans="2:10" x14ac:dyDescent="0.2">
      <c r="B691" s="2"/>
      <c r="C691" s="46"/>
      <c r="D691" s="46"/>
      <c r="E691" s="46"/>
      <c r="F691" s="6"/>
      <c r="G691" s="46"/>
      <c r="H691" s="2"/>
      <c r="I691" s="2"/>
      <c r="J691" s="2"/>
    </row>
    <row r="692" spans="2:10" x14ac:dyDescent="0.2">
      <c r="B692" s="2"/>
      <c r="C692" s="46"/>
      <c r="D692" s="46"/>
      <c r="E692" s="46"/>
      <c r="F692" s="2"/>
      <c r="G692" s="46"/>
      <c r="H692" s="2"/>
      <c r="I692" s="2"/>
      <c r="J692" s="2"/>
    </row>
    <row r="693" spans="2:10" x14ac:dyDescent="0.2">
      <c r="B693" s="2"/>
      <c r="C693" s="46"/>
      <c r="D693" s="46"/>
      <c r="E693" s="46"/>
      <c r="F693" s="6"/>
      <c r="G693" s="46"/>
      <c r="H693" s="2"/>
      <c r="I693" s="2"/>
      <c r="J693" s="2"/>
    </row>
    <row r="694" spans="2:10" x14ac:dyDescent="0.2">
      <c r="B694" s="2"/>
      <c r="C694" s="46"/>
      <c r="D694" s="46"/>
      <c r="E694" s="46"/>
      <c r="F694" s="6"/>
      <c r="G694" s="46"/>
      <c r="H694" s="2"/>
      <c r="I694" s="2"/>
      <c r="J694" s="2"/>
    </row>
    <row r="695" spans="2:10" x14ac:dyDescent="0.2">
      <c r="B695" s="2"/>
      <c r="C695" s="46"/>
      <c r="D695" s="46"/>
      <c r="E695" s="46"/>
      <c r="F695" s="6"/>
      <c r="G695" s="46"/>
      <c r="H695" s="2"/>
      <c r="I695" s="2"/>
      <c r="J695" s="2"/>
    </row>
    <row r="696" spans="2:10" x14ac:dyDescent="0.2">
      <c r="B696" s="2"/>
      <c r="C696" s="46"/>
      <c r="D696" s="46"/>
      <c r="E696" s="46"/>
      <c r="F696" s="6"/>
      <c r="G696" s="46"/>
      <c r="H696" s="2"/>
      <c r="I696" s="2"/>
      <c r="J696" s="2"/>
    </row>
    <row r="697" spans="2:10" x14ac:dyDescent="0.2">
      <c r="B697" s="2"/>
      <c r="C697" s="46"/>
      <c r="D697" s="46"/>
      <c r="E697" s="46"/>
      <c r="F697" s="6"/>
      <c r="G697" s="46"/>
      <c r="H697" s="2"/>
      <c r="I697" s="2"/>
      <c r="J697" s="2"/>
    </row>
    <row r="698" spans="2:10" x14ac:dyDescent="0.2">
      <c r="B698" s="2"/>
      <c r="C698" s="46"/>
      <c r="D698" s="46"/>
      <c r="E698" s="46"/>
      <c r="F698" s="6"/>
      <c r="G698" s="46"/>
      <c r="H698" s="2"/>
      <c r="I698" s="2"/>
      <c r="J698" s="2"/>
    </row>
    <row r="699" spans="2:10" x14ac:dyDescent="0.2">
      <c r="B699" s="2"/>
      <c r="C699" s="46"/>
      <c r="D699" s="46"/>
      <c r="E699" s="46"/>
      <c r="F699" s="2"/>
      <c r="G699" s="46"/>
      <c r="H699" s="2"/>
      <c r="I699" s="2"/>
      <c r="J699" s="2"/>
    </row>
    <row r="700" spans="2:10" x14ac:dyDescent="0.2">
      <c r="B700" s="2"/>
      <c r="C700" s="46"/>
      <c r="D700" s="46"/>
      <c r="E700" s="46"/>
      <c r="F700" s="2"/>
      <c r="G700" s="46"/>
      <c r="H700" s="2"/>
      <c r="I700" s="2"/>
      <c r="J700" s="2"/>
    </row>
    <row r="701" spans="2:10" x14ac:dyDescent="0.2">
      <c r="B701" s="2"/>
      <c r="C701" s="46"/>
      <c r="D701" s="46"/>
      <c r="E701" s="46"/>
      <c r="F701" s="2"/>
      <c r="G701" s="46"/>
      <c r="H701" s="2"/>
      <c r="I701" s="2"/>
      <c r="J701" s="2"/>
    </row>
    <row r="702" spans="2:10" x14ac:dyDescent="0.2">
      <c r="B702" s="2"/>
      <c r="C702" s="46"/>
      <c r="D702" s="46"/>
      <c r="E702" s="46"/>
      <c r="F702" s="2"/>
      <c r="G702" s="46"/>
      <c r="H702" s="2"/>
      <c r="I702" s="2"/>
      <c r="J702" s="2"/>
    </row>
    <row r="703" spans="2:10" x14ac:dyDescent="0.2">
      <c r="B703" s="2"/>
      <c r="C703" s="46"/>
      <c r="D703" s="46"/>
      <c r="E703" s="46"/>
      <c r="F703" s="2"/>
      <c r="G703" s="46"/>
      <c r="H703" s="2"/>
      <c r="I703" s="2"/>
      <c r="J703" s="2"/>
    </row>
    <row r="704" spans="2:10" x14ac:dyDescent="0.2">
      <c r="B704" s="2"/>
      <c r="C704" s="46"/>
      <c r="D704" s="46"/>
      <c r="E704" s="46"/>
      <c r="F704" s="6"/>
      <c r="G704" s="46"/>
      <c r="H704" s="2"/>
      <c r="I704" s="2"/>
      <c r="J704" s="2"/>
    </row>
    <row r="705" spans="2:10" x14ac:dyDescent="0.2">
      <c r="B705" s="2"/>
      <c r="C705" s="46"/>
      <c r="D705" s="46"/>
      <c r="E705" s="46"/>
      <c r="F705" s="2"/>
      <c r="G705" s="46"/>
      <c r="H705" s="2"/>
      <c r="I705" s="2"/>
      <c r="J705" s="2"/>
    </row>
    <row r="706" spans="2:10" x14ac:dyDescent="0.2">
      <c r="B706" s="2"/>
      <c r="C706" s="46"/>
      <c r="D706" s="46"/>
      <c r="E706" s="46"/>
      <c r="F706" s="2"/>
      <c r="G706" s="46"/>
      <c r="H706" s="2"/>
      <c r="I706" s="2"/>
      <c r="J706" s="2"/>
    </row>
    <row r="707" spans="2:10" x14ac:dyDescent="0.2">
      <c r="B707" s="2"/>
      <c r="C707" s="46"/>
      <c r="D707" s="46"/>
      <c r="E707" s="46"/>
      <c r="F707" s="2"/>
      <c r="G707" s="46"/>
      <c r="H707" s="2"/>
      <c r="I707" s="2"/>
      <c r="J707" s="2"/>
    </row>
    <row r="708" spans="2:10" x14ac:dyDescent="0.2">
      <c r="B708" s="2"/>
      <c r="C708" s="46"/>
      <c r="D708" s="46"/>
      <c r="E708" s="46"/>
      <c r="F708" s="2"/>
      <c r="G708" s="46"/>
      <c r="H708" s="2"/>
      <c r="I708" s="2"/>
      <c r="J708" s="2"/>
    </row>
    <row r="709" spans="2:10" x14ac:dyDescent="0.2">
      <c r="B709" s="2"/>
      <c r="C709" s="46"/>
      <c r="D709" s="46"/>
      <c r="E709" s="46"/>
      <c r="F709" s="6"/>
      <c r="G709" s="46"/>
      <c r="H709" s="2"/>
      <c r="I709" s="2"/>
      <c r="J709" s="2"/>
    </row>
    <row r="710" spans="2:10" x14ac:dyDescent="0.2">
      <c r="B710" s="2"/>
      <c r="C710" s="46"/>
      <c r="D710" s="46"/>
      <c r="E710" s="46"/>
      <c r="F710" s="6"/>
      <c r="G710" s="46"/>
      <c r="H710" s="2"/>
      <c r="I710" s="2"/>
      <c r="J710" s="2"/>
    </row>
    <row r="711" spans="2:10" x14ac:dyDescent="0.2">
      <c r="B711" s="2"/>
      <c r="C711" s="46"/>
      <c r="D711" s="46"/>
      <c r="E711" s="46"/>
      <c r="F711" s="6"/>
      <c r="G711" s="46"/>
      <c r="H711" s="2"/>
      <c r="I711" s="2"/>
      <c r="J711" s="2"/>
    </row>
    <row r="712" spans="2:10" x14ac:dyDescent="0.2">
      <c r="B712" s="2"/>
      <c r="C712" s="46"/>
      <c r="D712" s="46"/>
      <c r="E712" s="46"/>
      <c r="F712" s="6"/>
      <c r="G712" s="46"/>
      <c r="H712" s="2"/>
      <c r="I712" s="2"/>
      <c r="J712" s="2"/>
    </row>
    <row r="713" spans="2:10" x14ac:dyDescent="0.2">
      <c r="B713" s="2"/>
      <c r="C713" s="46"/>
      <c r="D713" s="46"/>
      <c r="E713" s="46"/>
      <c r="F713" s="6"/>
      <c r="G713" s="46"/>
      <c r="H713" s="2"/>
      <c r="I713" s="2"/>
      <c r="J713" s="2"/>
    </row>
    <row r="714" spans="2:10" x14ac:dyDescent="0.2">
      <c r="B714" s="2"/>
      <c r="C714" s="46"/>
      <c r="D714" s="46"/>
      <c r="E714" s="46"/>
      <c r="F714" s="2"/>
      <c r="G714" s="46"/>
      <c r="H714" s="2"/>
      <c r="I714" s="2"/>
      <c r="J714" s="2"/>
    </row>
    <row r="715" spans="2:10" x14ac:dyDescent="0.2">
      <c r="B715" s="2"/>
      <c r="C715" s="46"/>
      <c r="D715" s="46"/>
      <c r="E715" s="46"/>
      <c r="F715" s="2"/>
      <c r="G715" s="46"/>
      <c r="H715" s="2"/>
      <c r="I715" s="2"/>
      <c r="J715" s="2"/>
    </row>
    <row r="716" spans="2:10" x14ac:dyDescent="0.2">
      <c r="B716" s="2"/>
      <c r="C716" s="46"/>
      <c r="D716" s="46"/>
      <c r="E716" s="46"/>
      <c r="F716" s="6"/>
      <c r="G716" s="46"/>
      <c r="H716" s="2"/>
      <c r="I716" s="2"/>
      <c r="J716" s="2"/>
    </row>
    <row r="717" spans="2:10" x14ac:dyDescent="0.2">
      <c r="B717" s="2"/>
      <c r="C717" s="46"/>
      <c r="D717" s="46"/>
      <c r="E717" s="46"/>
      <c r="F717" s="2"/>
      <c r="G717" s="46"/>
      <c r="H717" s="2"/>
      <c r="I717" s="2"/>
      <c r="J717" s="2"/>
    </row>
    <row r="718" spans="2:10" x14ac:dyDescent="0.2">
      <c r="B718" s="2"/>
      <c r="C718" s="46"/>
      <c r="D718" s="46"/>
      <c r="E718" s="46"/>
      <c r="F718" s="6"/>
      <c r="G718" s="46"/>
      <c r="H718" s="2"/>
      <c r="I718" s="2"/>
      <c r="J718" s="2"/>
    </row>
    <row r="719" spans="2:10" x14ac:dyDescent="0.2">
      <c r="B719" s="2"/>
      <c r="C719" s="46"/>
      <c r="D719" s="46"/>
      <c r="E719" s="46"/>
      <c r="F719" s="6"/>
      <c r="G719" s="46"/>
      <c r="H719" s="2"/>
      <c r="I719" s="2"/>
      <c r="J719" s="2"/>
    </row>
    <row r="720" spans="2:10" x14ac:dyDescent="0.2">
      <c r="B720" s="2"/>
      <c r="C720" s="46"/>
      <c r="D720" s="46"/>
      <c r="E720" s="46"/>
      <c r="F720" s="2"/>
      <c r="G720" s="46"/>
      <c r="H720" s="2"/>
      <c r="I720" s="2"/>
      <c r="J720" s="2"/>
    </row>
    <row r="721" spans="2:10" x14ac:dyDescent="0.2">
      <c r="B721" s="2"/>
      <c r="C721" s="46"/>
      <c r="D721" s="46"/>
      <c r="E721" s="46"/>
      <c r="F721" s="2"/>
      <c r="G721" s="46"/>
      <c r="H721" s="2"/>
      <c r="I721" s="2"/>
      <c r="J721" s="2"/>
    </row>
    <row r="722" spans="2:10" x14ac:dyDescent="0.2">
      <c r="B722" s="2"/>
      <c r="C722" s="46"/>
      <c r="D722" s="46"/>
      <c r="E722" s="46"/>
      <c r="F722" s="6"/>
      <c r="G722" s="46"/>
      <c r="H722" s="2"/>
      <c r="I722" s="2"/>
      <c r="J722" s="2"/>
    </row>
    <row r="723" spans="2:10" x14ac:dyDescent="0.2">
      <c r="B723" s="2"/>
      <c r="C723" s="46"/>
      <c r="D723" s="46"/>
      <c r="E723" s="46"/>
      <c r="F723" s="2"/>
      <c r="G723" s="46"/>
      <c r="H723" s="2"/>
      <c r="I723" s="2"/>
      <c r="J723" s="2"/>
    </row>
    <row r="724" spans="2:10" x14ac:dyDescent="0.2">
      <c r="B724" s="2"/>
      <c r="C724" s="46"/>
      <c r="D724" s="46"/>
      <c r="E724" s="46"/>
      <c r="F724" s="6"/>
      <c r="G724" s="46"/>
      <c r="H724" s="2"/>
      <c r="I724" s="2"/>
      <c r="J724" s="2"/>
    </row>
    <row r="725" spans="2:10" x14ac:dyDescent="0.2">
      <c r="B725" s="2"/>
      <c r="C725" s="46"/>
      <c r="D725" s="46"/>
      <c r="E725" s="46"/>
      <c r="F725" s="2"/>
      <c r="G725" s="46"/>
      <c r="H725" s="2"/>
      <c r="I725" s="2"/>
      <c r="J725" s="2"/>
    </row>
    <row r="726" spans="2:10" x14ac:dyDescent="0.2">
      <c r="B726" s="2"/>
      <c r="C726" s="46"/>
      <c r="D726" s="46"/>
      <c r="E726" s="46"/>
      <c r="F726" s="2"/>
      <c r="G726" s="46"/>
      <c r="H726" s="2"/>
      <c r="I726" s="2"/>
      <c r="J726" s="2"/>
    </row>
    <row r="727" spans="2:10" x14ac:dyDescent="0.2">
      <c r="B727" s="2"/>
      <c r="C727" s="46"/>
      <c r="D727" s="46"/>
      <c r="E727" s="46"/>
      <c r="F727" s="6"/>
      <c r="G727" s="46"/>
      <c r="H727" s="2"/>
      <c r="I727" s="2"/>
      <c r="J727" s="2"/>
    </row>
    <row r="728" spans="2:10" x14ac:dyDescent="0.2">
      <c r="B728" s="2"/>
      <c r="C728" s="46"/>
      <c r="D728" s="46"/>
      <c r="E728" s="46"/>
      <c r="F728" s="6"/>
      <c r="G728" s="46"/>
      <c r="H728" s="2"/>
      <c r="I728" s="2"/>
      <c r="J728" s="2"/>
    </row>
    <row r="729" spans="2:10" x14ac:dyDescent="0.2">
      <c r="B729" s="2"/>
      <c r="C729" s="46"/>
      <c r="D729" s="46"/>
      <c r="E729" s="46"/>
      <c r="F729" s="6"/>
      <c r="G729" s="46"/>
      <c r="H729" s="2"/>
      <c r="I729" s="2"/>
      <c r="J729" s="2"/>
    </row>
    <row r="730" spans="2:10" x14ac:dyDescent="0.2">
      <c r="B730" s="2"/>
      <c r="C730" s="46"/>
      <c r="D730" s="46"/>
      <c r="E730" s="46"/>
      <c r="F730" s="2"/>
      <c r="G730" s="46"/>
      <c r="H730" s="2"/>
      <c r="I730" s="2"/>
      <c r="J730" s="2"/>
    </row>
    <row r="731" spans="2:10" x14ac:dyDescent="0.2">
      <c r="B731" s="2"/>
      <c r="C731" s="46"/>
      <c r="D731" s="46"/>
      <c r="E731" s="46"/>
      <c r="F731" s="6"/>
      <c r="G731" s="46"/>
      <c r="H731" s="2"/>
      <c r="I731" s="2"/>
      <c r="J731" s="2"/>
    </row>
    <row r="732" spans="2:10" x14ac:dyDescent="0.2">
      <c r="B732" s="2"/>
      <c r="C732" s="46"/>
      <c r="D732" s="46"/>
      <c r="E732" s="46"/>
      <c r="F732" s="6"/>
      <c r="G732" s="46"/>
      <c r="H732" s="2"/>
      <c r="I732" s="2"/>
      <c r="J732" s="2"/>
    </row>
    <row r="733" spans="2:10" x14ac:dyDescent="0.2">
      <c r="B733" s="2"/>
      <c r="C733" s="46"/>
      <c r="D733" s="46"/>
      <c r="E733" s="46"/>
      <c r="F733" s="6"/>
      <c r="G733" s="46"/>
      <c r="H733" s="2"/>
      <c r="I733" s="2"/>
      <c r="J733" s="2"/>
    </row>
    <row r="734" spans="2:10" x14ac:dyDescent="0.2">
      <c r="B734" s="2"/>
      <c r="C734" s="46"/>
      <c r="D734" s="46"/>
      <c r="E734" s="46"/>
      <c r="F734" s="6"/>
      <c r="G734" s="46"/>
      <c r="H734" s="2"/>
      <c r="I734" s="2"/>
      <c r="J734" s="2"/>
    </row>
    <row r="735" spans="2:10" x14ac:dyDescent="0.2">
      <c r="B735" s="2"/>
      <c r="C735" s="46"/>
      <c r="D735" s="46"/>
      <c r="E735" s="46"/>
      <c r="F735" s="6"/>
      <c r="G735" s="46"/>
      <c r="H735" s="2"/>
      <c r="I735" s="2"/>
      <c r="J735" s="2"/>
    </row>
    <row r="736" spans="2:10" x14ac:dyDescent="0.2">
      <c r="B736" s="2"/>
      <c r="C736" s="46"/>
      <c r="D736" s="46"/>
      <c r="E736" s="46"/>
      <c r="F736" s="6"/>
      <c r="G736" s="46"/>
      <c r="H736" s="2"/>
      <c r="I736" s="2"/>
      <c r="J736" s="2"/>
    </row>
    <row r="737" spans="2:10" x14ac:dyDescent="0.2">
      <c r="B737" s="2"/>
      <c r="C737" s="46"/>
      <c r="D737" s="46"/>
      <c r="E737" s="46"/>
      <c r="F737" s="6"/>
      <c r="G737" s="46"/>
      <c r="H737" s="2"/>
      <c r="I737" s="2"/>
      <c r="J737" s="2"/>
    </row>
    <row r="738" spans="2:10" x14ac:dyDescent="0.2">
      <c r="B738" s="2"/>
      <c r="C738" s="46"/>
      <c r="D738" s="46"/>
      <c r="E738" s="46"/>
      <c r="F738" s="2"/>
      <c r="G738" s="46"/>
      <c r="H738" s="2"/>
      <c r="I738" s="2"/>
      <c r="J738" s="2"/>
    </row>
    <row r="739" spans="2:10" x14ac:dyDescent="0.2">
      <c r="B739" s="2"/>
      <c r="C739" s="46"/>
      <c r="D739" s="46"/>
      <c r="E739" s="46"/>
      <c r="F739" s="6"/>
      <c r="G739" s="46"/>
      <c r="H739" s="2"/>
      <c r="I739" s="2"/>
      <c r="J739" s="2"/>
    </row>
    <row r="740" spans="2:10" x14ac:dyDescent="0.2">
      <c r="B740" s="2"/>
      <c r="C740" s="46"/>
      <c r="D740" s="46"/>
      <c r="E740" s="46"/>
      <c r="F740" s="2"/>
      <c r="G740" s="46"/>
      <c r="H740" s="2"/>
      <c r="I740" s="2"/>
      <c r="J740" s="2"/>
    </row>
    <row r="741" spans="2:10" x14ac:dyDescent="0.2">
      <c r="B741" s="2"/>
      <c r="C741" s="46"/>
      <c r="D741" s="46"/>
      <c r="E741" s="46"/>
      <c r="F741" s="6"/>
      <c r="G741" s="46"/>
      <c r="H741" s="2"/>
      <c r="I741" s="2"/>
      <c r="J741" s="2"/>
    </row>
    <row r="742" spans="2:10" x14ac:dyDescent="0.2">
      <c r="B742" s="2"/>
      <c r="C742" s="46"/>
      <c r="D742" s="46"/>
      <c r="E742" s="46"/>
      <c r="F742" s="2"/>
      <c r="G742" s="46"/>
      <c r="H742" s="2"/>
      <c r="I742" s="2"/>
      <c r="J742" s="2"/>
    </row>
    <row r="743" spans="2:10" x14ac:dyDescent="0.2">
      <c r="B743" s="2"/>
      <c r="C743" s="46"/>
      <c r="D743" s="46"/>
      <c r="E743" s="46"/>
      <c r="F743" s="2"/>
      <c r="G743" s="46"/>
      <c r="H743" s="2"/>
      <c r="I743" s="2"/>
      <c r="J743" s="2"/>
    </row>
    <row r="744" spans="2:10" x14ac:dyDescent="0.2">
      <c r="B744" s="2"/>
      <c r="C744" s="46"/>
      <c r="D744" s="46"/>
      <c r="E744" s="46"/>
      <c r="F744" s="2"/>
      <c r="G744" s="46"/>
      <c r="H744" s="2"/>
      <c r="I744" s="2"/>
      <c r="J744" s="2"/>
    </row>
    <row r="745" spans="2:10" x14ac:dyDescent="0.2">
      <c r="B745" s="2"/>
      <c r="C745" s="46"/>
      <c r="D745" s="46"/>
      <c r="E745" s="46"/>
      <c r="F745" s="6"/>
      <c r="G745" s="46"/>
      <c r="H745" s="2"/>
      <c r="I745" s="2"/>
      <c r="J745" s="2"/>
    </row>
    <row r="746" spans="2:10" x14ac:dyDescent="0.2">
      <c r="B746" s="2"/>
      <c r="C746" s="46"/>
      <c r="D746" s="46"/>
      <c r="E746" s="46"/>
      <c r="F746" s="2"/>
      <c r="G746" s="46"/>
      <c r="H746" s="2"/>
      <c r="I746" s="2"/>
      <c r="J746" s="2"/>
    </row>
    <row r="747" spans="2:10" x14ac:dyDescent="0.2">
      <c r="B747" s="2"/>
      <c r="C747" s="46"/>
      <c r="D747" s="46"/>
      <c r="E747" s="46"/>
      <c r="F747" s="6"/>
      <c r="G747" s="46"/>
      <c r="H747" s="2"/>
      <c r="I747" s="2"/>
      <c r="J747" s="2"/>
    </row>
    <row r="748" spans="2:10" x14ac:dyDescent="0.2">
      <c r="B748" s="2"/>
      <c r="C748" s="46"/>
      <c r="D748" s="46"/>
      <c r="E748" s="46"/>
      <c r="F748" s="2"/>
      <c r="G748" s="46"/>
      <c r="H748" s="2"/>
      <c r="I748" s="2"/>
      <c r="J748" s="2"/>
    </row>
    <row r="749" spans="2:10" x14ac:dyDescent="0.2">
      <c r="B749" s="2"/>
      <c r="C749" s="46"/>
      <c r="D749" s="46"/>
      <c r="E749" s="46"/>
      <c r="F749" s="6"/>
      <c r="G749" s="46"/>
      <c r="H749" s="2"/>
      <c r="I749" s="2"/>
      <c r="J749" s="2"/>
    </row>
    <row r="750" spans="2:10" x14ac:dyDescent="0.2">
      <c r="B750" s="2"/>
      <c r="C750" s="46"/>
      <c r="D750" s="46"/>
      <c r="E750" s="46"/>
      <c r="F750" s="2"/>
      <c r="G750" s="46"/>
      <c r="H750" s="2"/>
      <c r="I750" s="2"/>
      <c r="J750" s="2"/>
    </row>
    <row r="751" spans="2:10" x14ac:dyDescent="0.2">
      <c r="B751" s="2"/>
      <c r="C751" s="46"/>
      <c r="D751" s="46"/>
      <c r="E751" s="46"/>
      <c r="F751" s="2"/>
      <c r="G751" s="46"/>
      <c r="H751" s="2"/>
      <c r="I751" s="2"/>
      <c r="J751" s="2"/>
    </row>
    <row r="752" spans="2:10" x14ac:dyDescent="0.2">
      <c r="B752" s="2"/>
      <c r="C752" s="46"/>
      <c r="D752" s="46"/>
      <c r="E752" s="46"/>
      <c r="F752" s="6"/>
      <c r="G752" s="46"/>
      <c r="H752" s="2"/>
      <c r="I752" s="2"/>
      <c r="J752" s="2"/>
    </row>
    <row r="753" spans="2:10" x14ac:dyDescent="0.2">
      <c r="B753" s="2"/>
      <c r="C753" s="46"/>
      <c r="D753" s="46"/>
      <c r="E753" s="46"/>
      <c r="F753" s="2"/>
      <c r="G753" s="46"/>
      <c r="H753" s="2"/>
      <c r="I753" s="2"/>
      <c r="J753" s="2"/>
    </row>
    <row r="754" spans="2:10" x14ac:dyDescent="0.2">
      <c r="B754" s="2"/>
      <c r="C754" s="46"/>
      <c r="D754" s="46"/>
      <c r="E754" s="46"/>
      <c r="F754" s="6"/>
      <c r="G754" s="46"/>
      <c r="H754" s="2"/>
      <c r="I754" s="2"/>
      <c r="J754" s="2"/>
    </row>
    <row r="755" spans="2:10" x14ac:dyDescent="0.2">
      <c r="B755" s="2"/>
      <c r="C755" s="46"/>
      <c r="D755" s="46"/>
      <c r="E755" s="46"/>
      <c r="F755" s="6"/>
      <c r="G755" s="46"/>
      <c r="H755" s="2"/>
      <c r="I755" s="2"/>
      <c r="J755" s="2"/>
    </row>
    <row r="756" spans="2:10" x14ac:dyDescent="0.2">
      <c r="B756" s="2"/>
      <c r="C756" s="46"/>
      <c r="D756" s="46"/>
      <c r="E756" s="46"/>
      <c r="F756" s="2"/>
      <c r="G756" s="46"/>
      <c r="H756" s="2"/>
      <c r="I756" s="2"/>
      <c r="J756" s="2"/>
    </row>
    <row r="757" spans="2:10" x14ac:dyDescent="0.2">
      <c r="B757" s="2"/>
      <c r="C757" s="46"/>
      <c r="D757" s="46"/>
      <c r="E757" s="46"/>
      <c r="F757" s="2"/>
      <c r="G757" s="46"/>
      <c r="H757" s="2"/>
      <c r="I757" s="2"/>
      <c r="J757" s="2"/>
    </row>
    <row r="758" spans="2:10" x14ac:dyDescent="0.2">
      <c r="B758" s="2"/>
      <c r="C758" s="46"/>
      <c r="D758" s="46"/>
      <c r="E758" s="46"/>
      <c r="F758" s="2"/>
      <c r="G758" s="46"/>
      <c r="H758" s="2"/>
      <c r="I758" s="2"/>
      <c r="J758" s="2"/>
    </row>
    <row r="759" spans="2:10" x14ac:dyDescent="0.2">
      <c r="B759" s="2"/>
      <c r="C759" s="46"/>
      <c r="D759" s="46"/>
      <c r="E759" s="46"/>
      <c r="F759" s="2"/>
      <c r="G759" s="46"/>
      <c r="H759" s="2"/>
      <c r="I759" s="2"/>
      <c r="J759" s="2"/>
    </row>
    <row r="760" spans="2:10" x14ac:dyDescent="0.2">
      <c r="B760" s="2"/>
      <c r="C760" s="46"/>
      <c r="D760" s="46"/>
      <c r="E760" s="46"/>
      <c r="F760" s="6"/>
      <c r="G760" s="46"/>
      <c r="H760" s="2"/>
      <c r="I760" s="2"/>
      <c r="J760" s="2"/>
    </row>
    <row r="761" spans="2:10" x14ac:dyDescent="0.2">
      <c r="B761" s="2"/>
      <c r="C761" s="46"/>
      <c r="D761" s="46"/>
      <c r="E761" s="46"/>
      <c r="F761" s="2"/>
      <c r="G761" s="46"/>
      <c r="H761" s="2"/>
      <c r="I761" s="2"/>
      <c r="J761" s="2"/>
    </row>
    <row r="762" spans="2:10" x14ac:dyDescent="0.2">
      <c r="B762" s="2"/>
      <c r="C762" s="46"/>
      <c r="D762" s="46"/>
      <c r="E762" s="46"/>
      <c r="F762" s="2"/>
      <c r="G762" s="46"/>
      <c r="H762" s="2"/>
      <c r="I762" s="2"/>
      <c r="J762" s="2"/>
    </row>
    <row r="763" spans="2:10" x14ac:dyDescent="0.2">
      <c r="B763" s="2"/>
      <c r="C763" s="46"/>
      <c r="D763" s="46"/>
      <c r="E763" s="46"/>
      <c r="F763" s="6"/>
      <c r="G763" s="46"/>
      <c r="H763" s="2"/>
      <c r="I763" s="2"/>
      <c r="J763" s="2"/>
    </row>
    <row r="764" spans="2:10" x14ac:dyDescent="0.2">
      <c r="B764" s="2"/>
      <c r="C764" s="46"/>
      <c r="D764" s="46"/>
      <c r="E764" s="46"/>
      <c r="F764" s="2"/>
      <c r="G764" s="46"/>
      <c r="H764" s="2"/>
      <c r="I764" s="2"/>
      <c r="J764" s="2"/>
    </row>
    <row r="765" spans="2:10" x14ac:dyDescent="0.2">
      <c r="B765" s="2"/>
      <c r="C765" s="46"/>
      <c r="D765" s="46"/>
      <c r="E765" s="46"/>
      <c r="F765" s="2"/>
      <c r="G765" s="46"/>
      <c r="H765" s="2"/>
      <c r="I765" s="2"/>
      <c r="J765" s="2"/>
    </row>
    <row r="766" spans="2:10" x14ac:dyDescent="0.2">
      <c r="B766" s="2"/>
      <c r="C766" s="46"/>
      <c r="D766" s="46"/>
      <c r="E766" s="46"/>
      <c r="F766" s="2"/>
      <c r="G766" s="46"/>
      <c r="H766" s="2"/>
      <c r="I766" s="2"/>
      <c r="J766" s="2"/>
    </row>
    <row r="767" spans="2:10" x14ac:dyDescent="0.2">
      <c r="B767" s="2"/>
      <c r="C767" s="46"/>
      <c r="D767" s="46"/>
      <c r="E767" s="46"/>
      <c r="F767" s="2"/>
      <c r="G767" s="46"/>
      <c r="H767" s="2"/>
      <c r="I767" s="2"/>
      <c r="J767" s="2"/>
    </row>
    <row r="768" spans="2:10" x14ac:dyDescent="0.2">
      <c r="B768" s="2"/>
      <c r="C768" s="46"/>
      <c r="D768" s="46"/>
      <c r="E768" s="46"/>
      <c r="F768" s="2"/>
      <c r="G768" s="46"/>
      <c r="H768" s="2"/>
      <c r="I768" s="2"/>
      <c r="J768" s="2"/>
    </row>
    <row r="769" spans="2:10" x14ac:dyDescent="0.2">
      <c r="B769" s="2"/>
      <c r="C769" s="46"/>
      <c r="D769" s="46"/>
      <c r="E769" s="46"/>
      <c r="F769" s="6"/>
      <c r="G769" s="46"/>
      <c r="H769" s="2"/>
      <c r="I769" s="2"/>
      <c r="J769" s="2"/>
    </row>
    <row r="770" spans="2:10" x14ac:dyDescent="0.2">
      <c r="B770" s="2"/>
      <c r="C770" s="46"/>
      <c r="D770" s="46"/>
      <c r="E770" s="46"/>
      <c r="F770" s="6"/>
      <c r="G770" s="46"/>
      <c r="H770" s="2"/>
      <c r="I770" s="2"/>
      <c r="J770" s="2"/>
    </row>
    <row r="771" spans="2:10" x14ac:dyDescent="0.2">
      <c r="B771" s="2"/>
      <c r="C771" s="46"/>
      <c r="D771" s="46"/>
      <c r="E771" s="46"/>
      <c r="F771" s="6"/>
      <c r="G771" s="46"/>
      <c r="H771" s="2"/>
      <c r="I771" s="2"/>
      <c r="J771" s="2"/>
    </row>
    <row r="772" spans="2:10" x14ac:dyDescent="0.2">
      <c r="B772" s="2"/>
      <c r="C772" s="46"/>
      <c r="D772" s="46"/>
      <c r="E772" s="46"/>
      <c r="F772" s="6"/>
      <c r="G772" s="46"/>
      <c r="H772" s="2"/>
      <c r="I772" s="2"/>
      <c r="J772" s="2"/>
    </row>
    <row r="773" spans="2:10" x14ac:dyDescent="0.2">
      <c r="B773" s="2"/>
      <c r="C773" s="46"/>
      <c r="D773" s="46"/>
      <c r="E773" s="46"/>
      <c r="F773" s="2"/>
      <c r="G773" s="46"/>
      <c r="H773" s="2"/>
      <c r="I773" s="2"/>
      <c r="J773" s="2"/>
    </row>
    <row r="774" spans="2:10" x14ac:dyDescent="0.2">
      <c r="B774" s="2"/>
      <c r="C774" s="46"/>
      <c r="D774" s="46"/>
      <c r="E774" s="46"/>
      <c r="F774" s="2"/>
      <c r="G774" s="46"/>
      <c r="H774" s="2"/>
      <c r="I774" s="2"/>
      <c r="J774" s="2"/>
    </row>
    <row r="775" spans="2:10" x14ac:dyDescent="0.2">
      <c r="B775" s="2"/>
      <c r="C775" s="46"/>
      <c r="D775" s="46"/>
      <c r="E775" s="46"/>
      <c r="F775" s="2"/>
      <c r="G775" s="46"/>
      <c r="H775" s="2"/>
      <c r="I775" s="2"/>
      <c r="J775" s="2"/>
    </row>
    <row r="776" spans="2:10" x14ac:dyDescent="0.2">
      <c r="B776" s="2"/>
      <c r="C776" s="46"/>
      <c r="D776" s="46"/>
      <c r="E776" s="46"/>
      <c r="F776" s="6"/>
      <c r="G776" s="46"/>
      <c r="H776" s="2"/>
      <c r="I776" s="2"/>
      <c r="J776" s="2"/>
    </row>
    <row r="777" spans="2:10" x14ac:dyDescent="0.2">
      <c r="B777" s="2"/>
      <c r="C777" s="46"/>
      <c r="D777" s="46"/>
      <c r="E777" s="46"/>
      <c r="F777" s="6"/>
      <c r="G777" s="46"/>
      <c r="H777" s="2"/>
      <c r="I777" s="2"/>
      <c r="J777" s="2"/>
    </row>
    <row r="778" spans="2:10" x14ac:dyDescent="0.2">
      <c r="B778" s="2"/>
      <c r="C778" s="46"/>
      <c r="D778" s="46"/>
      <c r="E778" s="46"/>
      <c r="F778" s="6"/>
      <c r="G778" s="46"/>
      <c r="H778" s="2"/>
      <c r="I778" s="2"/>
      <c r="J778" s="2"/>
    </row>
    <row r="779" spans="2:10" x14ac:dyDescent="0.2">
      <c r="B779" s="2"/>
      <c r="C779" s="46"/>
      <c r="D779" s="46"/>
      <c r="E779" s="46"/>
      <c r="F779" s="6"/>
      <c r="G779" s="46"/>
      <c r="H779" s="2"/>
      <c r="I779" s="2"/>
      <c r="J779" s="2"/>
    </row>
    <row r="780" spans="2:10" x14ac:dyDescent="0.2">
      <c r="B780" s="2"/>
      <c r="C780" s="46"/>
      <c r="D780" s="46"/>
      <c r="E780" s="46"/>
      <c r="F780" s="2"/>
      <c r="G780" s="46"/>
      <c r="H780" s="2"/>
      <c r="I780" s="2"/>
      <c r="J780" s="2"/>
    </row>
    <row r="781" spans="2:10" x14ac:dyDescent="0.2">
      <c r="B781" s="2"/>
      <c r="C781" s="46"/>
      <c r="D781" s="46"/>
      <c r="E781" s="46"/>
      <c r="F781" s="6"/>
      <c r="G781" s="46"/>
      <c r="H781" s="2"/>
      <c r="I781" s="2"/>
      <c r="J781" s="2"/>
    </row>
    <row r="782" spans="2:10" x14ac:dyDescent="0.2">
      <c r="B782" s="2"/>
      <c r="C782" s="46"/>
      <c r="D782" s="46"/>
      <c r="E782" s="46"/>
      <c r="F782" s="2"/>
      <c r="G782" s="46"/>
      <c r="H782" s="2"/>
      <c r="I782" s="2"/>
      <c r="J782" s="2"/>
    </row>
    <row r="783" spans="2:10" x14ac:dyDescent="0.2">
      <c r="B783" s="2"/>
      <c r="C783" s="46"/>
      <c r="D783" s="46"/>
      <c r="E783" s="46"/>
      <c r="F783" s="6"/>
      <c r="G783" s="46"/>
      <c r="H783" s="2"/>
      <c r="I783" s="2"/>
      <c r="J783" s="2"/>
    </row>
    <row r="784" spans="2:10" x14ac:dyDescent="0.2">
      <c r="B784" s="2"/>
      <c r="C784" s="46"/>
      <c r="D784" s="46"/>
      <c r="E784" s="46"/>
      <c r="F784" s="6"/>
      <c r="G784" s="46"/>
      <c r="H784" s="2"/>
      <c r="I784" s="2"/>
      <c r="J784" s="2"/>
    </row>
    <row r="785" spans="2:10" x14ac:dyDescent="0.2">
      <c r="B785" s="2"/>
      <c r="C785" s="46"/>
      <c r="D785" s="46"/>
      <c r="E785" s="46"/>
      <c r="F785" s="6"/>
      <c r="G785" s="46"/>
      <c r="H785" s="2"/>
      <c r="I785" s="2"/>
      <c r="J785" s="2"/>
    </row>
    <row r="786" spans="2:10" x14ac:dyDescent="0.2">
      <c r="B786" s="2"/>
      <c r="C786" s="46"/>
      <c r="D786" s="46"/>
      <c r="E786" s="46"/>
      <c r="F786" s="6"/>
      <c r="G786" s="46"/>
      <c r="H786" s="2"/>
      <c r="I786" s="2"/>
      <c r="J786" s="2"/>
    </row>
    <row r="787" spans="2:10" x14ac:dyDescent="0.2">
      <c r="B787" s="2"/>
      <c r="C787" s="46"/>
      <c r="D787" s="46"/>
      <c r="E787" s="46"/>
      <c r="F787" s="2"/>
      <c r="G787" s="46"/>
      <c r="H787" s="2"/>
      <c r="I787" s="2"/>
      <c r="J787" s="2"/>
    </row>
    <row r="788" spans="2:10" x14ac:dyDescent="0.2">
      <c r="B788" s="2"/>
      <c r="C788" s="46"/>
      <c r="D788" s="46"/>
      <c r="E788" s="46"/>
      <c r="F788" s="6"/>
      <c r="G788" s="46"/>
      <c r="H788" s="2"/>
      <c r="I788" s="2"/>
      <c r="J788" s="2"/>
    </row>
    <row r="789" spans="2:10" x14ac:dyDescent="0.2">
      <c r="B789" s="2"/>
      <c r="C789" s="46"/>
      <c r="D789" s="46"/>
      <c r="E789" s="46"/>
      <c r="F789" s="2"/>
      <c r="G789" s="46"/>
      <c r="H789" s="2"/>
      <c r="I789" s="2"/>
      <c r="J789" s="2"/>
    </row>
    <row r="790" spans="2:10" x14ac:dyDescent="0.2">
      <c r="B790" s="2"/>
      <c r="C790" s="46"/>
      <c r="D790" s="46"/>
      <c r="E790" s="46"/>
      <c r="F790" s="2"/>
      <c r="G790" s="46"/>
      <c r="H790" s="2"/>
      <c r="I790" s="2"/>
      <c r="J790" s="2"/>
    </row>
    <row r="791" spans="2:10" x14ac:dyDescent="0.2">
      <c r="B791" s="2"/>
      <c r="C791" s="46"/>
      <c r="D791" s="46"/>
      <c r="E791" s="46"/>
      <c r="F791" s="6"/>
      <c r="G791" s="46"/>
      <c r="H791" s="2"/>
      <c r="I791" s="2"/>
      <c r="J791" s="2"/>
    </row>
    <row r="792" spans="2:10" x14ac:dyDescent="0.2">
      <c r="B792" s="2"/>
      <c r="C792" s="46"/>
      <c r="D792" s="46"/>
      <c r="E792" s="46"/>
      <c r="F792" s="2"/>
      <c r="G792" s="46"/>
      <c r="H792" s="2"/>
      <c r="I792" s="2"/>
      <c r="J792" s="2"/>
    </row>
    <row r="793" spans="2:10" x14ac:dyDescent="0.2">
      <c r="B793" s="2"/>
      <c r="C793" s="46"/>
      <c r="D793" s="46"/>
      <c r="E793" s="46"/>
      <c r="F793" s="2"/>
      <c r="G793" s="46"/>
      <c r="H793" s="2"/>
      <c r="I793" s="2"/>
      <c r="J793" s="2"/>
    </row>
    <row r="794" spans="2:10" x14ac:dyDescent="0.2">
      <c r="B794" s="2"/>
      <c r="C794" s="46"/>
      <c r="D794" s="46"/>
      <c r="E794" s="46"/>
      <c r="F794" s="2"/>
      <c r="G794" s="46"/>
      <c r="H794" s="2"/>
      <c r="I794" s="2"/>
      <c r="J794" s="2"/>
    </row>
    <row r="795" spans="2:10" x14ac:dyDescent="0.2">
      <c r="B795" s="2"/>
      <c r="C795" s="46"/>
      <c r="D795" s="46"/>
      <c r="E795" s="46"/>
      <c r="F795" s="6"/>
      <c r="G795" s="46"/>
      <c r="H795" s="2"/>
      <c r="I795" s="2"/>
      <c r="J795" s="2"/>
    </row>
    <row r="796" spans="2:10" x14ac:dyDescent="0.2">
      <c r="B796" s="2"/>
      <c r="C796" s="46"/>
      <c r="D796" s="46"/>
      <c r="E796" s="46"/>
      <c r="F796" s="2"/>
      <c r="G796" s="46"/>
      <c r="H796" s="2"/>
      <c r="I796" s="2"/>
      <c r="J796" s="2"/>
    </row>
    <row r="797" spans="2:10" x14ac:dyDescent="0.2">
      <c r="B797" s="2"/>
      <c r="C797" s="46"/>
      <c r="D797" s="46"/>
      <c r="E797" s="46"/>
      <c r="F797" s="2"/>
      <c r="G797" s="46"/>
      <c r="H797" s="2"/>
      <c r="I797" s="2"/>
      <c r="J797" s="2"/>
    </row>
    <row r="798" spans="2:10" x14ac:dyDescent="0.2">
      <c r="B798" s="2"/>
      <c r="C798" s="46"/>
      <c r="D798" s="46"/>
      <c r="E798" s="46"/>
      <c r="F798" s="6"/>
      <c r="G798" s="46"/>
      <c r="H798" s="2"/>
      <c r="I798" s="2"/>
      <c r="J798" s="2"/>
    </row>
    <row r="799" spans="2:10" x14ac:dyDescent="0.2">
      <c r="B799" s="2"/>
      <c r="C799" s="46"/>
      <c r="D799" s="46"/>
      <c r="E799" s="46"/>
      <c r="F799" s="2"/>
      <c r="G799" s="46"/>
      <c r="H799" s="2"/>
      <c r="I799" s="2"/>
      <c r="J799" s="2"/>
    </row>
    <row r="800" spans="2:10" x14ac:dyDescent="0.2">
      <c r="B800" s="2"/>
      <c r="C800" s="46"/>
      <c r="D800" s="46"/>
      <c r="E800" s="46"/>
      <c r="F800" s="6"/>
      <c r="G800" s="46"/>
      <c r="H800" s="2"/>
      <c r="I800" s="2"/>
      <c r="J800" s="2"/>
    </row>
    <row r="801" spans="2:10" x14ac:dyDescent="0.2">
      <c r="B801" s="2"/>
      <c r="C801" s="46"/>
      <c r="D801" s="46"/>
      <c r="E801" s="46"/>
      <c r="F801" s="6"/>
      <c r="G801" s="46"/>
      <c r="H801" s="2"/>
      <c r="I801" s="2"/>
      <c r="J801" s="2"/>
    </row>
    <row r="802" spans="2:10" x14ac:dyDescent="0.2">
      <c r="B802" s="2"/>
      <c r="C802" s="46"/>
      <c r="D802" s="46"/>
      <c r="E802" s="46"/>
      <c r="F802" s="2"/>
      <c r="G802" s="46"/>
      <c r="H802" s="2"/>
      <c r="I802" s="2"/>
      <c r="J802" s="2"/>
    </row>
    <row r="803" spans="2:10" x14ac:dyDescent="0.2">
      <c r="B803" s="2"/>
      <c r="C803" s="46"/>
      <c r="D803" s="46"/>
      <c r="E803" s="46"/>
      <c r="F803" s="6"/>
      <c r="G803" s="46"/>
      <c r="H803" s="2"/>
      <c r="I803" s="2"/>
      <c r="J803" s="2"/>
    </row>
    <row r="804" spans="2:10" x14ac:dyDescent="0.2">
      <c r="B804" s="2"/>
      <c r="C804" s="46"/>
      <c r="D804" s="46"/>
      <c r="E804" s="46"/>
      <c r="F804" s="2"/>
      <c r="G804" s="46"/>
      <c r="H804" s="2"/>
      <c r="I804" s="2"/>
      <c r="J804" s="2"/>
    </row>
    <row r="805" spans="2:10" x14ac:dyDescent="0.2">
      <c r="B805" s="2"/>
      <c r="C805" s="46"/>
      <c r="D805" s="46"/>
      <c r="E805" s="46"/>
      <c r="F805" s="6"/>
      <c r="G805" s="46"/>
      <c r="H805" s="2"/>
      <c r="I805" s="2"/>
      <c r="J805" s="2"/>
    </row>
    <row r="806" spans="2:10" x14ac:dyDescent="0.2">
      <c r="B806" s="2"/>
      <c r="C806" s="46"/>
      <c r="D806" s="46"/>
      <c r="E806" s="46"/>
      <c r="F806" s="2"/>
      <c r="G806" s="46"/>
      <c r="H806" s="2"/>
      <c r="I806" s="2"/>
      <c r="J806" s="2"/>
    </row>
    <row r="807" spans="2:10" x14ac:dyDescent="0.2">
      <c r="B807" s="2"/>
      <c r="C807" s="46"/>
      <c r="D807" s="46"/>
      <c r="E807" s="46"/>
      <c r="F807" s="6"/>
      <c r="G807" s="46"/>
      <c r="H807" s="2"/>
      <c r="I807" s="2"/>
      <c r="J807" s="2"/>
    </row>
    <row r="808" spans="2:10" x14ac:dyDescent="0.2">
      <c r="B808" s="2"/>
      <c r="C808" s="46"/>
      <c r="D808" s="46"/>
      <c r="E808" s="46"/>
      <c r="F808" s="6"/>
      <c r="G808" s="46"/>
      <c r="H808" s="2"/>
      <c r="I808" s="2"/>
      <c r="J808" s="2"/>
    </row>
    <row r="809" spans="2:10" x14ac:dyDescent="0.2">
      <c r="B809" s="2"/>
      <c r="C809" s="46"/>
      <c r="D809" s="46"/>
      <c r="E809" s="46"/>
      <c r="F809" s="6"/>
      <c r="G809" s="46"/>
      <c r="H809" s="2"/>
      <c r="I809" s="2"/>
      <c r="J809" s="2"/>
    </row>
    <row r="810" spans="2:10" x14ac:dyDescent="0.2">
      <c r="B810" s="2"/>
      <c r="C810" s="46"/>
      <c r="D810" s="46"/>
      <c r="E810" s="46"/>
      <c r="F810" s="2"/>
      <c r="G810" s="46"/>
      <c r="H810" s="2"/>
      <c r="I810" s="2"/>
      <c r="J810" s="2"/>
    </row>
    <row r="811" spans="2:10" x14ac:dyDescent="0.2">
      <c r="B811" s="2"/>
      <c r="C811" s="46"/>
      <c r="D811" s="46"/>
      <c r="E811" s="46"/>
      <c r="F811" s="6"/>
      <c r="G811" s="46"/>
      <c r="H811" s="2"/>
      <c r="I811" s="2"/>
      <c r="J811" s="2"/>
    </row>
    <row r="812" spans="2:10" x14ac:dyDescent="0.2">
      <c r="B812" s="2"/>
      <c r="C812" s="46"/>
      <c r="D812" s="46"/>
      <c r="E812" s="46"/>
      <c r="F812" s="2"/>
      <c r="G812" s="46"/>
      <c r="H812" s="2"/>
      <c r="I812" s="2"/>
      <c r="J812" s="2"/>
    </row>
    <row r="813" spans="2:10" x14ac:dyDescent="0.2">
      <c r="B813" s="2"/>
      <c r="C813" s="46"/>
      <c r="D813" s="46"/>
      <c r="E813" s="46"/>
      <c r="F813" s="6"/>
      <c r="G813" s="46"/>
      <c r="H813" s="2"/>
      <c r="I813" s="2"/>
      <c r="J813" s="2"/>
    </row>
    <row r="814" spans="2:10" x14ac:dyDescent="0.2">
      <c r="B814" s="2"/>
      <c r="C814" s="46"/>
      <c r="D814" s="46"/>
      <c r="E814" s="46"/>
      <c r="F814" s="6"/>
      <c r="G814" s="46"/>
      <c r="H814" s="2"/>
      <c r="I814" s="2"/>
      <c r="J814" s="2"/>
    </row>
    <row r="815" spans="2:10" x14ac:dyDescent="0.2">
      <c r="B815" s="2"/>
      <c r="C815" s="46"/>
      <c r="D815" s="46"/>
      <c r="E815" s="46"/>
      <c r="F815" s="6"/>
      <c r="G815" s="46"/>
      <c r="H815" s="2"/>
      <c r="I815" s="2"/>
      <c r="J815" s="2"/>
    </row>
    <row r="816" spans="2:10" x14ac:dyDescent="0.2">
      <c r="B816" s="2"/>
      <c r="C816" s="46"/>
      <c r="D816" s="46"/>
      <c r="E816" s="46"/>
      <c r="F816" s="2"/>
      <c r="G816" s="46"/>
      <c r="H816" s="2"/>
      <c r="I816" s="2"/>
      <c r="J816" s="2"/>
    </row>
    <row r="817" spans="2:10" x14ac:dyDescent="0.2">
      <c r="B817" s="2"/>
      <c r="C817" s="46"/>
      <c r="D817" s="46"/>
      <c r="E817" s="46"/>
      <c r="F817" s="6"/>
      <c r="G817" s="46"/>
      <c r="H817" s="2"/>
      <c r="I817" s="2"/>
      <c r="J817" s="2"/>
    </row>
    <row r="818" spans="2:10" x14ac:dyDescent="0.2">
      <c r="B818" s="2"/>
      <c r="C818" s="46"/>
      <c r="D818" s="46"/>
      <c r="E818" s="46"/>
      <c r="F818" s="6"/>
      <c r="G818" s="46"/>
      <c r="H818" s="2"/>
      <c r="I818" s="2"/>
      <c r="J818" s="2"/>
    </row>
    <row r="819" spans="2:10" x14ac:dyDescent="0.2">
      <c r="B819" s="2"/>
      <c r="C819" s="46"/>
      <c r="D819" s="46"/>
      <c r="E819" s="46"/>
      <c r="F819" s="2"/>
      <c r="G819" s="46"/>
      <c r="H819" s="2"/>
      <c r="I819" s="2"/>
      <c r="J819" s="2"/>
    </row>
    <row r="820" spans="2:10" x14ac:dyDescent="0.2">
      <c r="B820" s="2"/>
      <c r="C820" s="46"/>
      <c r="D820" s="46"/>
      <c r="E820" s="46"/>
      <c r="F820" s="2"/>
      <c r="G820" s="46"/>
      <c r="H820" s="2"/>
      <c r="I820" s="2"/>
      <c r="J820" s="2"/>
    </row>
    <row r="821" spans="2:10" x14ac:dyDescent="0.2">
      <c r="B821" s="2"/>
      <c r="C821" s="46"/>
      <c r="D821" s="46"/>
      <c r="E821" s="46"/>
      <c r="F821" s="2"/>
      <c r="G821" s="46"/>
      <c r="H821" s="2"/>
      <c r="I821" s="2"/>
      <c r="J821" s="2"/>
    </row>
    <row r="822" spans="2:10" x14ac:dyDescent="0.2">
      <c r="B822" s="2"/>
      <c r="C822" s="46"/>
      <c r="D822" s="46"/>
      <c r="E822" s="46"/>
      <c r="F822" s="2"/>
      <c r="G822" s="46"/>
      <c r="H822" s="2"/>
      <c r="I822" s="2"/>
      <c r="J822" s="2"/>
    </row>
    <row r="823" spans="2:10" x14ac:dyDescent="0.2">
      <c r="B823" s="2"/>
      <c r="C823" s="46"/>
      <c r="D823" s="46"/>
      <c r="E823" s="46"/>
      <c r="F823" s="2"/>
      <c r="G823" s="46"/>
      <c r="H823" s="2"/>
      <c r="I823" s="2"/>
      <c r="J823" s="2"/>
    </row>
    <row r="824" spans="2:10" x14ac:dyDescent="0.2">
      <c r="B824" s="2"/>
      <c r="C824" s="46"/>
      <c r="D824" s="46"/>
      <c r="E824" s="46"/>
      <c r="F824" s="6"/>
      <c r="G824" s="46"/>
      <c r="H824" s="2"/>
      <c r="I824" s="2"/>
      <c r="J824" s="2"/>
    </row>
    <row r="825" spans="2:10" x14ac:dyDescent="0.2">
      <c r="B825" s="2"/>
      <c r="C825" s="46"/>
      <c r="D825" s="46"/>
      <c r="E825" s="46"/>
      <c r="F825" s="6"/>
      <c r="G825" s="46"/>
      <c r="H825" s="2"/>
      <c r="I825" s="2"/>
      <c r="J825" s="2"/>
    </row>
    <row r="826" spans="2:10" x14ac:dyDescent="0.2">
      <c r="B826" s="2"/>
      <c r="C826" s="46"/>
      <c r="D826" s="46"/>
      <c r="E826" s="46"/>
      <c r="F826" s="2"/>
      <c r="G826" s="46"/>
      <c r="H826" s="2"/>
      <c r="I826" s="2"/>
      <c r="J826" s="2"/>
    </row>
    <row r="827" spans="2:10" x14ac:dyDescent="0.2">
      <c r="B827" s="2"/>
      <c r="C827" s="46"/>
      <c r="D827" s="46"/>
      <c r="E827" s="46"/>
      <c r="F827" s="6"/>
      <c r="G827" s="46"/>
      <c r="H827" s="2"/>
      <c r="I827" s="2"/>
      <c r="J827" s="2"/>
    </row>
    <row r="828" spans="2:10" x14ac:dyDescent="0.2">
      <c r="B828" s="2"/>
      <c r="C828" s="46"/>
      <c r="D828" s="46"/>
      <c r="E828" s="46"/>
      <c r="F828" s="6"/>
      <c r="G828" s="46"/>
      <c r="H828" s="2"/>
      <c r="I828" s="2"/>
      <c r="J828" s="2"/>
    </row>
    <row r="829" spans="2:10" x14ac:dyDescent="0.2">
      <c r="B829" s="2"/>
      <c r="C829" s="46"/>
      <c r="D829" s="46"/>
      <c r="E829" s="46"/>
      <c r="F829" s="2"/>
      <c r="G829" s="46"/>
      <c r="H829" s="2"/>
      <c r="I829" s="2"/>
      <c r="J829" s="2"/>
    </row>
    <row r="830" spans="2:10" x14ac:dyDescent="0.2">
      <c r="B830" s="2"/>
      <c r="C830" s="46"/>
      <c r="D830" s="46"/>
      <c r="E830" s="46"/>
      <c r="F830" s="6"/>
      <c r="G830" s="46"/>
      <c r="H830" s="2"/>
      <c r="I830" s="2"/>
      <c r="J830" s="2"/>
    </row>
    <row r="831" spans="2:10" x14ac:dyDescent="0.2">
      <c r="B831" s="2"/>
      <c r="C831" s="46"/>
      <c r="D831" s="46"/>
      <c r="E831" s="46"/>
      <c r="F831" s="6"/>
      <c r="G831" s="46"/>
      <c r="H831" s="2"/>
      <c r="I831" s="2"/>
      <c r="J831" s="2"/>
    </row>
    <row r="832" spans="2:10" x14ac:dyDescent="0.2">
      <c r="B832" s="2"/>
      <c r="C832" s="46"/>
      <c r="D832" s="46"/>
      <c r="E832" s="46"/>
      <c r="F832" s="2"/>
      <c r="G832" s="46"/>
      <c r="H832" s="2"/>
      <c r="I832" s="2"/>
      <c r="J832" s="2"/>
    </row>
    <row r="833" spans="2:10" x14ac:dyDescent="0.2">
      <c r="B833" s="2"/>
      <c r="C833" s="46"/>
      <c r="D833" s="46"/>
      <c r="E833" s="46"/>
      <c r="F833" s="2"/>
      <c r="G833" s="46"/>
      <c r="H833" s="2"/>
      <c r="I833" s="2"/>
      <c r="J833" s="2"/>
    </row>
    <row r="834" spans="2:10" x14ac:dyDescent="0.2">
      <c r="B834" s="2"/>
      <c r="C834" s="46"/>
      <c r="D834" s="46"/>
      <c r="E834" s="46"/>
      <c r="F834" s="2"/>
      <c r="G834" s="46"/>
      <c r="H834" s="2"/>
      <c r="I834" s="2"/>
      <c r="J834" s="2"/>
    </row>
    <row r="835" spans="2:10" x14ac:dyDescent="0.2">
      <c r="B835" s="2"/>
      <c r="C835" s="46"/>
      <c r="D835" s="46"/>
      <c r="E835" s="46"/>
      <c r="F835" s="6"/>
      <c r="G835" s="46"/>
      <c r="H835" s="2"/>
      <c r="I835" s="2"/>
      <c r="J835" s="2"/>
    </row>
    <row r="836" spans="2:10" x14ac:dyDescent="0.2">
      <c r="B836" s="2"/>
      <c r="C836" s="46"/>
      <c r="D836" s="46"/>
      <c r="E836" s="46"/>
      <c r="F836" s="6"/>
      <c r="G836" s="46"/>
      <c r="H836" s="2"/>
      <c r="I836" s="2"/>
      <c r="J836" s="2"/>
    </row>
    <row r="837" spans="2:10" x14ac:dyDescent="0.2">
      <c r="B837" s="2"/>
      <c r="C837" s="46"/>
      <c r="D837" s="46"/>
      <c r="E837" s="46"/>
      <c r="F837" s="2"/>
      <c r="G837" s="46"/>
      <c r="H837" s="2"/>
      <c r="I837" s="2"/>
      <c r="J837" s="2"/>
    </row>
    <row r="838" spans="2:10" x14ac:dyDescent="0.2">
      <c r="B838" s="2"/>
      <c r="C838" s="46"/>
      <c r="D838" s="46"/>
      <c r="E838" s="46"/>
      <c r="F838" s="6"/>
      <c r="G838" s="46"/>
      <c r="H838" s="2"/>
      <c r="I838" s="2"/>
      <c r="J838" s="2"/>
    </row>
    <row r="839" spans="2:10" x14ac:dyDescent="0.2">
      <c r="B839" s="2"/>
      <c r="C839" s="46"/>
      <c r="D839" s="46"/>
      <c r="E839" s="46"/>
      <c r="F839" s="2"/>
      <c r="G839" s="46"/>
      <c r="H839" s="2"/>
      <c r="I839" s="2"/>
      <c r="J839" s="2"/>
    </row>
    <row r="840" spans="2:10" x14ac:dyDescent="0.2">
      <c r="B840" s="2"/>
      <c r="C840" s="46"/>
      <c r="D840" s="46"/>
      <c r="E840" s="46"/>
      <c r="F840" s="6"/>
      <c r="G840" s="46"/>
      <c r="H840" s="2"/>
      <c r="I840" s="2"/>
      <c r="J840" s="2"/>
    </row>
    <row r="841" spans="2:10" x14ac:dyDescent="0.2">
      <c r="B841" s="2"/>
      <c r="C841" s="46"/>
      <c r="D841" s="46"/>
      <c r="E841" s="46"/>
      <c r="F841" s="2"/>
      <c r="G841" s="46"/>
      <c r="H841" s="2"/>
      <c r="I841" s="2"/>
      <c r="J841" s="2"/>
    </row>
    <row r="842" spans="2:10" x14ac:dyDescent="0.2">
      <c r="B842" s="2"/>
      <c r="C842" s="46"/>
      <c r="D842" s="46"/>
      <c r="E842" s="46"/>
      <c r="F842" s="6"/>
      <c r="G842" s="46"/>
      <c r="H842" s="2"/>
      <c r="I842" s="2"/>
      <c r="J842" s="2"/>
    </row>
    <row r="843" spans="2:10" x14ac:dyDescent="0.2">
      <c r="B843" s="2"/>
      <c r="C843" s="46"/>
      <c r="D843" s="46"/>
      <c r="E843" s="46"/>
      <c r="F843" s="6"/>
      <c r="G843" s="46"/>
      <c r="H843" s="2"/>
      <c r="I843" s="2"/>
      <c r="J843" s="2"/>
    </row>
    <row r="844" spans="2:10" x14ac:dyDescent="0.2">
      <c r="B844" s="2"/>
      <c r="C844" s="46"/>
      <c r="D844" s="46"/>
      <c r="E844" s="46"/>
      <c r="F844" s="6"/>
      <c r="G844" s="46"/>
      <c r="H844" s="2"/>
      <c r="I844" s="2"/>
      <c r="J844" s="2"/>
    </row>
    <row r="845" spans="2:10" x14ac:dyDescent="0.2">
      <c r="B845" s="2"/>
      <c r="C845" s="46"/>
      <c r="D845" s="46"/>
      <c r="E845" s="46"/>
      <c r="F845" s="6"/>
      <c r="G845" s="46"/>
      <c r="H845" s="2"/>
      <c r="I845" s="2"/>
      <c r="J845" s="2"/>
    </row>
    <row r="846" spans="2:10" x14ac:dyDescent="0.2">
      <c r="B846" s="2"/>
      <c r="C846" s="46"/>
      <c r="D846" s="46"/>
      <c r="E846" s="46"/>
      <c r="F846" s="2"/>
      <c r="G846" s="46"/>
      <c r="H846" s="2"/>
      <c r="I846" s="2"/>
      <c r="J846" s="2"/>
    </row>
    <row r="847" spans="2:10" x14ac:dyDescent="0.2">
      <c r="B847" s="2"/>
      <c r="C847" s="46"/>
      <c r="D847" s="46"/>
      <c r="E847" s="46"/>
      <c r="F847" s="2"/>
      <c r="G847" s="46"/>
      <c r="H847" s="2"/>
      <c r="I847" s="2"/>
      <c r="J847" s="2"/>
    </row>
    <row r="848" spans="2:10" x14ac:dyDescent="0.2">
      <c r="B848" s="2"/>
      <c r="C848" s="46"/>
      <c r="D848" s="46"/>
      <c r="E848" s="46"/>
      <c r="F848" s="2"/>
      <c r="G848" s="46"/>
      <c r="H848" s="2"/>
      <c r="I848" s="2"/>
      <c r="J848" s="2"/>
    </row>
    <row r="849" spans="2:10" x14ac:dyDescent="0.2">
      <c r="B849" s="2"/>
      <c r="C849" s="46"/>
      <c r="D849" s="46"/>
      <c r="E849" s="46"/>
      <c r="F849" s="2"/>
      <c r="G849" s="46"/>
      <c r="H849" s="2"/>
      <c r="I849" s="2"/>
      <c r="J849" s="2"/>
    </row>
    <row r="850" spans="2:10" x14ac:dyDescent="0.2">
      <c r="B850" s="2"/>
      <c r="C850" s="46"/>
      <c r="D850" s="46"/>
      <c r="E850" s="46"/>
      <c r="F850" s="6"/>
      <c r="G850" s="46"/>
      <c r="H850" s="2"/>
      <c r="I850" s="2"/>
      <c r="J850" s="2"/>
    </row>
    <row r="851" spans="2:10" x14ac:dyDescent="0.2">
      <c r="B851" s="2"/>
      <c r="C851" s="46"/>
      <c r="D851" s="46"/>
      <c r="E851" s="46"/>
      <c r="F851" s="2"/>
      <c r="G851" s="46"/>
      <c r="H851" s="2"/>
      <c r="I851" s="2"/>
      <c r="J851" s="2"/>
    </row>
    <row r="852" spans="2:10" x14ac:dyDescent="0.2">
      <c r="B852" s="2"/>
      <c r="C852" s="46"/>
      <c r="D852" s="46"/>
      <c r="E852" s="46"/>
      <c r="F852" s="6"/>
      <c r="G852" s="46"/>
      <c r="H852" s="2"/>
      <c r="I852" s="2"/>
      <c r="J852" s="2"/>
    </row>
    <row r="853" spans="2:10" x14ac:dyDescent="0.2">
      <c r="B853" s="2"/>
      <c r="C853" s="46"/>
      <c r="D853" s="46"/>
      <c r="E853" s="46"/>
      <c r="F853" s="2"/>
      <c r="G853" s="46"/>
      <c r="H853" s="2"/>
      <c r="I853" s="2"/>
      <c r="J853" s="2"/>
    </row>
    <row r="854" spans="2:10" x14ac:dyDescent="0.2">
      <c r="B854" s="2"/>
      <c r="C854" s="46"/>
      <c r="D854" s="46"/>
      <c r="E854" s="46"/>
      <c r="F854" s="6"/>
      <c r="G854" s="46"/>
      <c r="H854" s="2"/>
      <c r="I854" s="2"/>
      <c r="J854" s="2"/>
    </row>
    <row r="855" spans="2:10" x14ac:dyDescent="0.2">
      <c r="B855" s="2"/>
      <c r="C855" s="46"/>
      <c r="D855" s="46"/>
      <c r="E855" s="46"/>
      <c r="F855" s="2"/>
      <c r="G855" s="46"/>
      <c r="H855" s="2"/>
      <c r="I855" s="2"/>
      <c r="J855" s="2"/>
    </row>
    <row r="856" spans="2:10" x14ac:dyDescent="0.2">
      <c r="B856" s="2"/>
      <c r="C856" s="46"/>
      <c r="D856" s="46"/>
      <c r="E856" s="46"/>
      <c r="F856" s="2"/>
      <c r="G856" s="46"/>
      <c r="H856" s="2"/>
      <c r="I856" s="2"/>
      <c r="J856" s="2"/>
    </row>
    <row r="857" spans="2:10" x14ac:dyDescent="0.2">
      <c r="B857" s="2"/>
      <c r="C857" s="46"/>
      <c r="D857" s="46"/>
      <c r="E857" s="46"/>
      <c r="F857" s="2"/>
      <c r="G857" s="46"/>
      <c r="H857" s="2"/>
      <c r="I857" s="2"/>
      <c r="J857" s="2"/>
    </row>
    <row r="858" spans="2:10" x14ac:dyDescent="0.2">
      <c r="B858" s="2"/>
      <c r="C858" s="46"/>
      <c r="D858" s="46"/>
      <c r="E858" s="46"/>
      <c r="F858" s="6"/>
      <c r="G858" s="46"/>
      <c r="H858" s="2"/>
      <c r="I858" s="2"/>
      <c r="J858" s="2"/>
    </row>
    <row r="859" spans="2:10" x14ac:dyDescent="0.2">
      <c r="B859" s="2"/>
      <c r="C859" s="46"/>
      <c r="D859" s="46"/>
      <c r="E859" s="46"/>
      <c r="F859" s="2"/>
      <c r="G859" s="46"/>
      <c r="H859" s="2"/>
      <c r="I859" s="2"/>
      <c r="J859" s="2"/>
    </row>
    <row r="860" spans="2:10" x14ac:dyDescent="0.2">
      <c r="B860" s="2"/>
      <c r="C860" s="46"/>
      <c r="D860" s="46"/>
      <c r="E860" s="46"/>
      <c r="F860" s="2"/>
      <c r="G860" s="46"/>
      <c r="H860" s="2"/>
      <c r="I860" s="2"/>
      <c r="J860" s="2"/>
    </row>
    <row r="861" spans="2:10" x14ac:dyDescent="0.2">
      <c r="B861" s="2"/>
      <c r="C861" s="46"/>
      <c r="D861" s="46"/>
      <c r="E861" s="46"/>
      <c r="F861" s="2"/>
      <c r="G861" s="46"/>
      <c r="H861" s="2"/>
      <c r="I861" s="2"/>
      <c r="J861" s="2"/>
    </row>
    <row r="862" spans="2:10" x14ac:dyDescent="0.2">
      <c r="B862" s="2"/>
      <c r="C862" s="46"/>
      <c r="D862" s="46"/>
      <c r="E862" s="46"/>
      <c r="F862" s="6"/>
      <c r="G862" s="46"/>
      <c r="H862" s="2"/>
      <c r="I862" s="2"/>
      <c r="J862" s="2"/>
    </row>
    <row r="863" spans="2:10" x14ac:dyDescent="0.2">
      <c r="B863" s="2"/>
      <c r="C863" s="46"/>
      <c r="D863" s="46"/>
      <c r="E863" s="46"/>
      <c r="F863" s="2"/>
      <c r="G863" s="46"/>
      <c r="H863" s="2"/>
      <c r="I863" s="2"/>
      <c r="J863" s="2"/>
    </row>
    <row r="864" spans="2:10" x14ac:dyDescent="0.2">
      <c r="B864" s="2"/>
      <c r="C864" s="46"/>
      <c r="D864" s="46"/>
      <c r="E864" s="46"/>
      <c r="F864" s="2"/>
      <c r="G864" s="46"/>
      <c r="H864" s="2"/>
      <c r="I864" s="2"/>
      <c r="J864" s="2"/>
    </row>
    <row r="865" spans="2:10" x14ac:dyDescent="0.2">
      <c r="B865" s="2"/>
      <c r="C865" s="46"/>
      <c r="D865" s="46"/>
      <c r="E865" s="46"/>
      <c r="F865" s="6"/>
      <c r="G865" s="46"/>
      <c r="H865" s="2"/>
      <c r="I865" s="2"/>
      <c r="J865" s="2"/>
    </row>
    <row r="866" spans="2:10" x14ac:dyDescent="0.2">
      <c r="B866" s="2"/>
      <c r="C866" s="46"/>
      <c r="D866" s="46"/>
      <c r="E866" s="46"/>
      <c r="F866" s="2"/>
      <c r="G866" s="46"/>
      <c r="H866" s="2"/>
      <c r="I866" s="2"/>
      <c r="J866" s="2"/>
    </row>
    <row r="867" spans="2:10" x14ac:dyDescent="0.2">
      <c r="B867" s="2"/>
      <c r="C867" s="46"/>
      <c r="D867" s="46"/>
      <c r="E867" s="46"/>
      <c r="F867" s="6"/>
      <c r="G867" s="46"/>
      <c r="H867" s="2"/>
      <c r="I867" s="2"/>
      <c r="J867" s="2"/>
    </row>
    <row r="868" spans="2:10" x14ac:dyDescent="0.2">
      <c r="B868" s="2"/>
      <c r="C868" s="46"/>
      <c r="D868" s="46"/>
      <c r="E868" s="46"/>
      <c r="F868" s="6"/>
      <c r="G868" s="46"/>
      <c r="H868" s="2"/>
      <c r="I868" s="2"/>
      <c r="J868" s="2"/>
    </row>
    <row r="869" spans="2:10" x14ac:dyDescent="0.2">
      <c r="B869" s="2"/>
      <c r="C869" s="46"/>
      <c r="D869" s="46"/>
      <c r="E869" s="46"/>
      <c r="F869" s="2"/>
      <c r="G869" s="46"/>
      <c r="H869" s="2"/>
      <c r="I869" s="2"/>
      <c r="J869" s="2"/>
    </row>
    <row r="870" spans="2:10" x14ac:dyDescent="0.2">
      <c r="B870" s="2"/>
      <c r="C870" s="46"/>
      <c r="D870" s="46"/>
      <c r="E870" s="46"/>
      <c r="F870" s="2"/>
      <c r="G870" s="46"/>
      <c r="H870" s="2"/>
      <c r="I870" s="2"/>
      <c r="J870" s="2"/>
    </row>
    <row r="871" spans="2:10" x14ac:dyDescent="0.2">
      <c r="B871" s="2"/>
      <c r="C871" s="46"/>
      <c r="D871" s="46"/>
      <c r="E871" s="46"/>
      <c r="F871" s="2"/>
      <c r="G871" s="46"/>
      <c r="H871" s="2"/>
      <c r="I871" s="2"/>
      <c r="J871" s="2"/>
    </row>
    <row r="872" spans="2:10" x14ac:dyDescent="0.2">
      <c r="B872" s="2"/>
      <c r="C872" s="46"/>
      <c r="D872" s="46"/>
      <c r="E872" s="46"/>
      <c r="F872" s="2"/>
      <c r="G872" s="46"/>
      <c r="H872" s="2"/>
      <c r="I872" s="2"/>
      <c r="J872" s="2"/>
    </row>
    <row r="873" spans="2:10" x14ac:dyDescent="0.2">
      <c r="B873" s="2"/>
      <c r="C873" s="46"/>
      <c r="D873" s="46"/>
      <c r="E873" s="46"/>
      <c r="F873" s="6"/>
      <c r="G873" s="46"/>
      <c r="H873" s="2"/>
      <c r="I873" s="2"/>
      <c r="J873" s="2"/>
    </row>
    <row r="874" spans="2:10" x14ac:dyDescent="0.2">
      <c r="B874" s="2"/>
      <c r="C874" s="46"/>
      <c r="D874" s="46"/>
      <c r="E874" s="46"/>
      <c r="F874" s="6"/>
      <c r="G874" s="46"/>
      <c r="H874" s="2"/>
      <c r="I874" s="2"/>
      <c r="J874" s="2"/>
    </row>
    <row r="875" spans="2:10" x14ac:dyDescent="0.2">
      <c r="B875" s="2"/>
      <c r="C875" s="46"/>
      <c r="D875" s="46"/>
      <c r="E875" s="46"/>
      <c r="F875" s="6"/>
      <c r="G875" s="46"/>
      <c r="H875" s="2"/>
      <c r="I875" s="2"/>
      <c r="J875" s="2"/>
    </row>
    <row r="876" spans="2:10" x14ac:dyDescent="0.2">
      <c r="B876" s="2"/>
      <c r="C876" s="46"/>
      <c r="D876" s="46"/>
      <c r="E876" s="46"/>
      <c r="F876" s="2"/>
      <c r="G876" s="46"/>
      <c r="H876" s="2"/>
      <c r="I876" s="2"/>
      <c r="J876" s="2"/>
    </row>
    <row r="877" spans="2:10" x14ac:dyDescent="0.2">
      <c r="B877" s="2"/>
      <c r="C877" s="46"/>
      <c r="D877" s="46"/>
      <c r="E877" s="46"/>
      <c r="F877" s="6"/>
      <c r="G877" s="46"/>
      <c r="H877" s="2"/>
      <c r="I877" s="2"/>
      <c r="J877" s="2"/>
    </row>
    <row r="878" spans="2:10" x14ac:dyDescent="0.2">
      <c r="B878" s="2"/>
      <c r="C878" s="46"/>
      <c r="D878" s="46"/>
      <c r="E878" s="46"/>
      <c r="F878" s="6"/>
      <c r="G878" s="46"/>
      <c r="H878" s="2"/>
      <c r="I878" s="2"/>
      <c r="J878" s="2"/>
    </row>
    <row r="879" spans="2:10" x14ac:dyDescent="0.2">
      <c r="B879" s="2"/>
      <c r="C879" s="46"/>
      <c r="D879" s="46"/>
      <c r="E879" s="46"/>
      <c r="F879" s="2"/>
      <c r="G879" s="46"/>
      <c r="H879" s="2"/>
      <c r="I879" s="2"/>
      <c r="J879" s="2"/>
    </row>
    <row r="880" spans="2:10" x14ac:dyDescent="0.2">
      <c r="B880" s="2"/>
      <c r="C880" s="46"/>
      <c r="D880" s="46"/>
      <c r="E880" s="46"/>
      <c r="F880" s="6"/>
      <c r="G880" s="46"/>
      <c r="H880" s="2"/>
      <c r="I880" s="2"/>
      <c r="J880" s="2"/>
    </row>
    <row r="881" spans="2:10" x14ac:dyDescent="0.2">
      <c r="B881" s="2"/>
      <c r="C881" s="46"/>
      <c r="D881" s="46"/>
      <c r="E881" s="46"/>
      <c r="F881" s="6"/>
      <c r="G881" s="46"/>
      <c r="H881" s="2"/>
      <c r="I881" s="2"/>
      <c r="J881" s="2"/>
    </row>
    <row r="882" spans="2:10" x14ac:dyDescent="0.2">
      <c r="B882" s="2"/>
      <c r="C882" s="46"/>
      <c r="D882" s="46"/>
      <c r="E882" s="46"/>
      <c r="F882" s="2"/>
      <c r="G882" s="46"/>
      <c r="H882" s="2"/>
      <c r="I882" s="2"/>
      <c r="J882" s="2"/>
    </row>
    <row r="883" spans="2:10" x14ac:dyDescent="0.2">
      <c r="B883" s="2"/>
      <c r="C883" s="46"/>
      <c r="D883" s="46"/>
      <c r="E883" s="46"/>
      <c r="F883" s="2"/>
      <c r="G883" s="46"/>
      <c r="H883" s="2"/>
      <c r="I883" s="2"/>
      <c r="J883" s="2"/>
    </row>
    <row r="884" spans="2:10" x14ac:dyDescent="0.2">
      <c r="B884" s="2"/>
      <c r="C884" s="46"/>
      <c r="D884" s="46"/>
      <c r="E884" s="46"/>
      <c r="F884" s="6"/>
      <c r="G884" s="46"/>
      <c r="H884" s="2"/>
      <c r="I884" s="2"/>
      <c r="J884" s="2"/>
    </row>
    <row r="885" spans="2:10" x14ac:dyDescent="0.2">
      <c r="B885" s="2"/>
      <c r="C885" s="46"/>
      <c r="D885" s="46"/>
      <c r="E885" s="46"/>
      <c r="F885" s="6"/>
      <c r="G885" s="46"/>
      <c r="H885" s="2"/>
      <c r="I885" s="2"/>
      <c r="J885" s="2"/>
    </row>
    <row r="886" spans="2:10" x14ac:dyDescent="0.2">
      <c r="B886" s="2"/>
      <c r="C886" s="46"/>
      <c r="D886" s="46"/>
      <c r="E886" s="46"/>
      <c r="F886" s="2"/>
      <c r="G886" s="46"/>
      <c r="H886" s="2"/>
      <c r="I886" s="2"/>
      <c r="J886" s="2"/>
    </row>
    <row r="887" spans="2:10" x14ac:dyDescent="0.2">
      <c r="B887" s="2"/>
      <c r="C887" s="46"/>
      <c r="D887" s="46"/>
      <c r="E887" s="46"/>
      <c r="F887" s="6"/>
      <c r="G887" s="46"/>
      <c r="H887" s="2"/>
      <c r="I887" s="2"/>
      <c r="J887" s="2"/>
    </row>
    <row r="888" spans="2:10" x14ac:dyDescent="0.2">
      <c r="B888" s="2"/>
      <c r="C888" s="46"/>
      <c r="D888" s="46"/>
      <c r="E888" s="46"/>
      <c r="F888" s="2"/>
      <c r="G888" s="46"/>
      <c r="H888" s="2"/>
      <c r="I888" s="2"/>
      <c r="J888" s="2"/>
    </row>
    <row r="889" spans="2:10" x14ac:dyDescent="0.2">
      <c r="B889" s="2"/>
      <c r="C889" s="46"/>
      <c r="D889" s="46"/>
      <c r="E889" s="46"/>
      <c r="F889" s="2"/>
      <c r="G889" s="46"/>
      <c r="H889" s="2"/>
      <c r="I889" s="2"/>
      <c r="J889" s="2"/>
    </row>
    <row r="890" spans="2:10" x14ac:dyDescent="0.2">
      <c r="B890" s="2"/>
      <c r="C890" s="46"/>
      <c r="D890" s="46"/>
      <c r="E890" s="46"/>
      <c r="F890" s="6"/>
      <c r="G890" s="46"/>
      <c r="H890" s="2"/>
      <c r="I890" s="2"/>
      <c r="J890" s="2"/>
    </row>
    <row r="891" spans="2:10" x14ac:dyDescent="0.2">
      <c r="B891" s="2"/>
      <c r="C891" s="46"/>
      <c r="D891" s="46"/>
      <c r="E891" s="46"/>
      <c r="F891" s="6"/>
      <c r="G891" s="46"/>
      <c r="H891" s="2"/>
      <c r="I891" s="2"/>
      <c r="J891" s="2"/>
    </row>
    <row r="892" spans="2:10" x14ac:dyDescent="0.2">
      <c r="B892" s="2"/>
      <c r="C892" s="46"/>
      <c r="D892" s="46"/>
      <c r="E892" s="46"/>
      <c r="F892" s="2"/>
      <c r="G892" s="46"/>
      <c r="H892" s="2"/>
      <c r="I892" s="2"/>
      <c r="J892" s="2"/>
    </row>
    <row r="893" spans="2:10" x14ac:dyDescent="0.2">
      <c r="B893" s="2"/>
      <c r="C893" s="46"/>
      <c r="D893" s="46"/>
      <c r="E893" s="46"/>
      <c r="F893" s="2"/>
      <c r="G893" s="46"/>
      <c r="H893" s="2"/>
      <c r="I893" s="2"/>
      <c r="J893" s="2"/>
    </row>
    <row r="894" spans="2:10" x14ac:dyDescent="0.2">
      <c r="B894" s="2"/>
      <c r="C894" s="46"/>
      <c r="D894" s="46"/>
      <c r="E894" s="46"/>
      <c r="F894" s="2"/>
      <c r="G894" s="46"/>
      <c r="H894" s="2"/>
      <c r="I894" s="2"/>
      <c r="J894" s="2"/>
    </row>
    <row r="895" spans="2:10" x14ac:dyDescent="0.2">
      <c r="B895" s="2"/>
      <c r="C895" s="46"/>
      <c r="D895" s="46"/>
      <c r="E895" s="46"/>
      <c r="F895" s="6"/>
      <c r="G895" s="46"/>
      <c r="H895" s="2"/>
      <c r="I895" s="2"/>
      <c r="J895" s="2"/>
    </row>
    <row r="896" spans="2:10" x14ac:dyDescent="0.2">
      <c r="B896" s="2"/>
      <c r="C896" s="46"/>
      <c r="D896" s="46"/>
      <c r="E896" s="46"/>
      <c r="F896" s="6"/>
      <c r="G896" s="46"/>
      <c r="H896" s="2"/>
      <c r="I896" s="2"/>
      <c r="J896" s="2"/>
    </row>
    <row r="897" spans="2:10" x14ac:dyDescent="0.2">
      <c r="B897" s="2"/>
      <c r="C897" s="46"/>
      <c r="D897" s="46"/>
      <c r="E897" s="46"/>
      <c r="F897" s="2"/>
      <c r="G897" s="46"/>
      <c r="H897" s="2"/>
      <c r="I897" s="2"/>
      <c r="J897" s="2"/>
    </row>
    <row r="898" spans="2:10" x14ac:dyDescent="0.2">
      <c r="B898" s="2"/>
      <c r="C898" s="46"/>
      <c r="D898" s="46"/>
      <c r="E898" s="46"/>
      <c r="F898" s="6"/>
      <c r="G898" s="46"/>
      <c r="H898" s="2"/>
      <c r="I898" s="2"/>
      <c r="J898" s="2"/>
    </row>
    <row r="899" spans="2:10" x14ac:dyDescent="0.2">
      <c r="B899" s="2"/>
      <c r="C899" s="46"/>
      <c r="D899" s="46"/>
      <c r="E899" s="46"/>
      <c r="F899" s="6"/>
      <c r="G899" s="46"/>
      <c r="H899" s="2"/>
      <c r="I899" s="2"/>
      <c r="J899" s="2"/>
    </row>
    <row r="900" spans="2:10" x14ac:dyDescent="0.2">
      <c r="B900" s="2"/>
      <c r="C900" s="46"/>
      <c r="D900" s="46"/>
      <c r="E900" s="46"/>
      <c r="F900" s="6"/>
      <c r="G900" s="46"/>
      <c r="H900" s="2"/>
      <c r="I900" s="2"/>
      <c r="J900" s="2"/>
    </row>
    <row r="901" spans="2:10" x14ac:dyDescent="0.2">
      <c r="B901" s="2"/>
      <c r="C901" s="46"/>
      <c r="D901" s="46"/>
      <c r="E901" s="46"/>
      <c r="F901" s="6"/>
      <c r="G901" s="46"/>
      <c r="H901" s="2"/>
      <c r="I901" s="2"/>
      <c r="J901" s="2"/>
    </row>
    <row r="902" spans="2:10" x14ac:dyDescent="0.2">
      <c r="B902" s="2"/>
      <c r="C902" s="46"/>
      <c r="D902" s="46"/>
      <c r="E902" s="46"/>
      <c r="F902" s="2"/>
      <c r="G902" s="46"/>
      <c r="H902" s="2"/>
      <c r="I902" s="2"/>
      <c r="J902" s="2"/>
    </row>
    <row r="903" spans="2:10" x14ac:dyDescent="0.2">
      <c r="B903" s="2"/>
      <c r="C903" s="46"/>
      <c r="D903" s="46"/>
      <c r="E903" s="46"/>
      <c r="F903" s="6"/>
      <c r="G903" s="46"/>
      <c r="H903" s="2"/>
      <c r="I903" s="2"/>
      <c r="J903" s="2"/>
    </row>
    <row r="904" spans="2:10" x14ac:dyDescent="0.2">
      <c r="B904" s="2"/>
      <c r="C904" s="46"/>
      <c r="D904" s="46"/>
      <c r="E904" s="46"/>
      <c r="F904" s="6"/>
      <c r="G904" s="46"/>
      <c r="H904" s="2"/>
      <c r="I904" s="2"/>
      <c r="J904" s="2"/>
    </row>
    <row r="905" spans="2:10" x14ac:dyDescent="0.2">
      <c r="B905" s="2"/>
      <c r="C905" s="46"/>
      <c r="D905" s="46"/>
      <c r="E905" s="46"/>
      <c r="F905" s="6"/>
      <c r="G905" s="46"/>
      <c r="H905" s="2"/>
      <c r="I905" s="2"/>
      <c r="J905" s="2"/>
    </row>
    <row r="906" spans="2:10" x14ac:dyDescent="0.2">
      <c r="B906" s="2"/>
      <c r="C906" s="46"/>
      <c r="D906" s="46"/>
      <c r="E906" s="46"/>
      <c r="F906" s="2"/>
      <c r="G906" s="46"/>
      <c r="H906" s="2"/>
      <c r="I906" s="2"/>
      <c r="J906" s="2"/>
    </row>
    <row r="907" spans="2:10" x14ac:dyDescent="0.2">
      <c r="B907" s="2"/>
      <c r="C907" s="46"/>
      <c r="D907" s="46"/>
      <c r="E907" s="46"/>
      <c r="F907" s="6"/>
      <c r="G907" s="46"/>
      <c r="H907" s="2"/>
      <c r="I907" s="2"/>
      <c r="J907" s="2"/>
    </row>
    <row r="908" spans="2:10" x14ac:dyDescent="0.2">
      <c r="B908" s="2"/>
      <c r="C908" s="46"/>
      <c r="D908" s="46"/>
      <c r="E908" s="46"/>
      <c r="F908" s="2"/>
      <c r="G908" s="46"/>
      <c r="H908" s="2"/>
      <c r="I908" s="2"/>
      <c r="J908" s="2"/>
    </row>
    <row r="909" spans="2:10" x14ac:dyDescent="0.2">
      <c r="B909" s="2"/>
      <c r="C909" s="46"/>
      <c r="D909" s="46"/>
      <c r="E909" s="46"/>
      <c r="F909" s="6"/>
      <c r="G909" s="46"/>
      <c r="H909" s="2"/>
      <c r="I909" s="2"/>
      <c r="J909" s="2"/>
    </row>
    <row r="910" spans="2:10" x14ac:dyDescent="0.2">
      <c r="B910" s="2"/>
      <c r="C910" s="46"/>
      <c r="D910" s="46"/>
      <c r="E910" s="46"/>
      <c r="F910" s="6"/>
      <c r="G910" s="46"/>
      <c r="H910" s="2"/>
      <c r="I910" s="2"/>
      <c r="J910" s="2"/>
    </row>
    <row r="911" spans="2:10" x14ac:dyDescent="0.2">
      <c r="B911" s="2"/>
      <c r="C911" s="46"/>
      <c r="D911" s="46"/>
      <c r="E911" s="46"/>
      <c r="F911" s="6"/>
      <c r="G911" s="46"/>
      <c r="H911" s="2"/>
      <c r="I911" s="2"/>
      <c r="J911" s="2"/>
    </row>
    <row r="912" spans="2:10" x14ac:dyDescent="0.2">
      <c r="B912" s="2"/>
      <c r="C912" s="46"/>
      <c r="D912" s="46"/>
      <c r="E912" s="46"/>
      <c r="F912" s="6"/>
      <c r="G912" s="46"/>
      <c r="H912" s="2"/>
      <c r="I912" s="2"/>
      <c r="J912" s="2"/>
    </row>
    <row r="913" spans="2:10" x14ac:dyDescent="0.2">
      <c r="B913" s="2"/>
      <c r="C913" s="46"/>
      <c r="D913" s="46"/>
      <c r="E913" s="46"/>
      <c r="F913" s="2"/>
      <c r="G913" s="46"/>
      <c r="H913" s="2"/>
      <c r="I913" s="2"/>
      <c r="J913" s="2"/>
    </row>
    <row r="914" spans="2:10" x14ac:dyDescent="0.2">
      <c r="B914" s="2"/>
      <c r="C914" s="46"/>
      <c r="D914" s="46"/>
      <c r="E914" s="46"/>
      <c r="F914" s="6"/>
      <c r="G914" s="46"/>
      <c r="H914" s="2"/>
      <c r="I914" s="2"/>
      <c r="J914" s="2"/>
    </row>
    <row r="915" spans="2:10" x14ac:dyDescent="0.2">
      <c r="B915" s="2"/>
      <c r="C915" s="46"/>
      <c r="D915" s="46"/>
      <c r="E915" s="46"/>
      <c r="F915" s="6"/>
      <c r="G915" s="46"/>
      <c r="H915" s="2"/>
      <c r="I915" s="2"/>
      <c r="J915" s="2"/>
    </row>
    <row r="916" spans="2:10" x14ac:dyDescent="0.2">
      <c r="B916" s="2"/>
      <c r="C916" s="46"/>
      <c r="D916" s="46"/>
      <c r="E916" s="46"/>
      <c r="F916" s="2"/>
      <c r="G916" s="46"/>
      <c r="H916" s="2"/>
      <c r="I916" s="2"/>
      <c r="J916" s="2"/>
    </row>
    <row r="917" spans="2:10" x14ac:dyDescent="0.2">
      <c r="B917" s="2"/>
      <c r="C917" s="46"/>
      <c r="D917" s="46"/>
      <c r="E917" s="46"/>
      <c r="F917" s="6"/>
      <c r="G917" s="46"/>
      <c r="H917" s="2"/>
      <c r="I917" s="2"/>
      <c r="J917" s="2"/>
    </row>
    <row r="918" spans="2:10" x14ac:dyDescent="0.2">
      <c r="B918" s="2"/>
      <c r="C918" s="46"/>
      <c r="D918" s="46"/>
      <c r="E918" s="46"/>
      <c r="F918" s="2"/>
      <c r="G918" s="46"/>
      <c r="H918" s="2"/>
      <c r="I918" s="2"/>
      <c r="J918" s="2"/>
    </row>
    <row r="919" spans="2:10" x14ac:dyDescent="0.2">
      <c r="B919" s="2"/>
      <c r="C919" s="46"/>
      <c r="D919" s="46"/>
      <c r="E919" s="46"/>
      <c r="F919" s="6"/>
      <c r="G919" s="46"/>
      <c r="H919" s="2"/>
      <c r="I919" s="2"/>
      <c r="J919" s="2"/>
    </row>
    <row r="920" spans="2:10" x14ac:dyDescent="0.2">
      <c r="B920" s="2"/>
      <c r="C920" s="46"/>
      <c r="D920" s="46"/>
      <c r="E920" s="46"/>
      <c r="F920" s="6"/>
      <c r="G920" s="46"/>
      <c r="H920" s="2"/>
      <c r="I920" s="2"/>
      <c r="J920" s="2"/>
    </row>
    <row r="921" spans="2:10" x14ac:dyDescent="0.2">
      <c r="B921" s="2"/>
      <c r="C921" s="46"/>
      <c r="D921" s="46"/>
      <c r="E921" s="46"/>
      <c r="F921" s="6"/>
      <c r="G921" s="46"/>
      <c r="H921" s="2"/>
      <c r="I921" s="2"/>
      <c r="J921" s="2"/>
    </row>
    <row r="922" spans="2:10" x14ac:dyDescent="0.2">
      <c r="B922" s="2"/>
      <c r="C922" s="46"/>
      <c r="D922" s="46"/>
      <c r="E922" s="46"/>
      <c r="F922" s="6"/>
      <c r="G922" s="46"/>
      <c r="H922" s="2"/>
      <c r="I922" s="2"/>
      <c r="J922" s="2"/>
    </row>
    <row r="923" spans="2:10" x14ac:dyDescent="0.2">
      <c r="B923" s="2"/>
      <c r="C923" s="46"/>
      <c r="D923" s="46"/>
      <c r="E923" s="46"/>
      <c r="F923" s="6"/>
      <c r="G923" s="46"/>
      <c r="H923" s="2"/>
      <c r="I923" s="2"/>
      <c r="J923" s="2"/>
    </row>
    <row r="924" spans="2:10" x14ac:dyDescent="0.2">
      <c r="B924" s="2"/>
      <c r="C924" s="46"/>
      <c r="D924" s="46"/>
      <c r="E924" s="46"/>
      <c r="F924" s="2"/>
      <c r="G924" s="46"/>
      <c r="H924" s="2"/>
      <c r="I924" s="2"/>
      <c r="J924" s="2"/>
    </row>
    <row r="925" spans="2:10" x14ac:dyDescent="0.2">
      <c r="B925" s="2"/>
      <c r="C925" s="46"/>
      <c r="D925" s="46"/>
      <c r="E925" s="46"/>
      <c r="F925" s="6"/>
      <c r="G925" s="46"/>
      <c r="H925" s="2"/>
      <c r="I925" s="2"/>
      <c r="J925" s="2"/>
    </row>
    <row r="926" spans="2:10" x14ac:dyDescent="0.2">
      <c r="B926" s="2"/>
      <c r="C926" s="46"/>
      <c r="D926" s="46"/>
      <c r="E926" s="46"/>
      <c r="F926" s="6"/>
      <c r="G926" s="46"/>
      <c r="H926" s="2"/>
      <c r="I926" s="2"/>
      <c r="J926" s="2"/>
    </row>
    <row r="927" spans="2:10" x14ac:dyDescent="0.2">
      <c r="B927" s="2"/>
      <c r="C927" s="46"/>
      <c r="D927" s="46"/>
      <c r="E927" s="46"/>
      <c r="F927" s="2"/>
      <c r="G927" s="46"/>
      <c r="H927" s="2"/>
      <c r="I927" s="2"/>
      <c r="J927" s="2"/>
    </row>
    <row r="928" spans="2:10" x14ac:dyDescent="0.2">
      <c r="B928" s="2"/>
      <c r="C928" s="46"/>
      <c r="D928" s="46"/>
      <c r="E928" s="46"/>
      <c r="F928" s="2"/>
      <c r="G928" s="46"/>
      <c r="H928" s="2"/>
      <c r="I928" s="2"/>
      <c r="J928" s="2"/>
    </row>
    <row r="929" spans="2:10" x14ac:dyDescent="0.2">
      <c r="B929" s="2"/>
      <c r="C929" s="46"/>
      <c r="D929" s="46"/>
      <c r="E929" s="46"/>
      <c r="F929" s="2"/>
      <c r="G929" s="46"/>
      <c r="H929" s="2"/>
      <c r="I929" s="2"/>
      <c r="J929" s="2"/>
    </row>
    <row r="930" spans="2:10" x14ac:dyDescent="0.2">
      <c r="B930" s="2"/>
      <c r="C930" s="46"/>
      <c r="D930" s="46"/>
      <c r="E930" s="46"/>
      <c r="F930" s="2"/>
      <c r="G930" s="46"/>
      <c r="H930" s="2"/>
      <c r="I930" s="2"/>
      <c r="J930" s="2"/>
    </row>
    <row r="931" spans="2:10" x14ac:dyDescent="0.2">
      <c r="B931" s="2"/>
      <c r="C931" s="46"/>
      <c r="D931" s="46"/>
      <c r="E931" s="46"/>
      <c r="F931" s="2"/>
      <c r="G931" s="46"/>
      <c r="H931" s="2"/>
      <c r="I931" s="2"/>
      <c r="J931" s="2"/>
    </row>
    <row r="932" spans="2:10" x14ac:dyDescent="0.2">
      <c r="B932" s="2"/>
      <c r="C932" s="46"/>
      <c r="D932" s="46"/>
      <c r="E932" s="46"/>
      <c r="F932" s="2"/>
      <c r="G932" s="46"/>
      <c r="H932" s="2"/>
      <c r="I932" s="2"/>
      <c r="J932" s="2"/>
    </row>
    <row r="933" spans="2:10" x14ac:dyDescent="0.2">
      <c r="B933" s="2"/>
      <c r="C933" s="46"/>
      <c r="D933" s="46"/>
      <c r="E933" s="46"/>
      <c r="F933" s="6"/>
      <c r="G933" s="46"/>
      <c r="H933" s="2"/>
      <c r="I933" s="2"/>
      <c r="J933" s="2"/>
    </row>
    <row r="934" spans="2:10" x14ac:dyDescent="0.2">
      <c r="B934" s="2"/>
      <c r="C934" s="46"/>
      <c r="D934" s="46"/>
      <c r="E934" s="46"/>
      <c r="F934" s="2"/>
      <c r="G934" s="46"/>
      <c r="H934" s="2"/>
      <c r="I934" s="2"/>
      <c r="J934" s="2"/>
    </row>
    <row r="935" spans="2:10" x14ac:dyDescent="0.2">
      <c r="B935" s="2"/>
      <c r="C935" s="46"/>
      <c r="D935" s="46"/>
      <c r="E935" s="46"/>
      <c r="F935" s="6"/>
      <c r="G935" s="46"/>
      <c r="H935" s="2"/>
      <c r="I935" s="2"/>
      <c r="J935" s="2"/>
    </row>
    <row r="936" spans="2:10" x14ac:dyDescent="0.2">
      <c r="B936" s="2"/>
      <c r="C936" s="46"/>
      <c r="D936" s="46"/>
      <c r="E936" s="46"/>
      <c r="F936" s="6"/>
      <c r="G936" s="46"/>
      <c r="H936" s="2"/>
      <c r="I936" s="2"/>
      <c r="J936" s="2"/>
    </row>
    <row r="937" spans="2:10" x14ac:dyDescent="0.2">
      <c r="B937" s="2"/>
      <c r="C937" s="46"/>
      <c r="D937" s="46"/>
      <c r="E937" s="46"/>
      <c r="F937" s="6"/>
      <c r="G937" s="46"/>
      <c r="H937" s="2"/>
      <c r="I937" s="2"/>
      <c r="J937" s="2"/>
    </row>
    <row r="938" spans="2:10" x14ac:dyDescent="0.2">
      <c r="B938" s="2"/>
      <c r="C938" s="46"/>
      <c r="D938" s="46"/>
      <c r="E938" s="46"/>
      <c r="F938" s="2"/>
      <c r="G938" s="46"/>
      <c r="H938" s="2"/>
      <c r="I938" s="2"/>
      <c r="J938" s="2"/>
    </row>
    <row r="939" spans="2:10" x14ac:dyDescent="0.2">
      <c r="B939" s="2"/>
      <c r="C939" s="46"/>
      <c r="D939" s="46"/>
      <c r="E939" s="46"/>
      <c r="F939" s="6"/>
      <c r="G939" s="46"/>
      <c r="H939" s="2"/>
      <c r="I939" s="2"/>
      <c r="J939" s="2"/>
    </row>
    <row r="940" spans="2:10" x14ac:dyDescent="0.2">
      <c r="B940" s="2"/>
      <c r="C940" s="46"/>
      <c r="D940" s="46"/>
      <c r="E940" s="46"/>
      <c r="F940" s="6"/>
      <c r="G940" s="46"/>
      <c r="H940" s="2"/>
      <c r="I940" s="2"/>
      <c r="J940" s="2"/>
    </row>
    <row r="941" spans="2:10" x14ac:dyDescent="0.2">
      <c r="B941" s="2"/>
      <c r="C941" s="46"/>
      <c r="D941" s="46"/>
      <c r="E941" s="46"/>
      <c r="F941" s="6"/>
      <c r="G941" s="46"/>
      <c r="H941" s="2"/>
      <c r="I941" s="2"/>
      <c r="J941" s="2"/>
    </row>
    <row r="942" spans="2:10" x14ac:dyDescent="0.2">
      <c r="B942" s="2"/>
      <c r="C942" s="46"/>
      <c r="D942" s="46"/>
      <c r="E942" s="46"/>
      <c r="F942" s="2"/>
      <c r="G942" s="46"/>
      <c r="H942" s="2"/>
      <c r="I942" s="2"/>
      <c r="J942" s="2"/>
    </row>
    <row r="943" spans="2:10" x14ac:dyDescent="0.2">
      <c r="B943" s="2"/>
      <c r="C943" s="46"/>
      <c r="D943" s="46"/>
      <c r="E943" s="46"/>
      <c r="F943" s="6"/>
      <c r="G943" s="46"/>
      <c r="H943" s="2"/>
      <c r="I943" s="2"/>
      <c r="J943" s="2"/>
    </row>
    <row r="944" spans="2:10" x14ac:dyDescent="0.2">
      <c r="B944" s="2"/>
      <c r="C944" s="46"/>
      <c r="D944" s="46"/>
      <c r="E944" s="46"/>
      <c r="F944" s="2"/>
      <c r="G944" s="46"/>
      <c r="H944" s="2"/>
      <c r="I944" s="2"/>
      <c r="J944" s="2"/>
    </row>
    <row r="945" spans="2:10" x14ac:dyDescent="0.2">
      <c r="B945" s="2"/>
      <c r="C945" s="46"/>
      <c r="D945" s="46"/>
      <c r="E945" s="46"/>
      <c r="F945" s="6"/>
      <c r="G945" s="46"/>
      <c r="H945" s="2"/>
      <c r="I945" s="2"/>
      <c r="J945" s="2"/>
    </row>
    <row r="946" spans="2:10" x14ac:dyDescent="0.2">
      <c r="B946" s="2"/>
      <c r="C946" s="46"/>
      <c r="D946" s="46"/>
      <c r="E946" s="46"/>
      <c r="F946" s="2"/>
      <c r="G946" s="46"/>
      <c r="H946" s="2"/>
      <c r="I946" s="2"/>
      <c r="J946" s="2"/>
    </row>
    <row r="947" spans="2:10" x14ac:dyDescent="0.2">
      <c r="B947" s="2"/>
      <c r="C947" s="46"/>
      <c r="D947" s="46"/>
      <c r="E947" s="46"/>
      <c r="F947" s="6"/>
      <c r="G947" s="46"/>
      <c r="H947" s="2"/>
      <c r="I947" s="2"/>
      <c r="J947" s="2"/>
    </row>
    <row r="948" spans="2:10" x14ac:dyDescent="0.2">
      <c r="B948" s="2"/>
      <c r="C948" s="46"/>
      <c r="D948" s="46"/>
      <c r="E948" s="46"/>
      <c r="F948" s="6"/>
      <c r="G948" s="46"/>
      <c r="H948" s="2"/>
      <c r="I948" s="2"/>
      <c r="J948" s="2"/>
    </row>
    <row r="949" spans="2:10" x14ac:dyDescent="0.2">
      <c r="B949" s="2"/>
      <c r="C949" s="46"/>
      <c r="D949" s="46"/>
      <c r="E949" s="46"/>
      <c r="F949" s="2"/>
      <c r="G949" s="46"/>
      <c r="H949" s="2"/>
      <c r="I949" s="2"/>
      <c r="J949" s="2"/>
    </row>
    <row r="950" spans="2:10" x14ac:dyDescent="0.2">
      <c r="B950" s="2"/>
      <c r="C950" s="46"/>
      <c r="D950" s="46"/>
      <c r="E950" s="46"/>
      <c r="F950" s="6"/>
      <c r="G950" s="46"/>
      <c r="H950" s="2"/>
      <c r="I950" s="2"/>
      <c r="J950" s="2"/>
    </row>
    <row r="951" spans="2:10" x14ac:dyDescent="0.2">
      <c r="B951" s="2"/>
      <c r="C951" s="46"/>
      <c r="D951" s="46"/>
      <c r="E951" s="46"/>
      <c r="F951" s="6"/>
      <c r="G951" s="46"/>
      <c r="H951" s="2"/>
      <c r="I951" s="2"/>
      <c r="J951" s="2"/>
    </row>
    <row r="952" spans="2:10" x14ac:dyDescent="0.2">
      <c r="B952" s="2"/>
      <c r="C952" s="46"/>
      <c r="D952" s="46"/>
      <c r="E952" s="46"/>
      <c r="F952" s="6"/>
      <c r="G952" s="46"/>
      <c r="H952" s="2"/>
      <c r="I952" s="2"/>
      <c r="J952" s="2"/>
    </row>
    <row r="953" spans="2:10" x14ac:dyDescent="0.2">
      <c r="B953" s="2"/>
      <c r="C953" s="46"/>
      <c r="D953" s="46"/>
      <c r="E953" s="46"/>
      <c r="F953" s="2"/>
      <c r="G953" s="46"/>
      <c r="H953" s="2"/>
      <c r="I953" s="2"/>
      <c r="J953" s="2"/>
    </row>
    <row r="954" spans="2:10" x14ac:dyDescent="0.2">
      <c r="B954" s="2"/>
      <c r="C954" s="46"/>
      <c r="D954" s="46"/>
      <c r="E954" s="46"/>
      <c r="F954" s="6"/>
      <c r="G954" s="46"/>
      <c r="H954" s="2"/>
      <c r="I954" s="2"/>
      <c r="J954" s="2"/>
    </row>
    <row r="955" spans="2:10" x14ac:dyDescent="0.2">
      <c r="B955" s="2"/>
      <c r="C955" s="46"/>
      <c r="D955" s="46"/>
      <c r="E955" s="46"/>
      <c r="F955" s="2"/>
      <c r="G955" s="46"/>
      <c r="H955" s="2"/>
      <c r="I955" s="2"/>
      <c r="J955" s="2"/>
    </row>
    <row r="956" spans="2:10" x14ac:dyDescent="0.2">
      <c r="B956" s="2"/>
      <c r="C956" s="46"/>
      <c r="D956" s="46"/>
      <c r="E956" s="46"/>
      <c r="F956" s="6"/>
      <c r="G956" s="46"/>
      <c r="H956" s="2"/>
      <c r="I956" s="2"/>
      <c r="J956" s="2"/>
    </row>
    <row r="957" spans="2:10" x14ac:dyDescent="0.2">
      <c r="B957" s="2"/>
      <c r="C957" s="46"/>
      <c r="D957" s="46"/>
      <c r="E957" s="46"/>
      <c r="F957" s="6"/>
      <c r="G957" s="46"/>
      <c r="H957" s="2"/>
      <c r="I957" s="2"/>
      <c r="J957" s="2"/>
    </row>
    <row r="958" spans="2:10" x14ac:dyDescent="0.2">
      <c r="B958" s="2"/>
      <c r="C958" s="46"/>
      <c r="D958" s="46"/>
      <c r="E958" s="46"/>
      <c r="F958" s="6"/>
      <c r="G958" s="46"/>
      <c r="H958" s="2"/>
      <c r="I958" s="2"/>
      <c r="J958" s="2"/>
    </row>
    <row r="959" spans="2:10" x14ac:dyDescent="0.2">
      <c r="B959" s="2"/>
      <c r="C959" s="46"/>
      <c r="D959" s="46"/>
      <c r="E959" s="46"/>
      <c r="F959" s="6"/>
      <c r="G959" s="46"/>
      <c r="H959" s="2"/>
      <c r="I959" s="2"/>
      <c r="J959" s="2"/>
    </row>
    <row r="960" spans="2:10" x14ac:dyDescent="0.2">
      <c r="B960" s="2"/>
      <c r="C960" s="46"/>
      <c r="D960" s="46"/>
      <c r="E960" s="46"/>
      <c r="F960" s="6"/>
      <c r="G960" s="46"/>
      <c r="H960" s="2"/>
      <c r="I960" s="2"/>
      <c r="J960" s="2"/>
    </row>
    <row r="961" spans="2:10" x14ac:dyDescent="0.2">
      <c r="B961" s="2"/>
      <c r="C961" s="46"/>
      <c r="D961" s="46"/>
      <c r="E961" s="46"/>
      <c r="F961" s="2"/>
      <c r="G961" s="46"/>
      <c r="H961" s="2"/>
      <c r="I961" s="2"/>
      <c r="J961" s="2"/>
    </row>
    <row r="962" spans="2:10" x14ac:dyDescent="0.2">
      <c r="B962" s="2"/>
      <c r="C962" s="46"/>
      <c r="D962" s="46"/>
      <c r="E962" s="46"/>
      <c r="F962" s="6"/>
      <c r="G962" s="46"/>
      <c r="H962" s="2"/>
      <c r="I962" s="2"/>
      <c r="J962" s="2"/>
    </row>
    <row r="963" spans="2:10" x14ac:dyDescent="0.2">
      <c r="B963" s="2"/>
      <c r="C963" s="46"/>
      <c r="D963" s="46"/>
      <c r="E963" s="46"/>
      <c r="F963" s="2"/>
      <c r="G963" s="46"/>
      <c r="H963" s="2"/>
      <c r="I963" s="2"/>
      <c r="J963" s="2"/>
    </row>
    <row r="964" spans="2:10" x14ac:dyDescent="0.2">
      <c r="B964" s="2"/>
      <c r="C964" s="46"/>
      <c r="D964" s="46"/>
      <c r="E964" s="46"/>
      <c r="F964" s="2"/>
      <c r="G964" s="46"/>
      <c r="H964" s="2"/>
      <c r="I964" s="2"/>
      <c r="J964" s="2"/>
    </row>
    <row r="965" spans="2:10" x14ac:dyDescent="0.2">
      <c r="B965" s="2"/>
      <c r="C965" s="46"/>
      <c r="D965" s="46"/>
      <c r="E965" s="46"/>
      <c r="F965" s="2"/>
      <c r="G965" s="46"/>
      <c r="H965" s="2"/>
      <c r="I965" s="2"/>
      <c r="J965" s="2"/>
    </row>
    <row r="966" spans="2:10" x14ac:dyDescent="0.2">
      <c r="B966" s="2"/>
      <c r="C966" s="46"/>
      <c r="D966" s="46"/>
      <c r="E966" s="46"/>
      <c r="F966" s="6"/>
      <c r="G966" s="46"/>
      <c r="H966" s="2"/>
      <c r="I966" s="2"/>
      <c r="J966" s="2"/>
    </row>
    <row r="967" spans="2:10" x14ac:dyDescent="0.2">
      <c r="B967" s="2"/>
      <c r="C967" s="46"/>
      <c r="D967" s="46"/>
      <c r="E967" s="46"/>
      <c r="F967" s="2"/>
      <c r="G967" s="46"/>
      <c r="H967" s="2"/>
      <c r="I967" s="2"/>
      <c r="J967" s="2"/>
    </row>
    <row r="968" spans="2:10" x14ac:dyDescent="0.2">
      <c r="B968" s="2"/>
      <c r="C968" s="46"/>
      <c r="D968" s="46"/>
      <c r="E968" s="46"/>
      <c r="F968" s="6"/>
      <c r="G968" s="46"/>
      <c r="H968" s="2"/>
      <c r="I968" s="2"/>
      <c r="J968" s="2"/>
    </row>
    <row r="969" spans="2:10" x14ac:dyDescent="0.2">
      <c r="B969" s="2"/>
      <c r="C969" s="46"/>
      <c r="D969" s="46"/>
      <c r="E969" s="46"/>
      <c r="F969" s="6"/>
      <c r="G969" s="46"/>
      <c r="H969" s="2"/>
      <c r="I969" s="2"/>
      <c r="J969" s="2"/>
    </row>
    <row r="970" spans="2:10" x14ac:dyDescent="0.2">
      <c r="B970" s="2"/>
      <c r="C970" s="46"/>
      <c r="D970" s="46"/>
      <c r="E970" s="46"/>
      <c r="F970" s="2"/>
      <c r="G970" s="46"/>
      <c r="H970" s="2"/>
      <c r="I970" s="2"/>
      <c r="J970" s="2"/>
    </row>
    <row r="971" spans="2:10" x14ac:dyDescent="0.2">
      <c r="B971" s="2"/>
      <c r="C971" s="46"/>
      <c r="D971" s="46"/>
      <c r="E971" s="46"/>
      <c r="F971" s="6"/>
      <c r="G971" s="46"/>
      <c r="H971" s="2"/>
      <c r="I971" s="2"/>
      <c r="J971" s="2"/>
    </row>
    <row r="972" spans="2:10" x14ac:dyDescent="0.2">
      <c r="B972" s="2"/>
      <c r="C972" s="46"/>
      <c r="D972" s="46"/>
      <c r="E972" s="46"/>
      <c r="F972" s="6"/>
      <c r="G972" s="46"/>
      <c r="H972" s="2"/>
      <c r="I972" s="2"/>
      <c r="J972" s="2"/>
    </row>
    <row r="973" spans="2:10" x14ac:dyDescent="0.2">
      <c r="B973" s="2"/>
      <c r="C973" s="46"/>
      <c r="D973" s="46"/>
      <c r="E973" s="46"/>
      <c r="F973" s="6"/>
      <c r="G973" s="46"/>
      <c r="H973" s="2"/>
      <c r="I973" s="2"/>
      <c r="J973" s="2"/>
    </row>
    <row r="974" spans="2:10" x14ac:dyDescent="0.2">
      <c r="B974" s="2"/>
      <c r="C974" s="46"/>
      <c r="D974" s="46"/>
      <c r="E974" s="46"/>
      <c r="F974" s="2"/>
      <c r="G974" s="46"/>
      <c r="H974" s="2"/>
      <c r="I974" s="2"/>
      <c r="J974" s="2"/>
    </row>
    <row r="975" spans="2:10" x14ac:dyDescent="0.2">
      <c r="B975" s="2"/>
      <c r="C975" s="46"/>
      <c r="D975" s="46"/>
      <c r="E975" s="46"/>
      <c r="F975" s="2"/>
      <c r="G975" s="46"/>
      <c r="H975" s="2"/>
      <c r="I975" s="2"/>
      <c r="J975" s="2"/>
    </row>
    <row r="976" spans="2:10" x14ac:dyDescent="0.2">
      <c r="B976" s="2"/>
      <c r="C976" s="46"/>
      <c r="D976" s="46"/>
      <c r="E976" s="46"/>
      <c r="F976" s="6"/>
      <c r="G976" s="46"/>
      <c r="H976" s="2"/>
      <c r="I976" s="2"/>
      <c r="J976" s="2"/>
    </row>
    <row r="977" spans="2:10" x14ac:dyDescent="0.2">
      <c r="B977" s="2"/>
      <c r="C977" s="46"/>
      <c r="D977" s="46"/>
      <c r="E977" s="46"/>
      <c r="F977" s="2"/>
      <c r="G977" s="46"/>
      <c r="H977" s="2"/>
      <c r="I977" s="2"/>
      <c r="J977" s="2"/>
    </row>
    <row r="978" spans="2:10" x14ac:dyDescent="0.2">
      <c r="B978" s="2"/>
      <c r="C978" s="46"/>
      <c r="D978" s="46"/>
      <c r="E978" s="46"/>
      <c r="F978" s="6"/>
      <c r="G978" s="46"/>
      <c r="H978" s="2"/>
      <c r="I978" s="2"/>
      <c r="J978" s="2"/>
    </row>
    <row r="979" spans="2:10" x14ac:dyDescent="0.2">
      <c r="B979" s="2"/>
      <c r="C979" s="46"/>
      <c r="D979" s="46"/>
      <c r="E979" s="46"/>
      <c r="F979" s="2"/>
      <c r="G979" s="46"/>
      <c r="H979" s="2"/>
      <c r="I979" s="2"/>
      <c r="J979" s="2"/>
    </row>
    <row r="980" spans="2:10" x14ac:dyDescent="0.2">
      <c r="B980" s="2"/>
      <c r="C980" s="46"/>
      <c r="D980" s="46"/>
      <c r="E980" s="46"/>
      <c r="F980" s="2"/>
      <c r="G980" s="46"/>
      <c r="H980" s="2"/>
      <c r="I980" s="2"/>
      <c r="J980" s="2"/>
    </row>
    <row r="981" spans="2:10" x14ac:dyDescent="0.2">
      <c r="B981" s="2"/>
      <c r="C981" s="46"/>
      <c r="D981" s="46"/>
      <c r="E981" s="46"/>
      <c r="F981" s="2"/>
      <c r="G981" s="46"/>
      <c r="H981" s="2"/>
      <c r="I981" s="2"/>
      <c r="J981" s="2"/>
    </row>
    <row r="982" spans="2:10" x14ac:dyDescent="0.2">
      <c r="B982" s="2"/>
      <c r="C982" s="46"/>
      <c r="D982" s="46"/>
      <c r="E982" s="46"/>
      <c r="F982" s="6"/>
      <c r="G982" s="46"/>
      <c r="H982" s="2"/>
      <c r="I982" s="2"/>
      <c r="J982" s="2"/>
    </row>
    <row r="983" spans="2:10" x14ac:dyDescent="0.2">
      <c r="B983" s="2"/>
      <c r="C983" s="46"/>
      <c r="D983" s="46"/>
      <c r="E983" s="46"/>
      <c r="F983" s="2"/>
      <c r="G983" s="46"/>
      <c r="H983" s="2"/>
      <c r="I983" s="2"/>
      <c r="J983" s="2"/>
    </row>
    <row r="984" spans="2:10" x14ac:dyDescent="0.2">
      <c r="B984" s="2"/>
      <c r="C984" s="46"/>
      <c r="D984" s="46"/>
      <c r="E984" s="46"/>
      <c r="F984" s="2"/>
      <c r="G984" s="46"/>
      <c r="H984" s="2"/>
      <c r="I984" s="2"/>
      <c r="J984" s="2"/>
    </row>
    <row r="985" spans="2:10" x14ac:dyDescent="0.2">
      <c r="B985" s="2"/>
      <c r="C985" s="46"/>
      <c r="D985" s="46"/>
      <c r="E985" s="46"/>
      <c r="F985" s="2"/>
      <c r="G985" s="46"/>
      <c r="H985" s="2"/>
      <c r="I985" s="2"/>
      <c r="J985" s="2"/>
    </row>
    <row r="986" spans="2:10" x14ac:dyDescent="0.2">
      <c r="B986" s="2"/>
      <c r="C986" s="46"/>
      <c r="D986" s="46"/>
      <c r="E986" s="46"/>
      <c r="F986" s="2"/>
      <c r="G986" s="46"/>
      <c r="H986" s="2"/>
      <c r="I986" s="2"/>
      <c r="J986" s="2"/>
    </row>
    <row r="987" spans="2:10" x14ac:dyDescent="0.2">
      <c r="B987" s="2"/>
      <c r="C987" s="46"/>
      <c r="D987" s="46"/>
      <c r="E987" s="46"/>
      <c r="F987" s="2"/>
      <c r="G987" s="46"/>
      <c r="H987" s="2"/>
      <c r="I987" s="2"/>
      <c r="J987" s="2"/>
    </row>
    <row r="988" spans="2:10" x14ac:dyDescent="0.2">
      <c r="B988" s="2"/>
      <c r="C988" s="46"/>
      <c r="D988" s="46"/>
      <c r="E988" s="46"/>
      <c r="F988" s="6"/>
      <c r="G988" s="46"/>
      <c r="H988" s="2"/>
      <c r="I988" s="2"/>
      <c r="J988" s="2"/>
    </row>
    <row r="989" spans="2:10" x14ac:dyDescent="0.2">
      <c r="B989" s="2"/>
      <c r="C989" s="46"/>
      <c r="D989" s="46"/>
      <c r="E989" s="46"/>
      <c r="F989" s="2"/>
      <c r="G989" s="46"/>
      <c r="H989" s="2"/>
      <c r="I989" s="2"/>
      <c r="J989" s="2"/>
    </row>
    <row r="990" spans="2:10" x14ac:dyDescent="0.2">
      <c r="B990" s="2"/>
      <c r="C990" s="46"/>
      <c r="D990" s="46"/>
      <c r="E990" s="46"/>
      <c r="F990" s="6"/>
      <c r="G990" s="46"/>
      <c r="H990" s="2"/>
      <c r="I990" s="2"/>
      <c r="J990" s="2"/>
    </row>
    <row r="991" spans="2:10" x14ac:dyDescent="0.2">
      <c r="B991" s="2"/>
      <c r="C991" s="46"/>
      <c r="D991" s="46"/>
      <c r="E991" s="46"/>
      <c r="F991" s="2"/>
      <c r="G991" s="46"/>
      <c r="H991" s="2"/>
      <c r="I991" s="2"/>
      <c r="J991" s="2"/>
    </row>
    <row r="992" spans="2:10" x14ac:dyDescent="0.2">
      <c r="B992" s="2"/>
      <c r="C992" s="46"/>
      <c r="D992" s="46"/>
      <c r="E992" s="46"/>
      <c r="F992" s="6"/>
      <c r="G992" s="46"/>
      <c r="H992" s="2"/>
      <c r="I992" s="2"/>
      <c r="J992" s="2"/>
    </row>
    <row r="993" spans="2:10" x14ac:dyDescent="0.2">
      <c r="B993" s="2"/>
      <c r="C993" s="46"/>
      <c r="D993" s="46"/>
      <c r="E993" s="46"/>
      <c r="F993" s="6"/>
      <c r="G993" s="46"/>
      <c r="H993" s="2"/>
      <c r="I993" s="2"/>
      <c r="J993" s="2"/>
    </row>
    <row r="994" spans="2:10" x14ac:dyDescent="0.2">
      <c r="B994" s="2"/>
      <c r="C994" s="46"/>
      <c r="D994" s="46"/>
      <c r="E994" s="46"/>
      <c r="F994" s="2"/>
      <c r="G994" s="46"/>
      <c r="H994" s="2"/>
      <c r="I994" s="2"/>
      <c r="J994" s="2"/>
    </row>
    <row r="995" spans="2:10" x14ac:dyDescent="0.2">
      <c r="B995" s="2"/>
      <c r="C995" s="46"/>
      <c r="D995" s="46"/>
      <c r="E995" s="46"/>
      <c r="F995" s="6"/>
      <c r="G995" s="46"/>
      <c r="H995" s="2"/>
      <c r="I995" s="2"/>
      <c r="J995" s="2"/>
    </row>
    <row r="996" spans="2:10" x14ac:dyDescent="0.2">
      <c r="B996" s="2"/>
      <c r="C996" s="46"/>
      <c r="D996" s="46"/>
      <c r="E996" s="46"/>
      <c r="F996" s="6"/>
      <c r="G996" s="46"/>
      <c r="H996" s="2"/>
      <c r="I996" s="2"/>
      <c r="J996" s="2"/>
    </row>
    <row r="997" spans="2:10" x14ac:dyDescent="0.2">
      <c r="B997" s="2"/>
      <c r="C997" s="46"/>
      <c r="D997" s="46"/>
      <c r="E997" s="46"/>
      <c r="F997" s="6"/>
      <c r="G997" s="46"/>
      <c r="H997" s="2"/>
      <c r="I997" s="2"/>
      <c r="J997" s="2"/>
    </row>
    <row r="998" spans="2:10" x14ac:dyDescent="0.2">
      <c r="B998" s="2"/>
      <c r="C998" s="46"/>
      <c r="D998" s="46"/>
      <c r="E998" s="46"/>
      <c r="F998" s="2"/>
      <c r="G998" s="46"/>
      <c r="H998" s="2"/>
      <c r="I998" s="2"/>
      <c r="J998" s="2"/>
    </row>
    <row r="999" spans="2:10" x14ac:dyDescent="0.2">
      <c r="B999" s="2"/>
      <c r="C999" s="46"/>
      <c r="D999" s="46"/>
      <c r="E999" s="46"/>
      <c r="F999" s="2"/>
      <c r="G999" s="46"/>
      <c r="H999" s="2"/>
      <c r="I999" s="2"/>
      <c r="J999" s="2"/>
    </row>
    <row r="1000" spans="2:10" x14ac:dyDescent="0.2">
      <c r="B1000" s="2"/>
      <c r="C1000" s="46"/>
      <c r="D1000" s="46"/>
      <c r="E1000" s="46"/>
      <c r="F1000" s="6"/>
      <c r="G1000" s="46"/>
      <c r="H1000" s="2"/>
      <c r="I1000" s="2"/>
      <c r="J1000" s="2"/>
    </row>
    <row r="1001" spans="2:10" x14ac:dyDescent="0.2">
      <c r="B1001" s="2"/>
      <c r="C1001" s="46"/>
      <c r="D1001" s="46"/>
      <c r="E1001" s="46"/>
      <c r="F1001" s="6"/>
      <c r="G1001" s="46"/>
      <c r="H1001" s="2"/>
      <c r="I1001" s="2"/>
      <c r="J1001" s="2"/>
    </row>
    <row r="1002" spans="2:10" x14ac:dyDescent="0.2">
      <c r="B1002" s="2"/>
      <c r="C1002" s="46"/>
      <c r="D1002" s="46"/>
      <c r="E1002" s="46"/>
      <c r="F1002" s="6"/>
      <c r="G1002" s="46"/>
      <c r="H1002" s="2"/>
      <c r="I1002" s="2"/>
      <c r="J1002" s="2"/>
    </row>
    <row r="1003" spans="2:10" x14ac:dyDescent="0.2">
      <c r="B1003" s="2"/>
      <c r="C1003" s="46"/>
      <c r="D1003" s="46"/>
      <c r="E1003" s="46"/>
      <c r="F1003" s="2"/>
      <c r="G1003" s="46"/>
      <c r="H1003" s="2"/>
      <c r="I1003" s="2"/>
      <c r="J1003" s="2"/>
    </row>
    <row r="1004" spans="2:10" x14ac:dyDescent="0.2">
      <c r="B1004" s="2"/>
      <c r="C1004" s="46"/>
      <c r="D1004" s="46"/>
      <c r="E1004" s="46"/>
      <c r="F1004" s="2"/>
      <c r="G1004" s="46"/>
      <c r="H1004" s="2"/>
      <c r="I1004" s="2"/>
      <c r="J1004" s="2"/>
    </row>
    <row r="1005" spans="2:10" x14ac:dyDescent="0.2">
      <c r="B1005" s="2"/>
      <c r="C1005" s="46"/>
      <c r="D1005" s="46"/>
      <c r="E1005" s="46"/>
      <c r="F1005" s="6"/>
      <c r="G1005" s="46"/>
      <c r="H1005" s="2"/>
      <c r="I1005" s="2"/>
      <c r="J1005" s="2"/>
    </row>
    <row r="1006" spans="2:10" x14ac:dyDescent="0.2">
      <c r="B1006" s="2"/>
      <c r="C1006" s="46"/>
      <c r="D1006" s="46"/>
      <c r="E1006" s="46"/>
      <c r="F1006" s="6"/>
      <c r="G1006" s="46"/>
      <c r="H1006" s="2"/>
      <c r="I1006" s="2"/>
      <c r="J1006" s="2"/>
    </row>
    <row r="1007" spans="2:10" x14ac:dyDescent="0.2">
      <c r="B1007" s="2"/>
      <c r="C1007" s="46"/>
      <c r="D1007" s="46"/>
      <c r="E1007" s="46"/>
      <c r="F1007" s="2"/>
      <c r="G1007" s="46"/>
      <c r="H1007" s="2"/>
      <c r="I1007" s="2"/>
      <c r="J1007" s="2"/>
    </row>
    <row r="1008" spans="2:10" x14ac:dyDescent="0.2">
      <c r="B1008" s="2"/>
      <c r="C1008" s="46"/>
      <c r="D1008" s="46"/>
      <c r="E1008" s="46"/>
      <c r="F1008" s="6"/>
      <c r="G1008" s="46"/>
      <c r="H1008" s="2"/>
      <c r="I1008" s="2"/>
      <c r="J1008" s="2"/>
    </row>
    <row r="1009" spans="2:10" x14ac:dyDescent="0.2">
      <c r="B1009" s="2"/>
      <c r="C1009" s="46"/>
      <c r="D1009" s="46"/>
      <c r="E1009" s="46"/>
      <c r="F1009" s="6"/>
      <c r="G1009" s="46"/>
      <c r="H1009" s="2"/>
      <c r="I1009" s="2"/>
      <c r="J1009" s="2"/>
    </row>
    <row r="1010" spans="2:10" x14ac:dyDescent="0.2">
      <c r="B1010" s="2"/>
      <c r="C1010" s="46"/>
      <c r="D1010" s="46"/>
      <c r="E1010" s="46"/>
      <c r="F1010" s="6"/>
      <c r="G1010" s="46"/>
      <c r="H1010" s="2"/>
      <c r="I1010" s="2"/>
      <c r="J1010" s="2"/>
    </row>
    <row r="1011" spans="2:10" x14ac:dyDescent="0.2">
      <c r="B1011" s="2"/>
      <c r="C1011" s="46"/>
      <c r="D1011" s="46"/>
      <c r="E1011" s="46"/>
      <c r="F1011" s="2"/>
      <c r="G1011" s="46"/>
      <c r="H1011" s="2"/>
      <c r="I1011" s="2"/>
      <c r="J1011" s="2"/>
    </row>
    <row r="1012" spans="2:10" x14ac:dyDescent="0.2">
      <c r="B1012" s="2"/>
      <c r="C1012" s="46"/>
      <c r="D1012" s="46"/>
      <c r="E1012" s="46"/>
      <c r="F1012" s="6"/>
      <c r="G1012" s="46"/>
      <c r="H1012" s="2"/>
      <c r="I1012" s="2"/>
      <c r="J1012" s="2"/>
    </row>
    <row r="1013" spans="2:10" x14ac:dyDescent="0.2">
      <c r="B1013" s="2"/>
      <c r="C1013" s="46"/>
      <c r="D1013" s="46"/>
      <c r="E1013" s="46"/>
      <c r="F1013" s="6"/>
      <c r="G1013" s="46"/>
      <c r="H1013" s="2"/>
      <c r="I1013" s="2"/>
      <c r="J1013" s="2"/>
    </row>
    <row r="1014" spans="2:10" x14ac:dyDescent="0.2">
      <c r="B1014" s="2"/>
      <c r="C1014" s="46"/>
      <c r="D1014" s="46"/>
      <c r="E1014" s="46"/>
      <c r="F1014" s="6"/>
      <c r="G1014" s="46"/>
      <c r="H1014" s="2"/>
      <c r="I1014" s="2"/>
      <c r="J1014" s="2"/>
    </row>
    <row r="1015" spans="2:10" x14ac:dyDescent="0.2">
      <c r="B1015" s="2"/>
      <c r="C1015" s="46"/>
      <c r="D1015" s="46"/>
      <c r="E1015" s="46"/>
      <c r="F1015" s="6"/>
      <c r="G1015" s="46"/>
      <c r="H1015" s="2"/>
      <c r="I1015" s="2"/>
      <c r="J1015" s="2"/>
    </row>
    <row r="1016" spans="2:10" x14ac:dyDescent="0.2">
      <c r="B1016" s="2"/>
      <c r="C1016" s="46"/>
      <c r="D1016" s="46"/>
      <c r="E1016" s="46"/>
      <c r="F1016" s="2"/>
      <c r="G1016" s="46"/>
      <c r="H1016" s="2"/>
      <c r="I1016" s="2"/>
      <c r="J1016" s="2"/>
    </row>
    <row r="1017" spans="2:10" x14ac:dyDescent="0.2">
      <c r="B1017" s="2"/>
      <c r="C1017" s="46"/>
      <c r="D1017" s="46"/>
      <c r="E1017" s="46"/>
      <c r="F1017" s="6"/>
      <c r="G1017" s="46"/>
      <c r="H1017" s="2"/>
      <c r="I1017" s="2"/>
      <c r="J1017" s="2"/>
    </row>
    <row r="1018" spans="2:10" x14ac:dyDescent="0.2">
      <c r="B1018" s="2"/>
      <c r="C1018" s="46"/>
      <c r="D1018" s="46"/>
      <c r="E1018" s="46"/>
      <c r="F1018" s="2"/>
      <c r="G1018" s="46"/>
      <c r="H1018" s="2"/>
      <c r="I1018" s="2"/>
      <c r="J1018" s="2"/>
    </row>
    <row r="1019" spans="2:10" x14ac:dyDescent="0.2">
      <c r="B1019" s="2"/>
      <c r="C1019" s="46"/>
      <c r="D1019" s="46"/>
      <c r="E1019" s="46"/>
      <c r="F1019" s="6"/>
      <c r="G1019" s="46"/>
      <c r="H1019" s="2"/>
      <c r="I1019" s="2"/>
      <c r="J1019" s="2"/>
    </row>
    <row r="1020" spans="2:10" x14ac:dyDescent="0.2">
      <c r="B1020" s="2"/>
      <c r="C1020" s="46"/>
      <c r="D1020" s="46"/>
      <c r="E1020" s="46"/>
      <c r="F1020" s="2"/>
      <c r="G1020" s="46"/>
      <c r="H1020" s="2"/>
      <c r="I1020" s="2"/>
      <c r="J1020" s="2"/>
    </row>
    <row r="1021" spans="2:10" x14ac:dyDescent="0.2">
      <c r="B1021" s="2"/>
      <c r="C1021" s="46"/>
      <c r="D1021" s="46"/>
      <c r="E1021" s="46"/>
      <c r="F1021" s="6"/>
      <c r="G1021" s="46"/>
      <c r="H1021" s="2"/>
      <c r="I1021" s="2"/>
      <c r="J1021" s="2"/>
    </row>
    <row r="1022" spans="2:10" x14ac:dyDescent="0.2">
      <c r="B1022" s="2"/>
      <c r="C1022" s="46"/>
      <c r="D1022" s="46"/>
      <c r="E1022" s="46"/>
      <c r="F1022" s="2"/>
      <c r="G1022" s="46"/>
      <c r="H1022" s="2"/>
      <c r="I1022" s="2"/>
      <c r="J1022" s="2"/>
    </row>
    <row r="1023" spans="2:10" x14ac:dyDescent="0.2">
      <c r="B1023" s="2"/>
      <c r="C1023" s="46"/>
      <c r="D1023" s="46"/>
      <c r="E1023" s="46"/>
      <c r="F1023" s="2"/>
      <c r="G1023" s="46"/>
      <c r="H1023" s="2"/>
      <c r="I1023" s="2"/>
      <c r="J1023" s="2"/>
    </row>
    <row r="1024" spans="2:10" x14ac:dyDescent="0.2">
      <c r="B1024" s="2"/>
      <c r="C1024" s="46"/>
      <c r="D1024" s="46"/>
      <c r="E1024" s="46"/>
      <c r="F1024" s="6"/>
      <c r="G1024" s="46"/>
      <c r="H1024" s="2"/>
      <c r="I1024" s="2"/>
      <c r="J1024" s="2"/>
    </row>
    <row r="1025" spans="2:10" x14ac:dyDescent="0.2">
      <c r="B1025" s="2"/>
      <c r="C1025" s="46"/>
      <c r="D1025" s="46"/>
      <c r="E1025" s="46"/>
      <c r="F1025" s="6"/>
      <c r="G1025" s="46"/>
      <c r="H1025" s="2"/>
      <c r="I1025" s="2"/>
      <c r="J1025" s="2"/>
    </row>
    <row r="1026" spans="2:10" x14ac:dyDescent="0.2">
      <c r="B1026" s="2"/>
      <c r="C1026" s="46"/>
      <c r="D1026" s="46"/>
      <c r="E1026" s="46"/>
      <c r="F1026" s="6"/>
      <c r="G1026" s="46"/>
      <c r="H1026" s="2"/>
      <c r="I1026" s="2"/>
      <c r="J1026" s="2"/>
    </row>
    <row r="1027" spans="2:10" x14ac:dyDescent="0.2">
      <c r="B1027" s="2"/>
      <c r="C1027" s="46"/>
      <c r="D1027" s="46"/>
      <c r="E1027" s="46"/>
      <c r="F1027" s="2"/>
      <c r="G1027" s="46"/>
      <c r="H1027" s="2"/>
      <c r="I1027" s="2"/>
      <c r="J1027" s="2"/>
    </row>
    <row r="1028" spans="2:10" x14ac:dyDescent="0.2">
      <c r="B1028" s="2"/>
      <c r="C1028" s="46"/>
      <c r="D1028" s="46"/>
      <c r="E1028" s="46"/>
      <c r="F1028" s="2"/>
      <c r="G1028" s="46"/>
      <c r="H1028" s="2"/>
      <c r="I1028" s="2"/>
      <c r="J1028" s="2"/>
    </row>
    <row r="1029" spans="2:10" x14ac:dyDescent="0.2">
      <c r="B1029" s="2"/>
      <c r="C1029" s="46"/>
      <c r="D1029" s="46"/>
      <c r="E1029" s="46"/>
      <c r="F1029" s="6"/>
      <c r="G1029" s="46"/>
      <c r="H1029" s="2"/>
      <c r="I1029" s="2"/>
      <c r="J1029" s="2"/>
    </row>
    <row r="1030" spans="2:10" x14ac:dyDescent="0.2">
      <c r="B1030" s="2"/>
      <c r="C1030" s="46"/>
      <c r="D1030" s="46"/>
      <c r="E1030" s="46"/>
      <c r="F1030" s="2"/>
      <c r="G1030" s="46"/>
      <c r="H1030" s="2"/>
      <c r="I1030" s="2"/>
      <c r="J1030" s="2"/>
    </row>
    <row r="1031" spans="2:10" x14ac:dyDescent="0.2">
      <c r="B1031" s="2"/>
      <c r="C1031" s="46"/>
      <c r="D1031" s="46"/>
      <c r="E1031" s="46"/>
      <c r="F1031" s="6"/>
      <c r="G1031" s="46"/>
      <c r="H1031" s="2"/>
      <c r="I1031" s="2"/>
      <c r="J1031" s="2"/>
    </row>
    <row r="1032" spans="2:10" x14ac:dyDescent="0.2">
      <c r="B1032" s="2"/>
      <c r="C1032" s="46"/>
      <c r="D1032" s="46"/>
      <c r="E1032" s="46"/>
      <c r="F1032" s="2"/>
      <c r="G1032" s="46"/>
      <c r="H1032" s="2"/>
      <c r="I1032" s="2"/>
      <c r="J1032" s="2"/>
    </row>
    <row r="1033" spans="2:10" x14ac:dyDescent="0.2">
      <c r="B1033" s="2"/>
      <c r="C1033" s="46"/>
      <c r="D1033" s="46"/>
      <c r="E1033" s="46"/>
      <c r="F1033" s="6"/>
      <c r="G1033" s="46"/>
      <c r="H1033" s="2"/>
      <c r="I1033" s="2"/>
      <c r="J1033" s="2"/>
    </row>
    <row r="1034" spans="2:10" x14ac:dyDescent="0.2">
      <c r="B1034" s="2"/>
      <c r="C1034" s="46"/>
      <c r="D1034" s="46"/>
      <c r="E1034" s="46"/>
      <c r="F1034" s="6"/>
      <c r="G1034" s="46"/>
      <c r="H1034" s="2"/>
      <c r="I1034" s="2"/>
      <c r="J1034" s="2"/>
    </row>
    <row r="1035" spans="2:10" x14ac:dyDescent="0.2">
      <c r="B1035" s="2"/>
      <c r="C1035" s="46"/>
      <c r="D1035" s="46"/>
      <c r="E1035" s="46"/>
      <c r="F1035" s="6"/>
      <c r="G1035" s="46"/>
      <c r="H1035" s="2"/>
      <c r="I1035" s="2"/>
      <c r="J1035" s="2"/>
    </row>
    <row r="1036" spans="2:10" x14ac:dyDescent="0.2">
      <c r="B1036" s="2"/>
      <c r="C1036" s="46"/>
      <c r="D1036" s="46"/>
      <c r="E1036" s="46"/>
      <c r="F1036" s="2"/>
      <c r="G1036" s="46"/>
      <c r="H1036" s="2"/>
      <c r="I1036" s="2"/>
      <c r="J1036" s="2"/>
    </row>
    <row r="1037" spans="2:10" x14ac:dyDescent="0.2">
      <c r="B1037" s="2"/>
      <c r="C1037" s="46"/>
      <c r="D1037" s="46"/>
      <c r="E1037" s="46"/>
      <c r="F1037" s="6"/>
      <c r="G1037" s="46"/>
      <c r="H1037" s="2"/>
      <c r="I1037" s="2"/>
      <c r="J1037" s="2"/>
    </row>
    <row r="1038" spans="2:10" x14ac:dyDescent="0.2">
      <c r="B1038" s="2"/>
      <c r="C1038" s="46"/>
      <c r="D1038" s="46"/>
      <c r="E1038" s="46"/>
      <c r="F1038" s="6"/>
      <c r="G1038" s="46"/>
      <c r="H1038" s="2"/>
      <c r="I1038" s="2"/>
      <c r="J1038" s="2"/>
    </row>
    <row r="1039" spans="2:10" x14ac:dyDescent="0.2">
      <c r="B1039" s="2"/>
      <c r="C1039" s="46"/>
      <c r="D1039" s="46"/>
      <c r="E1039" s="46"/>
      <c r="F1039" s="2"/>
      <c r="G1039" s="46"/>
      <c r="H1039" s="2"/>
      <c r="I1039" s="2"/>
      <c r="J1039" s="2"/>
    </row>
    <row r="1040" spans="2:10" x14ac:dyDescent="0.2">
      <c r="B1040" s="2"/>
      <c r="C1040" s="46"/>
      <c r="D1040" s="46"/>
      <c r="E1040" s="46"/>
      <c r="F1040" s="2"/>
      <c r="G1040" s="46"/>
      <c r="H1040" s="2"/>
      <c r="I1040" s="2"/>
      <c r="J1040" s="2"/>
    </row>
    <row r="1041" spans="2:10" x14ac:dyDescent="0.2">
      <c r="B1041" s="2"/>
      <c r="C1041" s="46"/>
      <c r="D1041" s="46"/>
      <c r="E1041" s="46"/>
      <c r="F1041" s="2"/>
      <c r="G1041" s="46"/>
      <c r="H1041" s="2"/>
      <c r="I1041" s="2"/>
      <c r="J1041" s="2"/>
    </row>
    <row r="1042" spans="2:10" x14ac:dyDescent="0.2">
      <c r="B1042" s="2"/>
      <c r="C1042" s="46"/>
      <c r="D1042" s="46"/>
      <c r="E1042" s="46"/>
      <c r="F1042" s="2"/>
      <c r="G1042" s="46"/>
      <c r="H1042" s="2"/>
      <c r="I1042" s="2"/>
      <c r="J1042" s="2"/>
    </row>
    <row r="1043" spans="2:10" x14ac:dyDescent="0.2">
      <c r="B1043" s="2"/>
      <c r="C1043" s="46"/>
      <c r="D1043" s="46"/>
      <c r="E1043" s="46"/>
      <c r="F1043" s="6"/>
      <c r="G1043" s="46"/>
      <c r="H1043" s="2"/>
      <c r="I1043" s="2"/>
      <c r="J1043" s="2"/>
    </row>
    <row r="1044" spans="2:10" x14ac:dyDescent="0.2">
      <c r="B1044" s="2"/>
      <c r="C1044" s="46"/>
      <c r="D1044" s="46"/>
      <c r="E1044" s="46"/>
      <c r="F1044" s="2"/>
      <c r="G1044" s="46"/>
      <c r="H1044" s="2"/>
      <c r="I1044" s="2"/>
      <c r="J1044" s="2"/>
    </row>
    <row r="1045" spans="2:10" x14ac:dyDescent="0.2">
      <c r="B1045" s="2"/>
      <c r="C1045" s="46"/>
      <c r="D1045" s="46"/>
      <c r="E1045" s="46"/>
      <c r="F1045" s="2"/>
      <c r="G1045" s="46"/>
      <c r="H1045" s="2"/>
      <c r="I1045" s="2"/>
      <c r="J1045" s="2"/>
    </row>
    <row r="1046" spans="2:10" x14ac:dyDescent="0.2">
      <c r="B1046" s="2"/>
      <c r="C1046" s="46"/>
      <c r="D1046" s="46"/>
      <c r="E1046" s="46"/>
      <c r="F1046" s="2"/>
      <c r="G1046" s="46"/>
      <c r="H1046" s="2"/>
      <c r="I1046" s="2"/>
      <c r="J1046" s="2"/>
    </row>
    <row r="1047" spans="2:10" x14ac:dyDescent="0.2">
      <c r="B1047" s="2"/>
      <c r="C1047" s="46"/>
      <c r="D1047" s="46"/>
      <c r="E1047" s="46"/>
      <c r="F1047" s="6"/>
      <c r="G1047" s="46"/>
      <c r="H1047" s="2"/>
      <c r="I1047" s="2"/>
      <c r="J1047" s="2"/>
    </row>
    <row r="1048" spans="2:10" x14ac:dyDescent="0.2">
      <c r="B1048" s="2"/>
      <c r="C1048" s="46"/>
      <c r="D1048" s="46"/>
      <c r="E1048" s="46"/>
      <c r="F1048" s="6"/>
      <c r="G1048" s="46"/>
      <c r="H1048" s="2"/>
      <c r="I1048" s="2"/>
      <c r="J1048" s="2"/>
    </row>
    <row r="1049" spans="2:10" x14ac:dyDescent="0.2">
      <c r="B1049" s="2"/>
      <c r="C1049" s="46"/>
      <c r="D1049" s="46"/>
      <c r="E1049" s="46"/>
      <c r="F1049" s="2"/>
      <c r="G1049" s="46"/>
      <c r="H1049" s="2"/>
      <c r="I1049" s="2"/>
      <c r="J1049" s="2"/>
    </row>
    <row r="1050" spans="2:10" x14ac:dyDescent="0.2">
      <c r="B1050" s="2"/>
      <c r="C1050" s="46"/>
      <c r="D1050" s="46"/>
      <c r="E1050" s="46"/>
      <c r="F1050" s="2"/>
      <c r="G1050" s="46"/>
      <c r="H1050" s="2"/>
      <c r="I1050" s="2"/>
      <c r="J1050" s="2"/>
    </row>
    <row r="1051" spans="2:10" x14ac:dyDescent="0.2">
      <c r="B1051" s="2"/>
      <c r="C1051" s="46"/>
      <c r="D1051" s="46"/>
      <c r="E1051" s="46"/>
      <c r="F1051" s="6"/>
      <c r="G1051" s="46"/>
      <c r="H1051" s="2"/>
      <c r="I1051" s="2"/>
      <c r="J1051" s="2"/>
    </row>
    <row r="1052" spans="2:10" x14ac:dyDescent="0.2">
      <c r="B1052" s="2"/>
      <c r="C1052" s="46"/>
      <c r="D1052" s="46"/>
      <c r="E1052" s="46"/>
      <c r="F1052" s="2"/>
      <c r="G1052" s="46"/>
      <c r="H1052" s="2"/>
      <c r="I1052" s="2"/>
      <c r="J1052" s="2"/>
    </row>
    <row r="1053" spans="2:10" x14ac:dyDescent="0.2">
      <c r="B1053" s="2"/>
      <c r="C1053" s="46"/>
      <c r="D1053" s="46"/>
      <c r="E1053" s="46"/>
      <c r="F1053" s="6"/>
      <c r="G1053" s="46"/>
      <c r="H1053" s="2"/>
      <c r="I1053" s="2"/>
      <c r="J1053" s="2"/>
    </row>
    <row r="1054" spans="2:10" x14ac:dyDescent="0.2">
      <c r="B1054" s="2"/>
      <c r="C1054" s="46"/>
      <c r="D1054" s="46"/>
      <c r="E1054" s="46"/>
      <c r="F1054" s="2"/>
      <c r="G1054" s="46"/>
      <c r="H1054" s="2"/>
      <c r="I1054" s="2"/>
      <c r="J1054" s="2"/>
    </row>
    <row r="1055" spans="2:10" x14ac:dyDescent="0.2">
      <c r="B1055" s="2"/>
      <c r="C1055" s="46"/>
      <c r="D1055" s="46"/>
      <c r="E1055" s="46"/>
      <c r="F1055" s="6"/>
      <c r="G1055" s="46"/>
      <c r="H1055" s="2"/>
      <c r="I1055" s="2"/>
      <c r="J1055" s="2"/>
    </row>
    <row r="1056" spans="2:10" x14ac:dyDescent="0.2">
      <c r="B1056" s="2"/>
      <c r="C1056" s="46"/>
      <c r="D1056" s="46"/>
      <c r="E1056" s="46"/>
      <c r="F1056" s="2"/>
      <c r="G1056" s="46"/>
      <c r="H1056" s="2"/>
      <c r="I1056" s="2"/>
      <c r="J1056" s="2"/>
    </row>
    <row r="1057" spans="2:10" x14ac:dyDescent="0.2">
      <c r="B1057" s="2"/>
      <c r="C1057" s="46"/>
      <c r="D1057" s="46"/>
      <c r="E1057" s="46"/>
      <c r="F1057" s="6"/>
      <c r="G1057" s="46"/>
      <c r="H1057" s="2"/>
      <c r="I1057" s="2"/>
      <c r="J1057" s="2"/>
    </row>
    <row r="1058" spans="2:10" x14ac:dyDescent="0.2">
      <c r="B1058" s="2"/>
      <c r="C1058" s="46"/>
      <c r="D1058" s="46"/>
      <c r="E1058" s="46"/>
      <c r="F1058" s="6"/>
      <c r="G1058" s="46"/>
      <c r="H1058" s="2"/>
      <c r="I1058" s="2"/>
      <c r="J1058" s="2"/>
    </row>
    <row r="1059" spans="2:10" x14ac:dyDescent="0.2">
      <c r="B1059" s="2"/>
      <c r="C1059" s="46"/>
      <c r="D1059" s="46"/>
      <c r="E1059" s="46"/>
      <c r="F1059" s="2"/>
      <c r="G1059" s="46"/>
      <c r="H1059" s="2"/>
      <c r="I1059" s="2"/>
      <c r="J1059" s="2"/>
    </row>
    <row r="1060" spans="2:10" x14ac:dyDescent="0.2">
      <c r="B1060" s="2"/>
      <c r="C1060" s="46"/>
      <c r="D1060" s="46"/>
      <c r="E1060" s="46"/>
      <c r="F1060" s="2"/>
      <c r="G1060" s="46"/>
      <c r="H1060" s="2"/>
      <c r="I1060" s="2"/>
      <c r="J1060" s="2"/>
    </row>
    <row r="1061" spans="2:10" x14ac:dyDescent="0.2">
      <c r="B1061" s="2"/>
      <c r="C1061" s="46"/>
      <c r="D1061" s="46"/>
      <c r="E1061" s="46"/>
      <c r="F1061" s="6"/>
      <c r="G1061" s="46"/>
      <c r="H1061" s="2"/>
      <c r="I1061" s="2"/>
      <c r="J1061" s="2"/>
    </row>
    <row r="1062" spans="2:10" x14ac:dyDescent="0.2">
      <c r="B1062" s="2"/>
      <c r="C1062" s="46"/>
      <c r="D1062" s="46"/>
      <c r="E1062" s="46"/>
      <c r="F1062" s="2"/>
      <c r="G1062" s="46"/>
      <c r="H1062" s="2"/>
      <c r="I1062" s="2"/>
      <c r="J1062" s="2"/>
    </row>
    <row r="1063" spans="2:10" x14ac:dyDescent="0.2">
      <c r="B1063" s="2"/>
      <c r="C1063" s="46"/>
      <c r="D1063" s="46"/>
      <c r="E1063" s="46"/>
      <c r="F1063" s="2"/>
      <c r="G1063" s="46"/>
      <c r="H1063" s="2"/>
      <c r="I1063" s="2"/>
      <c r="J1063" s="2"/>
    </row>
    <row r="1064" spans="2:10" x14ac:dyDescent="0.2">
      <c r="B1064" s="2"/>
      <c r="C1064" s="46"/>
      <c r="D1064" s="46"/>
      <c r="E1064" s="46"/>
      <c r="F1064" s="6"/>
      <c r="G1064" s="46"/>
      <c r="H1064" s="2"/>
      <c r="I1064" s="2"/>
      <c r="J1064" s="2"/>
    </row>
    <row r="1065" spans="2:10" x14ac:dyDescent="0.2">
      <c r="B1065" s="2"/>
      <c r="C1065" s="46"/>
      <c r="D1065" s="46"/>
      <c r="E1065" s="46"/>
      <c r="F1065" s="2"/>
      <c r="G1065" s="46"/>
      <c r="H1065" s="2"/>
      <c r="I1065" s="2"/>
      <c r="J1065" s="2"/>
    </row>
    <row r="1066" spans="2:10" x14ac:dyDescent="0.2">
      <c r="B1066" s="2"/>
      <c r="C1066" s="46"/>
      <c r="D1066" s="46"/>
      <c r="E1066" s="46"/>
      <c r="F1066" s="2"/>
      <c r="G1066" s="46"/>
      <c r="H1066" s="2"/>
      <c r="I1066" s="2"/>
      <c r="J1066" s="2"/>
    </row>
    <row r="1067" spans="2:10" x14ac:dyDescent="0.2">
      <c r="B1067" s="2"/>
      <c r="C1067" s="46"/>
      <c r="D1067" s="46"/>
      <c r="E1067" s="46"/>
      <c r="F1067" s="6"/>
      <c r="G1067" s="46"/>
      <c r="H1067" s="2"/>
      <c r="I1067" s="2"/>
      <c r="J1067" s="2"/>
    </row>
    <row r="1068" spans="2:10" x14ac:dyDescent="0.2">
      <c r="B1068" s="2"/>
      <c r="C1068" s="46"/>
      <c r="D1068" s="46"/>
      <c r="E1068" s="46"/>
      <c r="F1068" s="2"/>
      <c r="G1068" s="46"/>
      <c r="H1068" s="2"/>
      <c r="I1068" s="2"/>
      <c r="J1068" s="2"/>
    </row>
    <row r="1069" spans="2:10" x14ac:dyDescent="0.2">
      <c r="B1069" s="2"/>
      <c r="C1069" s="46"/>
      <c r="D1069" s="46"/>
      <c r="E1069" s="46"/>
      <c r="F1069" s="2"/>
      <c r="G1069" s="46"/>
      <c r="H1069" s="2"/>
      <c r="I1069" s="2"/>
      <c r="J1069" s="2"/>
    </row>
    <row r="1070" spans="2:10" x14ac:dyDescent="0.2">
      <c r="B1070" s="2"/>
      <c r="C1070" s="46"/>
      <c r="D1070" s="46"/>
      <c r="E1070" s="46"/>
      <c r="F1070" s="2"/>
      <c r="G1070" s="46"/>
      <c r="H1070" s="2"/>
      <c r="I1070" s="2"/>
      <c r="J1070" s="2"/>
    </row>
    <row r="1071" spans="2:10" x14ac:dyDescent="0.2">
      <c r="B1071" s="2"/>
      <c r="C1071" s="46"/>
      <c r="D1071" s="46"/>
      <c r="E1071" s="46"/>
      <c r="F1071" s="6"/>
      <c r="G1071" s="46"/>
      <c r="H1071" s="2"/>
      <c r="I1071" s="2"/>
      <c r="J1071" s="2"/>
    </row>
    <row r="1072" spans="2:10" x14ac:dyDescent="0.2">
      <c r="B1072" s="2"/>
      <c r="C1072" s="46"/>
      <c r="D1072" s="46"/>
      <c r="E1072" s="46"/>
      <c r="F1072" s="6"/>
      <c r="G1072" s="46"/>
      <c r="H1072" s="2"/>
      <c r="I1072" s="2"/>
      <c r="J1072" s="2"/>
    </row>
    <row r="1073" spans="2:10" x14ac:dyDescent="0.2">
      <c r="B1073" s="2"/>
      <c r="C1073" s="46"/>
      <c r="D1073" s="46"/>
      <c r="E1073" s="46"/>
      <c r="F1073" s="6"/>
      <c r="G1073" s="46"/>
      <c r="H1073" s="2"/>
      <c r="I1073" s="2"/>
      <c r="J1073" s="2"/>
    </row>
    <row r="1074" spans="2:10" x14ac:dyDescent="0.2">
      <c r="B1074" s="2"/>
      <c r="C1074" s="46"/>
      <c r="D1074" s="46"/>
      <c r="E1074" s="46"/>
      <c r="F1074" s="6"/>
      <c r="G1074" s="46"/>
      <c r="H1074" s="2"/>
      <c r="I1074" s="2"/>
      <c r="J1074" s="2"/>
    </row>
    <row r="1075" spans="2:10" x14ac:dyDescent="0.2">
      <c r="B1075" s="2"/>
      <c r="C1075" s="46"/>
      <c r="D1075" s="46"/>
      <c r="E1075" s="46"/>
      <c r="F1075" s="6"/>
      <c r="G1075" s="46"/>
      <c r="H1075" s="2"/>
      <c r="I1075" s="2"/>
      <c r="J1075" s="2"/>
    </row>
    <row r="1076" spans="2:10" x14ac:dyDescent="0.2">
      <c r="B1076" s="2"/>
      <c r="C1076" s="46"/>
      <c r="D1076" s="46"/>
      <c r="E1076" s="46"/>
      <c r="F1076" s="6"/>
      <c r="G1076" s="46"/>
      <c r="H1076" s="2"/>
      <c r="I1076" s="2"/>
      <c r="J1076" s="2"/>
    </row>
    <row r="1077" spans="2:10" x14ac:dyDescent="0.2">
      <c r="B1077" s="2"/>
      <c r="C1077" s="46"/>
      <c r="D1077" s="46"/>
      <c r="E1077" s="46"/>
      <c r="F1077" s="6"/>
      <c r="G1077" s="46"/>
      <c r="H1077" s="2"/>
      <c r="I1077" s="2"/>
      <c r="J1077" s="2"/>
    </row>
    <row r="1078" spans="2:10" x14ac:dyDescent="0.2">
      <c r="B1078" s="2"/>
      <c r="C1078" s="46"/>
      <c r="D1078" s="46"/>
      <c r="E1078" s="46"/>
      <c r="F1078" s="2"/>
      <c r="G1078" s="46"/>
      <c r="H1078" s="2"/>
      <c r="I1078" s="2"/>
      <c r="J1078" s="2"/>
    </row>
    <row r="1079" spans="2:10" x14ac:dyDescent="0.2">
      <c r="B1079" s="2"/>
      <c r="C1079" s="46"/>
      <c r="D1079" s="46"/>
      <c r="E1079" s="46"/>
      <c r="F1079" s="6"/>
      <c r="G1079" s="46"/>
      <c r="H1079" s="2"/>
      <c r="I1079" s="2"/>
      <c r="J1079" s="2"/>
    </row>
    <row r="1080" spans="2:10" x14ac:dyDescent="0.2">
      <c r="B1080" s="2"/>
      <c r="C1080" s="46"/>
      <c r="D1080" s="46"/>
      <c r="E1080" s="46"/>
      <c r="F1080" s="2"/>
      <c r="G1080" s="46"/>
      <c r="H1080" s="2"/>
      <c r="I1080" s="2"/>
      <c r="J1080" s="2"/>
    </row>
    <row r="1081" spans="2:10" x14ac:dyDescent="0.2">
      <c r="B1081" s="2"/>
      <c r="C1081" s="46"/>
      <c r="D1081" s="46"/>
      <c r="E1081" s="46"/>
      <c r="F1081" s="2"/>
      <c r="G1081" s="46"/>
      <c r="H1081" s="2"/>
      <c r="I1081" s="2"/>
      <c r="J1081" s="2"/>
    </row>
    <row r="1082" spans="2:10" x14ac:dyDescent="0.2">
      <c r="B1082" s="2"/>
      <c r="C1082" s="46"/>
      <c r="D1082" s="46"/>
      <c r="E1082" s="46"/>
      <c r="F1082" s="6"/>
      <c r="G1082" s="46"/>
      <c r="H1082" s="2"/>
      <c r="I1082" s="2"/>
      <c r="J1082" s="2"/>
    </row>
    <row r="1083" spans="2:10" x14ac:dyDescent="0.2">
      <c r="B1083" s="2"/>
      <c r="C1083" s="46"/>
      <c r="D1083" s="46"/>
      <c r="E1083" s="46"/>
      <c r="F1083" s="2"/>
      <c r="G1083" s="46"/>
      <c r="H1083" s="2"/>
      <c r="I1083" s="2"/>
      <c r="J1083" s="2"/>
    </row>
    <row r="1084" spans="2:10" x14ac:dyDescent="0.2">
      <c r="B1084" s="2"/>
      <c r="C1084" s="46"/>
      <c r="D1084" s="46"/>
      <c r="E1084" s="46"/>
      <c r="F1084" s="6"/>
      <c r="G1084" s="46"/>
      <c r="H1084" s="2"/>
      <c r="I1084" s="2"/>
      <c r="J1084" s="2"/>
    </row>
    <row r="1085" spans="2:10" x14ac:dyDescent="0.2">
      <c r="B1085" s="2"/>
      <c r="C1085" s="46"/>
      <c r="D1085" s="46"/>
      <c r="E1085" s="46"/>
      <c r="F1085" s="2"/>
      <c r="G1085" s="46"/>
      <c r="H1085" s="2"/>
      <c r="I1085" s="2"/>
      <c r="J1085" s="2"/>
    </row>
    <row r="1086" spans="2:10" x14ac:dyDescent="0.2">
      <c r="B1086" s="2"/>
      <c r="C1086" s="46"/>
      <c r="D1086" s="46"/>
      <c r="E1086" s="46"/>
      <c r="F1086" s="6"/>
      <c r="G1086" s="46"/>
      <c r="H1086" s="2"/>
      <c r="I1086" s="2"/>
      <c r="J1086" s="2"/>
    </row>
    <row r="1087" spans="2:10" x14ac:dyDescent="0.2">
      <c r="B1087" s="2"/>
      <c r="C1087" s="46"/>
      <c r="D1087" s="46"/>
      <c r="E1087" s="46"/>
      <c r="F1087" s="2"/>
      <c r="G1087" s="46"/>
      <c r="H1087" s="2"/>
      <c r="I1087" s="2"/>
      <c r="J1087" s="2"/>
    </row>
    <row r="1088" spans="2:10" x14ac:dyDescent="0.2">
      <c r="B1088" s="2"/>
      <c r="C1088" s="46"/>
      <c r="D1088" s="46"/>
      <c r="E1088" s="46"/>
      <c r="F1088" s="2"/>
      <c r="G1088" s="46"/>
      <c r="H1088" s="2"/>
      <c r="I1088" s="2"/>
      <c r="J1088" s="2"/>
    </row>
    <row r="1089" spans="2:10" x14ac:dyDescent="0.2">
      <c r="B1089" s="2"/>
      <c r="C1089" s="46"/>
      <c r="D1089" s="46"/>
      <c r="E1089" s="46"/>
      <c r="F1089" s="6"/>
      <c r="G1089" s="46"/>
      <c r="H1089" s="2"/>
      <c r="I1089" s="2"/>
      <c r="J1089" s="2"/>
    </row>
    <row r="1090" spans="2:10" x14ac:dyDescent="0.2">
      <c r="B1090" s="2"/>
      <c r="C1090" s="46"/>
      <c r="D1090" s="46"/>
      <c r="E1090" s="46"/>
      <c r="F1090" s="6"/>
      <c r="G1090" s="46"/>
      <c r="H1090" s="2"/>
      <c r="I1090" s="2"/>
      <c r="J1090" s="2"/>
    </row>
    <row r="1091" spans="2:10" x14ac:dyDescent="0.2">
      <c r="B1091" s="2"/>
      <c r="C1091" s="46"/>
      <c r="D1091" s="46"/>
      <c r="E1091" s="46"/>
      <c r="F1091" s="6"/>
      <c r="G1091" s="46"/>
      <c r="H1091" s="2"/>
      <c r="I1091" s="2"/>
      <c r="J1091" s="2"/>
    </row>
    <row r="1092" spans="2:10" x14ac:dyDescent="0.2">
      <c r="B1092" s="2"/>
      <c r="C1092" s="46"/>
      <c r="D1092" s="46"/>
      <c r="E1092" s="46"/>
      <c r="F1092" s="2"/>
      <c r="G1092" s="46"/>
      <c r="H1092" s="2"/>
      <c r="I1092" s="2"/>
      <c r="J1092" s="2"/>
    </row>
    <row r="1093" spans="2:10" x14ac:dyDescent="0.2">
      <c r="B1093" s="2"/>
      <c r="C1093" s="46"/>
      <c r="D1093" s="46"/>
      <c r="E1093" s="46"/>
      <c r="F1093" s="2"/>
      <c r="G1093" s="46"/>
      <c r="H1093" s="2"/>
      <c r="I1093" s="2"/>
      <c r="J1093" s="2"/>
    </row>
    <row r="1094" spans="2:10" x14ac:dyDescent="0.2">
      <c r="B1094" s="2"/>
      <c r="C1094" s="46"/>
      <c r="D1094" s="46"/>
      <c r="E1094" s="46"/>
      <c r="F1094" s="6"/>
      <c r="G1094" s="46"/>
      <c r="H1094" s="2"/>
      <c r="I1094" s="2"/>
      <c r="J1094" s="2"/>
    </row>
    <row r="1095" spans="2:10" x14ac:dyDescent="0.2">
      <c r="B1095" s="2"/>
      <c r="C1095" s="46"/>
      <c r="D1095" s="46"/>
      <c r="E1095" s="46"/>
      <c r="F1095" s="2"/>
      <c r="G1095" s="46"/>
      <c r="H1095" s="2"/>
      <c r="I1095" s="2"/>
      <c r="J1095" s="2"/>
    </row>
    <row r="1096" spans="2:10" x14ac:dyDescent="0.2">
      <c r="B1096" s="2"/>
      <c r="C1096" s="46"/>
      <c r="D1096" s="46"/>
      <c r="E1096" s="46"/>
      <c r="F1096" s="2"/>
      <c r="G1096" s="46"/>
      <c r="H1096" s="2"/>
      <c r="I1096" s="2"/>
      <c r="J1096" s="2"/>
    </row>
    <row r="1097" spans="2:10" x14ac:dyDescent="0.2">
      <c r="B1097" s="2"/>
      <c r="C1097" s="46"/>
      <c r="D1097" s="46"/>
      <c r="E1097" s="46"/>
      <c r="F1097" s="2"/>
      <c r="G1097" s="46"/>
      <c r="H1097" s="2"/>
      <c r="I1097" s="2"/>
      <c r="J1097" s="2"/>
    </row>
    <row r="1098" spans="2:10" x14ac:dyDescent="0.2">
      <c r="B1098" s="2"/>
      <c r="C1098" s="46"/>
      <c r="D1098" s="46"/>
      <c r="E1098" s="46"/>
      <c r="F1098" s="2"/>
      <c r="G1098" s="46"/>
      <c r="H1098" s="2"/>
      <c r="I1098" s="2"/>
      <c r="J1098" s="2"/>
    </row>
    <row r="1099" spans="2:10" x14ac:dyDescent="0.2">
      <c r="B1099" s="2"/>
      <c r="C1099" s="46"/>
      <c r="D1099" s="46"/>
      <c r="E1099" s="46"/>
      <c r="F1099" s="6"/>
      <c r="G1099" s="46"/>
      <c r="H1099" s="2"/>
      <c r="I1099" s="2"/>
      <c r="J1099" s="2"/>
    </row>
    <row r="1100" spans="2:10" x14ac:dyDescent="0.2">
      <c r="B1100" s="2"/>
      <c r="C1100" s="46"/>
      <c r="D1100" s="46"/>
      <c r="E1100" s="46"/>
      <c r="F1100" s="2"/>
      <c r="G1100" s="46"/>
      <c r="H1100" s="2"/>
      <c r="I1100" s="2"/>
      <c r="J1100" s="2"/>
    </row>
    <row r="1101" spans="2:10" x14ac:dyDescent="0.2">
      <c r="B1101" s="2"/>
      <c r="C1101" s="46"/>
      <c r="D1101" s="46"/>
      <c r="E1101" s="46"/>
      <c r="F1101" s="2"/>
      <c r="G1101" s="46"/>
      <c r="H1101" s="2"/>
      <c r="I1101" s="2"/>
      <c r="J1101" s="2"/>
    </row>
    <row r="1102" spans="2:10" x14ac:dyDescent="0.2">
      <c r="B1102" s="2"/>
      <c r="C1102" s="46"/>
      <c r="D1102" s="46"/>
      <c r="E1102" s="46"/>
      <c r="F1102" s="2"/>
      <c r="G1102" s="46"/>
      <c r="H1102" s="2"/>
      <c r="I1102" s="2"/>
      <c r="J1102" s="2"/>
    </row>
    <row r="1103" spans="2:10" x14ac:dyDescent="0.2">
      <c r="B1103" s="2"/>
      <c r="C1103" s="46"/>
      <c r="D1103" s="46"/>
      <c r="E1103" s="46"/>
      <c r="F1103" s="6"/>
      <c r="G1103" s="46"/>
      <c r="H1103" s="2"/>
      <c r="I1103" s="2"/>
      <c r="J1103" s="2"/>
    </row>
    <row r="1104" spans="2:10" x14ac:dyDescent="0.2">
      <c r="B1104" s="2"/>
      <c r="C1104" s="46"/>
      <c r="D1104" s="46"/>
      <c r="E1104" s="46"/>
      <c r="F1104" s="2"/>
      <c r="G1104" s="46"/>
      <c r="H1104" s="2"/>
      <c r="I1104" s="2"/>
      <c r="J1104" s="2"/>
    </row>
    <row r="1105" spans="2:10" x14ac:dyDescent="0.2">
      <c r="B1105" s="2"/>
      <c r="C1105" s="46"/>
      <c r="D1105" s="46"/>
      <c r="E1105" s="46"/>
      <c r="F1105" s="6"/>
      <c r="G1105" s="46"/>
      <c r="H1105" s="2"/>
      <c r="I1105" s="2"/>
      <c r="J1105" s="2"/>
    </row>
    <row r="1106" spans="2:10" x14ac:dyDescent="0.2">
      <c r="B1106" s="2"/>
      <c r="C1106" s="46"/>
      <c r="D1106" s="46"/>
      <c r="E1106" s="46"/>
      <c r="F1106" s="6"/>
      <c r="G1106" s="46"/>
      <c r="H1106" s="2"/>
      <c r="I1106" s="2"/>
      <c r="J1106" s="2"/>
    </row>
    <row r="1107" spans="2:10" x14ac:dyDescent="0.2">
      <c r="B1107" s="2"/>
      <c r="C1107" s="46"/>
      <c r="D1107" s="46"/>
      <c r="E1107" s="46"/>
      <c r="F1107" s="6"/>
      <c r="G1107" s="46"/>
      <c r="H1107" s="2"/>
      <c r="I1107" s="2"/>
      <c r="J1107" s="2"/>
    </row>
    <row r="1108" spans="2:10" x14ac:dyDescent="0.2">
      <c r="B1108" s="2"/>
      <c r="C1108" s="46"/>
      <c r="D1108" s="46"/>
      <c r="E1108" s="46"/>
      <c r="F1108" s="2"/>
      <c r="G1108" s="46"/>
      <c r="H1108" s="2"/>
      <c r="I1108" s="2"/>
      <c r="J1108" s="2"/>
    </row>
    <row r="1109" spans="2:10" x14ac:dyDescent="0.2">
      <c r="B1109" s="2"/>
      <c r="C1109" s="46"/>
      <c r="D1109" s="46"/>
      <c r="E1109" s="46"/>
      <c r="F1109" s="2"/>
      <c r="G1109" s="46"/>
      <c r="H1109" s="2"/>
      <c r="I1109" s="2"/>
      <c r="J1109" s="2"/>
    </row>
    <row r="1110" spans="2:10" x14ac:dyDescent="0.2">
      <c r="B1110" s="2"/>
      <c r="C1110" s="46"/>
      <c r="D1110" s="46"/>
      <c r="E1110" s="46"/>
      <c r="F1110" s="6"/>
      <c r="G1110" s="46"/>
      <c r="H1110" s="2"/>
      <c r="I1110" s="2"/>
      <c r="J1110" s="2"/>
    </row>
    <row r="1111" spans="2:10" x14ac:dyDescent="0.2">
      <c r="B1111" s="2"/>
      <c r="C1111" s="46"/>
      <c r="D1111" s="46"/>
      <c r="E1111" s="46"/>
      <c r="F1111" s="6"/>
      <c r="G1111" s="46"/>
      <c r="H1111" s="2"/>
      <c r="I1111" s="2"/>
      <c r="J1111" s="2"/>
    </row>
    <row r="1112" spans="2:10" x14ac:dyDescent="0.2">
      <c r="B1112" s="2"/>
      <c r="C1112" s="46"/>
      <c r="D1112" s="46"/>
      <c r="E1112" s="46"/>
      <c r="F1112" s="6"/>
      <c r="G1112" s="46"/>
      <c r="H1112" s="2"/>
      <c r="I1112" s="2"/>
      <c r="J1112" s="2"/>
    </row>
    <row r="1113" spans="2:10" x14ac:dyDescent="0.2">
      <c r="B1113" s="2"/>
      <c r="C1113" s="46"/>
      <c r="D1113" s="46"/>
      <c r="E1113" s="46"/>
      <c r="F1113" s="6"/>
      <c r="G1113" s="46"/>
      <c r="H1113" s="2"/>
      <c r="I1113" s="2"/>
      <c r="J1113" s="2"/>
    </row>
    <row r="1114" spans="2:10" x14ac:dyDescent="0.2">
      <c r="B1114" s="2"/>
      <c r="C1114" s="46"/>
      <c r="D1114" s="46"/>
      <c r="E1114" s="46"/>
      <c r="F1114" s="6"/>
      <c r="G1114" s="46"/>
      <c r="H1114" s="2"/>
      <c r="I1114" s="2"/>
      <c r="J1114" s="2"/>
    </row>
    <row r="1115" spans="2:10" x14ac:dyDescent="0.2">
      <c r="B1115" s="2"/>
      <c r="C1115" s="46"/>
      <c r="D1115" s="46"/>
      <c r="E1115" s="46"/>
      <c r="F1115" s="2"/>
      <c r="G1115" s="46"/>
      <c r="H1115" s="2"/>
      <c r="I1115" s="2"/>
      <c r="J1115" s="2"/>
    </row>
    <row r="1116" spans="2:10" x14ac:dyDescent="0.2">
      <c r="B1116" s="2"/>
      <c r="C1116" s="46"/>
      <c r="D1116" s="46"/>
      <c r="E1116" s="46"/>
      <c r="F1116" s="2"/>
      <c r="G1116" s="46"/>
      <c r="H1116" s="2"/>
      <c r="I1116" s="2"/>
      <c r="J1116" s="2"/>
    </row>
    <row r="1117" spans="2:10" x14ac:dyDescent="0.2">
      <c r="B1117" s="2"/>
      <c r="C1117" s="46"/>
      <c r="D1117" s="46"/>
      <c r="E1117" s="46"/>
      <c r="F1117" s="2"/>
      <c r="G1117" s="46"/>
      <c r="H1117" s="2"/>
      <c r="I1117" s="2"/>
      <c r="J1117" s="2"/>
    </row>
    <row r="1118" spans="2:10" x14ac:dyDescent="0.2">
      <c r="B1118" s="2"/>
      <c r="C1118" s="46"/>
      <c r="D1118" s="46"/>
      <c r="E1118" s="46"/>
      <c r="F1118" s="2"/>
      <c r="G1118" s="46"/>
      <c r="H1118" s="2"/>
      <c r="I1118" s="2"/>
      <c r="J1118" s="2"/>
    </row>
    <row r="1119" spans="2:10" x14ac:dyDescent="0.2">
      <c r="B1119" s="2"/>
      <c r="C1119" s="46"/>
      <c r="D1119" s="46"/>
      <c r="E1119" s="46"/>
      <c r="F1119" s="2"/>
      <c r="G1119" s="46"/>
      <c r="H1119" s="2"/>
      <c r="I1119" s="2"/>
      <c r="J1119" s="2"/>
    </row>
    <row r="1120" spans="2:10" x14ac:dyDescent="0.2">
      <c r="B1120" s="2"/>
      <c r="C1120" s="46"/>
      <c r="D1120" s="46"/>
      <c r="E1120" s="46"/>
      <c r="F1120" s="2"/>
      <c r="G1120" s="46"/>
      <c r="H1120" s="2"/>
      <c r="I1120" s="2"/>
      <c r="J1120" s="2"/>
    </row>
    <row r="1121" spans="2:10" x14ac:dyDescent="0.2">
      <c r="B1121" s="2"/>
      <c r="C1121" s="46"/>
      <c r="D1121" s="46"/>
      <c r="E1121" s="46"/>
      <c r="F1121" s="2"/>
      <c r="G1121" s="46"/>
      <c r="H1121" s="2"/>
      <c r="I1121" s="2"/>
      <c r="J1121" s="2"/>
    </row>
    <row r="1122" spans="2:10" x14ac:dyDescent="0.2">
      <c r="B1122" s="2"/>
      <c r="C1122" s="46"/>
      <c r="D1122" s="46"/>
      <c r="E1122" s="46"/>
      <c r="F1122" s="6"/>
      <c r="G1122" s="46"/>
      <c r="H1122" s="2"/>
      <c r="I1122" s="2"/>
      <c r="J1122" s="2"/>
    </row>
    <row r="1123" spans="2:10" x14ac:dyDescent="0.2">
      <c r="B1123" s="2"/>
      <c r="C1123" s="46"/>
      <c r="D1123" s="46"/>
      <c r="E1123" s="46"/>
      <c r="F1123" s="6"/>
      <c r="G1123" s="46"/>
      <c r="H1123" s="2"/>
      <c r="I1123" s="2"/>
      <c r="J1123" s="2"/>
    </row>
    <row r="1124" spans="2:10" x14ac:dyDescent="0.2">
      <c r="B1124" s="2"/>
      <c r="C1124" s="46"/>
      <c r="D1124" s="46"/>
      <c r="E1124" s="46"/>
      <c r="F1124" s="2"/>
      <c r="G1124" s="46"/>
      <c r="H1124" s="2"/>
      <c r="I1124" s="2"/>
      <c r="J1124" s="2"/>
    </row>
    <row r="1125" spans="2:10" x14ac:dyDescent="0.2">
      <c r="B1125" s="2"/>
      <c r="C1125" s="46"/>
      <c r="D1125" s="46"/>
      <c r="E1125" s="46"/>
      <c r="F1125" s="2"/>
      <c r="G1125" s="46"/>
      <c r="H1125" s="2"/>
      <c r="I1125" s="2"/>
      <c r="J1125" s="2"/>
    </row>
    <row r="1126" spans="2:10" x14ac:dyDescent="0.2">
      <c r="B1126" s="2"/>
      <c r="C1126" s="46"/>
      <c r="D1126" s="46"/>
      <c r="E1126" s="46"/>
      <c r="F1126" s="2"/>
      <c r="G1126" s="46"/>
      <c r="H1126" s="2"/>
      <c r="I1126" s="2"/>
      <c r="J1126" s="2"/>
    </row>
    <row r="1127" spans="2:10" x14ac:dyDescent="0.2">
      <c r="B1127" s="2"/>
      <c r="C1127" s="46"/>
      <c r="D1127" s="46"/>
      <c r="E1127" s="46"/>
      <c r="F1127" s="2"/>
      <c r="G1127" s="46"/>
      <c r="H1127" s="2"/>
      <c r="I1127" s="2"/>
      <c r="J1127" s="2"/>
    </row>
    <row r="1128" spans="2:10" x14ac:dyDescent="0.2">
      <c r="B1128" s="2"/>
      <c r="C1128" s="46"/>
      <c r="D1128" s="46"/>
      <c r="E1128" s="46"/>
      <c r="F1128" s="2"/>
      <c r="G1128" s="46"/>
      <c r="H1128" s="2"/>
      <c r="I1128" s="2"/>
      <c r="J1128" s="2"/>
    </row>
    <row r="1129" spans="2:10" x14ac:dyDescent="0.2">
      <c r="B1129" s="2"/>
      <c r="C1129" s="46"/>
      <c r="D1129" s="46"/>
      <c r="E1129" s="46"/>
      <c r="F1129" s="6"/>
      <c r="G1129" s="46"/>
      <c r="H1129" s="2"/>
      <c r="I1129" s="2"/>
      <c r="J1129" s="2"/>
    </row>
    <row r="1130" spans="2:10" x14ac:dyDescent="0.2">
      <c r="B1130" s="2"/>
      <c r="C1130" s="46"/>
      <c r="D1130" s="46"/>
      <c r="E1130" s="46"/>
      <c r="F1130" s="2"/>
      <c r="G1130" s="46"/>
      <c r="H1130" s="2"/>
      <c r="I1130" s="2"/>
      <c r="J1130" s="2"/>
    </row>
    <row r="1131" spans="2:10" x14ac:dyDescent="0.2">
      <c r="B1131" s="2"/>
      <c r="C1131" s="46"/>
      <c r="D1131" s="46"/>
      <c r="E1131" s="46"/>
      <c r="F1131" s="6"/>
      <c r="G1131" s="46"/>
      <c r="H1131" s="2"/>
      <c r="I1131" s="2"/>
      <c r="J1131" s="2"/>
    </row>
    <row r="1132" spans="2:10" x14ac:dyDescent="0.2">
      <c r="B1132" s="2"/>
      <c r="C1132" s="46"/>
      <c r="D1132" s="46"/>
      <c r="E1132" s="46"/>
      <c r="F1132" s="6"/>
      <c r="G1132" s="46"/>
      <c r="H1132" s="2"/>
      <c r="I1132" s="2"/>
      <c r="J1132" s="2"/>
    </row>
    <row r="1133" spans="2:10" x14ac:dyDescent="0.2">
      <c r="B1133" s="2"/>
      <c r="C1133" s="46"/>
      <c r="D1133" s="46"/>
      <c r="E1133" s="46"/>
      <c r="F1133" s="2"/>
      <c r="G1133" s="46"/>
      <c r="H1133" s="2"/>
      <c r="I1133" s="2"/>
      <c r="J1133" s="2"/>
    </row>
    <row r="1134" spans="2:10" x14ac:dyDescent="0.2">
      <c r="B1134" s="2"/>
      <c r="C1134" s="46"/>
      <c r="D1134" s="46"/>
      <c r="E1134" s="46"/>
      <c r="F1134" s="6"/>
      <c r="G1134" s="46"/>
      <c r="H1134" s="2"/>
      <c r="I1134" s="2"/>
      <c r="J1134" s="2"/>
    </row>
    <row r="1135" spans="2:10" x14ac:dyDescent="0.2">
      <c r="B1135" s="2"/>
      <c r="C1135" s="46"/>
      <c r="D1135" s="46"/>
      <c r="E1135" s="46"/>
      <c r="F1135" s="6"/>
      <c r="G1135" s="46"/>
      <c r="H1135" s="2"/>
      <c r="I1135" s="2"/>
      <c r="J1135" s="2"/>
    </row>
    <row r="1136" spans="2:10" x14ac:dyDescent="0.2">
      <c r="B1136" s="2"/>
      <c r="C1136" s="46"/>
      <c r="D1136" s="46"/>
      <c r="E1136" s="46"/>
      <c r="F1136" s="6"/>
      <c r="G1136" s="46"/>
      <c r="H1136" s="2"/>
      <c r="I1136" s="2"/>
      <c r="J1136" s="2"/>
    </row>
    <row r="1137" spans="2:10" x14ac:dyDescent="0.2">
      <c r="B1137" s="2"/>
      <c r="C1137" s="46"/>
      <c r="D1137" s="46"/>
      <c r="E1137" s="46"/>
      <c r="F1137" s="2"/>
      <c r="G1137" s="46"/>
      <c r="H1137" s="2"/>
      <c r="I1137" s="2"/>
      <c r="J1137" s="2"/>
    </row>
    <row r="1138" spans="2:10" x14ac:dyDescent="0.2">
      <c r="B1138" s="2"/>
      <c r="C1138" s="46"/>
      <c r="D1138" s="46"/>
      <c r="E1138" s="46"/>
      <c r="F1138" s="2"/>
      <c r="G1138" s="46"/>
      <c r="H1138" s="2"/>
      <c r="I1138" s="2"/>
      <c r="J1138" s="2"/>
    </row>
    <row r="1139" spans="2:10" x14ac:dyDescent="0.2">
      <c r="B1139" s="2"/>
      <c r="C1139" s="46"/>
      <c r="D1139" s="46"/>
      <c r="E1139" s="46"/>
      <c r="F1139" s="6"/>
      <c r="G1139" s="46"/>
      <c r="H1139" s="2"/>
      <c r="I1139" s="2"/>
      <c r="J1139" s="2"/>
    </row>
    <row r="1140" spans="2:10" x14ac:dyDescent="0.2">
      <c r="B1140" s="2"/>
      <c r="C1140" s="46"/>
      <c r="D1140" s="46"/>
      <c r="E1140" s="46"/>
      <c r="F1140" s="6"/>
      <c r="G1140" s="46"/>
      <c r="H1140" s="2"/>
      <c r="I1140" s="2"/>
      <c r="J1140" s="2"/>
    </row>
    <row r="1141" spans="2:10" x14ac:dyDescent="0.2">
      <c r="B1141" s="2"/>
      <c r="C1141" s="46"/>
      <c r="D1141" s="46"/>
      <c r="E1141" s="46"/>
      <c r="F1141" s="6"/>
      <c r="G1141" s="46"/>
      <c r="H1141" s="2"/>
      <c r="I1141" s="2"/>
      <c r="J1141" s="2"/>
    </row>
    <row r="1142" spans="2:10" x14ac:dyDescent="0.2">
      <c r="B1142" s="2"/>
      <c r="C1142" s="46"/>
      <c r="D1142" s="46"/>
      <c r="E1142" s="46"/>
      <c r="F1142" s="2"/>
      <c r="G1142" s="46"/>
      <c r="H1142" s="2"/>
      <c r="I1142" s="2"/>
      <c r="J1142" s="2"/>
    </row>
    <row r="1143" spans="2:10" x14ac:dyDescent="0.2">
      <c r="B1143" s="2"/>
      <c r="C1143" s="46"/>
      <c r="D1143" s="46"/>
      <c r="E1143" s="46"/>
      <c r="F1143" s="2"/>
      <c r="G1143" s="46"/>
      <c r="H1143" s="2"/>
      <c r="I1143" s="2"/>
      <c r="J1143" s="2"/>
    </row>
    <row r="1144" spans="2:10" x14ac:dyDescent="0.2">
      <c r="B1144" s="2"/>
      <c r="C1144" s="46"/>
      <c r="D1144" s="46"/>
      <c r="E1144" s="46"/>
      <c r="F1144" s="2"/>
      <c r="G1144" s="46"/>
      <c r="H1144" s="2"/>
      <c r="I1144" s="2"/>
      <c r="J1144" s="2"/>
    </row>
    <row r="1145" spans="2:10" x14ac:dyDescent="0.2">
      <c r="B1145" s="2"/>
      <c r="C1145" s="46"/>
      <c r="D1145" s="46"/>
      <c r="E1145" s="46"/>
      <c r="F1145" s="2"/>
      <c r="G1145" s="46"/>
      <c r="H1145" s="2"/>
      <c r="I1145" s="2"/>
      <c r="J1145" s="2"/>
    </row>
    <row r="1146" spans="2:10" x14ac:dyDescent="0.2">
      <c r="B1146" s="2"/>
      <c r="C1146" s="46"/>
      <c r="D1146" s="46"/>
      <c r="E1146" s="46"/>
      <c r="F1146" s="6"/>
      <c r="G1146" s="46"/>
      <c r="H1146" s="2"/>
      <c r="I1146" s="2"/>
      <c r="J1146" s="2"/>
    </row>
    <row r="1147" spans="2:10" x14ac:dyDescent="0.2">
      <c r="B1147" s="2"/>
      <c r="C1147" s="46"/>
      <c r="D1147" s="46"/>
      <c r="E1147" s="46"/>
      <c r="F1147" s="2"/>
      <c r="G1147" s="46"/>
      <c r="H1147" s="2"/>
      <c r="I1147" s="2"/>
      <c r="J1147" s="2"/>
    </row>
    <row r="1148" spans="2:10" x14ac:dyDescent="0.2">
      <c r="B1148" s="2"/>
      <c r="C1148" s="46"/>
      <c r="D1148" s="46"/>
      <c r="E1148" s="46"/>
      <c r="F1148" s="2"/>
      <c r="G1148" s="46"/>
      <c r="H1148" s="2"/>
      <c r="I1148" s="2"/>
      <c r="J1148" s="2"/>
    </row>
    <row r="1149" spans="2:10" x14ac:dyDescent="0.2">
      <c r="B1149" s="2"/>
      <c r="C1149" s="46"/>
      <c r="D1149" s="46"/>
      <c r="E1149" s="46"/>
      <c r="F1149" s="2"/>
      <c r="G1149" s="46"/>
      <c r="H1149" s="2"/>
      <c r="I1149" s="2"/>
      <c r="J1149" s="2"/>
    </row>
    <row r="1150" spans="2:10" x14ac:dyDescent="0.2">
      <c r="B1150" s="2"/>
      <c r="C1150" s="46"/>
      <c r="D1150" s="46"/>
      <c r="E1150" s="46"/>
      <c r="F1150" s="2"/>
      <c r="G1150" s="46"/>
      <c r="H1150" s="2"/>
      <c r="I1150" s="2"/>
      <c r="J1150" s="2"/>
    </row>
    <row r="1151" spans="2:10" x14ac:dyDescent="0.2">
      <c r="B1151" s="2"/>
      <c r="C1151" s="46"/>
      <c r="D1151" s="46"/>
      <c r="E1151" s="46"/>
      <c r="F1151" s="2"/>
      <c r="G1151" s="46"/>
      <c r="H1151" s="2"/>
      <c r="I1151" s="2"/>
      <c r="J1151" s="2"/>
    </row>
    <row r="1152" spans="2:10" x14ac:dyDescent="0.2">
      <c r="B1152" s="2"/>
      <c r="C1152" s="46"/>
      <c r="D1152" s="46"/>
      <c r="E1152" s="46"/>
      <c r="F1152" s="6"/>
      <c r="G1152" s="46"/>
      <c r="H1152" s="2"/>
      <c r="I1152" s="2"/>
      <c r="J1152" s="2"/>
    </row>
    <row r="1153" spans="2:10" x14ac:dyDescent="0.2">
      <c r="B1153" s="2"/>
      <c r="C1153" s="46"/>
      <c r="D1153" s="46"/>
      <c r="E1153" s="46"/>
      <c r="F1153" s="2"/>
      <c r="G1153" s="46"/>
      <c r="H1153" s="2"/>
      <c r="I1153" s="2"/>
      <c r="J1153" s="2"/>
    </row>
    <row r="1154" spans="2:10" x14ac:dyDescent="0.2">
      <c r="B1154" s="2"/>
      <c r="C1154" s="46"/>
      <c r="D1154" s="46"/>
      <c r="E1154" s="46"/>
      <c r="F1154" s="2"/>
      <c r="G1154" s="46"/>
      <c r="H1154" s="2"/>
      <c r="I1154" s="2"/>
      <c r="J1154" s="2"/>
    </row>
    <row r="1155" spans="2:10" x14ac:dyDescent="0.2">
      <c r="B1155" s="2"/>
      <c r="C1155" s="46"/>
      <c r="D1155" s="46"/>
      <c r="E1155" s="46"/>
      <c r="F1155" s="6"/>
      <c r="G1155" s="46"/>
      <c r="H1155" s="2"/>
      <c r="I1155" s="2"/>
      <c r="J1155" s="2"/>
    </row>
    <row r="1156" spans="2:10" x14ac:dyDescent="0.2">
      <c r="B1156" s="2"/>
      <c r="C1156" s="46"/>
      <c r="D1156" s="46"/>
      <c r="E1156" s="46"/>
      <c r="F1156" s="2"/>
      <c r="G1156" s="46"/>
      <c r="H1156" s="2"/>
      <c r="I1156" s="2"/>
      <c r="J1156" s="2"/>
    </row>
    <row r="1157" spans="2:10" x14ac:dyDescent="0.2">
      <c r="B1157" s="2"/>
      <c r="C1157" s="46"/>
      <c r="D1157" s="46"/>
      <c r="E1157" s="46"/>
      <c r="F1157" s="2"/>
      <c r="G1157" s="46"/>
      <c r="H1157" s="2"/>
      <c r="I1157" s="2"/>
      <c r="J1157" s="2"/>
    </row>
    <row r="1158" spans="2:10" x14ac:dyDescent="0.2">
      <c r="B1158" s="2"/>
      <c r="C1158" s="46"/>
      <c r="D1158" s="46"/>
      <c r="E1158" s="46"/>
      <c r="F1158" s="2"/>
      <c r="G1158" s="46"/>
      <c r="H1158" s="2"/>
      <c r="I1158" s="2"/>
      <c r="J1158" s="2"/>
    </row>
    <row r="1159" spans="2:10" x14ac:dyDescent="0.2">
      <c r="B1159" s="2"/>
      <c r="C1159" s="46"/>
      <c r="D1159" s="46"/>
      <c r="E1159" s="46"/>
      <c r="F1159" s="2"/>
      <c r="G1159" s="46"/>
      <c r="H1159" s="2"/>
      <c r="I1159" s="2"/>
      <c r="J1159" s="2"/>
    </row>
    <row r="1160" spans="2:10" x14ac:dyDescent="0.2">
      <c r="B1160" s="2"/>
      <c r="C1160" s="46"/>
      <c r="D1160" s="46"/>
      <c r="E1160" s="46"/>
      <c r="F1160" s="6"/>
      <c r="G1160" s="46"/>
      <c r="H1160" s="2"/>
      <c r="I1160" s="2"/>
      <c r="J1160" s="2"/>
    </row>
    <row r="1161" spans="2:10" x14ac:dyDescent="0.2">
      <c r="B1161" s="2"/>
      <c r="C1161" s="46"/>
      <c r="D1161" s="46"/>
      <c r="E1161" s="46"/>
      <c r="F1161" s="2"/>
      <c r="G1161" s="46"/>
      <c r="H1161" s="2"/>
      <c r="I1161" s="2"/>
      <c r="J1161" s="2"/>
    </row>
    <row r="1162" spans="2:10" x14ac:dyDescent="0.2">
      <c r="B1162" s="2"/>
      <c r="C1162" s="46"/>
      <c r="D1162" s="46"/>
      <c r="E1162" s="46"/>
      <c r="F1162" s="2"/>
      <c r="G1162" s="46"/>
      <c r="H1162" s="2"/>
      <c r="I1162" s="2"/>
      <c r="J1162" s="2"/>
    </row>
    <row r="1163" spans="2:10" x14ac:dyDescent="0.2">
      <c r="B1163" s="2"/>
      <c r="C1163" s="46"/>
      <c r="D1163" s="46"/>
      <c r="E1163" s="46"/>
      <c r="F1163" s="2"/>
      <c r="G1163" s="46"/>
      <c r="H1163" s="2"/>
      <c r="I1163" s="2"/>
      <c r="J1163" s="2"/>
    </row>
    <row r="1164" spans="2:10" x14ac:dyDescent="0.2">
      <c r="B1164" s="2"/>
      <c r="C1164" s="46"/>
      <c r="D1164" s="46"/>
      <c r="E1164" s="46"/>
      <c r="F1164" s="2"/>
      <c r="G1164" s="46"/>
      <c r="H1164" s="2"/>
      <c r="I1164" s="2"/>
      <c r="J1164" s="2"/>
    </row>
    <row r="1165" spans="2:10" x14ac:dyDescent="0.2">
      <c r="B1165" s="2"/>
      <c r="C1165" s="46"/>
      <c r="D1165" s="46"/>
      <c r="E1165" s="46"/>
      <c r="F1165" s="2"/>
      <c r="G1165" s="46"/>
      <c r="H1165" s="2"/>
      <c r="I1165" s="2"/>
      <c r="J1165" s="2"/>
    </row>
    <row r="1166" spans="2:10" x14ac:dyDescent="0.2">
      <c r="B1166" s="2"/>
      <c r="C1166" s="46"/>
      <c r="D1166" s="46"/>
      <c r="E1166" s="46"/>
      <c r="F1166" s="6"/>
      <c r="G1166" s="46"/>
      <c r="H1166" s="2"/>
      <c r="I1166" s="2"/>
      <c r="J1166" s="2"/>
    </row>
    <row r="1167" spans="2:10" x14ac:dyDescent="0.2">
      <c r="B1167" s="2"/>
      <c r="C1167" s="46"/>
      <c r="D1167" s="46"/>
      <c r="E1167" s="46"/>
      <c r="F1167" s="2"/>
      <c r="G1167" s="46"/>
      <c r="H1167" s="2"/>
      <c r="I1167" s="2"/>
      <c r="J1167" s="2"/>
    </row>
    <row r="1168" spans="2:10" x14ac:dyDescent="0.2">
      <c r="B1168" s="2"/>
      <c r="C1168" s="46"/>
      <c r="D1168" s="46"/>
      <c r="E1168" s="46"/>
      <c r="F1168" s="2"/>
      <c r="G1168" s="46"/>
      <c r="H1168" s="2"/>
      <c r="I1168" s="2"/>
      <c r="J1168" s="2"/>
    </row>
    <row r="1169" spans="2:10" x14ac:dyDescent="0.2">
      <c r="B1169" s="2"/>
      <c r="C1169" s="46"/>
      <c r="D1169" s="46"/>
      <c r="E1169" s="46"/>
      <c r="F1169" s="2"/>
      <c r="G1169" s="46"/>
      <c r="H1169" s="2"/>
      <c r="I1169" s="2"/>
      <c r="J1169" s="2"/>
    </row>
    <row r="1170" spans="2:10" x14ac:dyDescent="0.2">
      <c r="B1170" s="2"/>
      <c r="C1170" s="46"/>
      <c r="D1170" s="46"/>
      <c r="E1170" s="46"/>
      <c r="F1170" s="2"/>
      <c r="G1170" s="46"/>
      <c r="H1170" s="2"/>
      <c r="I1170" s="2"/>
      <c r="J1170" s="2"/>
    </row>
    <row r="1171" spans="2:10" x14ac:dyDescent="0.2">
      <c r="B1171" s="2"/>
      <c r="C1171" s="46"/>
      <c r="D1171" s="46"/>
      <c r="E1171" s="46"/>
      <c r="F1171" s="2"/>
      <c r="G1171" s="46"/>
      <c r="H1171" s="2"/>
      <c r="I1171" s="2"/>
      <c r="J1171" s="2"/>
    </row>
    <row r="1172" spans="2:10" x14ac:dyDescent="0.2">
      <c r="B1172" s="2"/>
      <c r="C1172" s="46"/>
      <c r="D1172" s="46"/>
      <c r="E1172" s="46"/>
      <c r="F1172" s="2"/>
      <c r="G1172" s="46"/>
      <c r="H1172" s="2"/>
      <c r="I1172" s="2"/>
      <c r="J1172" s="2"/>
    </row>
    <row r="1173" spans="2:10" x14ac:dyDescent="0.2">
      <c r="B1173" s="2"/>
      <c r="C1173" s="46"/>
      <c r="D1173" s="46"/>
      <c r="E1173" s="46"/>
      <c r="F1173" s="2"/>
      <c r="G1173" s="46"/>
      <c r="H1173" s="2"/>
      <c r="I1173" s="2"/>
      <c r="J1173" s="2"/>
    </row>
    <row r="1174" spans="2:10" x14ac:dyDescent="0.2">
      <c r="B1174" s="2"/>
      <c r="C1174" s="46"/>
      <c r="D1174" s="46"/>
      <c r="E1174" s="46"/>
      <c r="F1174" s="6"/>
      <c r="G1174" s="46"/>
      <c r="H1174" s="2"/>
      <c r="I1174" s="2"/>
      <c r="J1174" s="2"/>
    </row>
    <row r="1175" spans="2:10" x14ac:dyDescent="0.2">
      <c r="B1175" s="2"/>
      <c r="C1175" s="46"/>
      <c r="D1175" s="46"/>
      <c r="E1175" s="46"/>
      <c r="F1175" s="2"/>
      <c r="G1175" s="46"/>
      <c r="H1175" s="2"/>
      <c r="I1175" s="2"/>
      <c r="J1175" s="2"/>
    </row>
    <row r="1176" spans="2:10" x14ac:dyDescent="0.2">
      <c r="B1176" s="2"/>
      <c r="C1176" s="46"/>
      <c r="D1176" s="46"/>
      <c r="E1176" s="46"/>
      <c r="F1176" s="6"/>
      <c r="G1176" s="46"/>
      <c r="H1176" s="2"/>
      <c r="I1176" s="2"/>
      <c r="J1176" s="2"/>
    </row>
    <row r="1177" spans="2:10" x14ac:dyDescent="0.2">
      <c r="B1177" s="2"/>
      <c r="C1177" s="46"/>
      <c r="D1177" s="46"/>
      <c r="E1177" s="46"/>
      <c r="F1177" s="2"/>
      <c r="G1177" s="46"/>
      <c r="H1177" s="2"/>
      <c r="I1177" s="2"/>
      <c r="J1177" s="2"/>
    </row>
    <row r="1178" spans="2:10" x14ac:dyDescent="0.2">
      <c r="B1178" s="2"/>
      <c r="C1178" s="46"/>
      <c r="D1178" s="46"/>
      <c r="E1178" s="46"/>
      <c r="F1178" s="2"/>
      <c r="G1178" s="46"/>
      <c r="H1178" s="2"/>
      <c r="I1178" s="2"/>
      <c r="J1178" s="2"/>
    </row>
    <row r="1179" spans="2:10" x14ac:dyDescent="0.2">
      <c r="B1179" s="2"/>
      <c r="C1179" s="46"/>
      <c r="D1179" s="46"/>
      <c r="E1179" s="46"/>
      <c r="F1179" s="6"/>
      <c r="G1179" s="46"/>
      <c r="H1179" s="2"/>
      <c r="I1179" s="2"/>
      <c r="J1179" s="2"/>
    </row>
    <row r="1180" spans="2:10" x14ac:dyDescent="0.2">
      <c r="B1180" s="2"/>
      <c r="C1180" s="46"/>
      <c r="D1180" s="46"/>
      <c r="E1180" s="46"/>
      <c r="F1180" s="2"/>
      <c r="G1180" s="46"/>
      <c r="H1180" s="2"/>
      <c r="I1180" s="2"/>
      <c r="J1180" s="2"/>
    </row>
    <row r="1181" spans="2:10" x14ac:dyDescent="0.2">
      <c r="B1181" s="2"/>
      <c r="C1181" s="46"/>
      <c r="D1181" s="46"/>
      <c r="E1181" s="46"/>
      <c r="F1181" s="6"/>
      <c r="G1181" s="46"/>
      <c r="H1181" s="2"/>
      <c r="I1181" s="2"/>
      <c r="J1181" s="2"/>
    </row>
    <row r="1182" spans="2:10" x14ac:dyDescent="0.2">
      <c r="B1182" s="2"/>
      <c r="C1182" s="46"/>
      <c r="D1182" s="46"/>
      <c r="E1182" s="46"/>
      <c r="F1182" s="2"/>
      <c r="G1182" s="46"/>
      <c r="H1182" s="2"/>
      <c r="I1182" s="2"/>
      <c r="J1182" s="2"/>
    </row>
    <row r="1183" spans="2:10" x14ac:dyDescent="0.2">
      <c r="B1183" s="2"/>
      <c r="C1183" s="46"/>
      <c r="D1183" s="46"/>
      <c r="E1183" s="46"/>
      <c r="F1183" s="2"/>
      <c r="G1183" s="46"/>
      <c r="H1183" s="2"/>
      <c r="I1183" s="2"/>
      <c r="J1183" s="2"/>
    </row>
    <row r="1184" spans="2:10" x14ac:dyDescent="0.2">
      <c r="B1184" s="2"/>
      <c r="C1184" s="46"/>
      <c r="D1184" s="46"/>
      <c r="E1184" s="46"/>
      <c r="F1184" s="6"/>
      <c r="G1184" s="46"/>
      <c r="H1184" s="2"/>
      <c r="I1184" s="2"/>
      <c r="J1184" s="2"/>
    </row>
    <row r="1185" spans="2:10" x14ac:dyDescent="0.2">
      <c r="B1185" s="2"/>
      <c r="C1185" s="46"/>
      <c r="D1185" s="46"/>
      <c r="E1185" s="46"/>
      <c r="F1185" s="2"/>
      <c r="G1185" s="46"/>
      <c r="H1185" s="2"/>
      <c r="I1185" s="2"/>
      <c r="J1185" s="2"/>
    </row>
    <row r="1186" spans="2:10" x14ac:dyDescent="0.2">
      <c r="B1186" s="2"/>
      <c r="C1186" s="46"/>
      <c r="D1186" s="46"/>
      <c r="E1186" s="46"/>
      <c r="F1186" s="2"/>
      <c r="G1186" s="46"/>
      <c r="H1186" s="2"/>
      <c r="I1186" s="2"/>
      <c r="J1186" s="2"/>
    </row>
    <row r="1187" spans="2:10" x14ac:dyDescent="0.2">
      <c r="B1187" s="2"/>
      <c r="C1187" s="46"/>
      <c r="D1187" s="46"/>
      <c r="E1187" s="46"/>
      <c r="F1187" s="2"/>
      <c r="G1187" s="46"/>
      <c r="H1187" s="2"/>
      <c r="I1187" s="2"/>
      <c r="J1187" s="2"/>
    </row>
    <row r="1188" spans="2:10" x14ac:dyDescent="0.2">
      <c r="B1188" s="2"/>
      <c r="C1188" s="46"/>
      <c r="D1188" s="46"/>
      <c r="E1188" s="46"/>
      <c r="F1188" s="2"/>
      <c r="G1188" s="46"/>
      <c r="H1188" s="2"/>
      <c r="I1188" s="2"/>
      <c r="J1188" s="2"/>
    </row>
    <row r="1189" spans="2:10" x14ac:dyDescent="0.2">
      <c r="B1189" s="2"/>
      <c r="C1189" s="46"/>
      <c r="D1189" s="46"/>
      <c r="E1189" s="46"/>
      <c r="F1189" s="6"/>
      <c r="G1189" s="46"/>
      <c r="H1189" s="2"/>
      <c r="I1189" s="2"/>
      <c r="J1189" s="2"/>
    </row>
    <row r="1190" spans="2:10" x14ac:dyDescent="0.2">
      <c r="B1190" s="2"/>
      <c r="C1190" s="46"/>
      <c r="D1190" s="46"/>
      <c r="E1190" s="46"/>
      <c r="F1190" s="6"/>
      <c r="G1190" s="46"/>
      <c r="H1190" s="2"/>
      <c r="I1190" s="2"/>
      <c r="J1190" s="2"/>
    </row>
    <row r="1191" spans="2:10" x14ac:dyDescent="0.2">
      <c r="B1191" s="2"/>
      <c r="C1191" s="46"/>
      <c r="D1191" s="46"/>
      <c r="E1191" s="46"/>
      <c r="F1191" s="2"/>
      <c r="G1191" s="46"/>
      <c r="H1191" s="2"/>
      <c r="I1191" s="2"/>
      <c r="J1191" s="2"/>
    </row>
    <row r="1192" spans="2:10" x14ac:dyDescent="0.2">
      <c r="B1192" s="2"/>
      <c r="C1192" s="46"/>
      <c r="D1192" s="46"/>
      <c r="E1192" s="46"/>
      <c r="F1192" s="6"/>
      <c r="G1192" s="46"/>
      <c r="H1192" s="2"/>
      <c r="I1192" s="2"/>
      <c r="J1192" s="2"/>
    </row>
    <row r="1193" spans="2:10" x14ac:dyDescent="0.2">
      <c r="B1193" s="2"/>
      <c r="C1193" s="46"/>
      <c r="D1193" s="46"/>
      <c r="E1193" s="46"/>
      <c r="F1193" s="2"/>
      <c r="G1193" s="46"/>
      <c r="H1193" s="2"/>
      <c r="I1193" s="2"/>
      <c r="J1193" s="2"/>
    </row>
    <row r="1194" spans="2:10" x14ac:dyDescent="0.2">
      <c r="B1194" s="2"/>
      <c r="C1194" s="46"/>
      <c r="D1194" s="46"/>
      <c r="E1194" s="46"/>
      <c r="F1194" s="2"/>
      <c r="G1194" s="46"/>
      <c r="H1194" s="2"/>
      <c r="I1194" s="2"/>
      <c r="J1194" s="2"/>
    </row>
    <row r="1195" spans="2:10" x14ac:dyDescent="0.2">
      <c r="B1195" s="2"/>
      <c r="C1195" s="46"/>
      <c r="D1195" s="46"/>
      <c r="E1195" s="46"/>
      <c r="F1195" s="2"/>
      <c r="G1195" s="46"/>
      <c r="H1195" s="2"/>
      <c r="I1195" s="2"/>
      <c r="J1195" s="2"/>
    </row>
    <row r="1196" spans="2:10" x14ac:dyDescent="0.2">
      <c r="B1196" s="2"/>
      <c r="C1196" s="46"/>
      <c r="D1196" s="46"/>
      <c r="E1196" s="46"/>
      <c r="F1196" s="6"/>
      <c r="G1196" s="46"/>
      <c r="H1196" s="2"/>
      <c r="I1196" s="2"/>
      <c r="J1196" s="2"/>
    </row>
    <row r="1197" spans="2:10" x14ac:dyDescent="0.2">
      <c r="B1197" s="2"/>
      <c r="C1197" s="46"/>
      <c r="D1197" s="46"/>
      <c r="E1197" s="46"/>
      <c r="F1197" s="6"/>
      <c r="G1197" s="46"/>
      <c r="H1197" s="2"/>
      <c r="I1197" s="2"/>
      <c r="J1197" s="2"/>
    </row>
    <row r="1198" spans="2:10" x14ac:dyDescent="0.2">
      <c r="B1198" s="2"/>
      <c r="C1198" s="46"/>
      <c r="D1198" s="46"/>
      <c r="E1198" s="46"/>
      <c r="F1198" s="6"/>
      <c r="G1198" s="46"/>
      <c r="H1198" s="2"/>
      <c r="I1198" s="2"/>
      <c r="J1198" s="2"/>
    </row>
    <row r="1199" spans="2:10" x14ac:dyDescent="0.2">
      <c r="B1199" s="2"/>
      <c r="C1199" s="46"/>
      <c r="D1199" s="46"/>
      <c r="E1199" s="46"/>
      <c r="F1199" s="2"/>
      <c r="G1199" s="46"/>
      <c r="H1199" s="2"/>
      <c r="I1199" s="2"/>
      <c r="J1199" s="2"/>
    </row>
    <row r="1200" spans="2:10" x14ac:dyDescent="0.2">
      <c r="B1200" s="2"/>
      <c r="C1200" s="46"/>
      <c r="D1200" s="46"/>
      <c r="E1200" s="46"/>
      <c r="F1200" s="6"/>
      <c r="G1200" s="46"/>
      <c r="H1200" s="2"/>
      <c r="I1200" s="2"/>
      <c r="J1200" s="2"/>
    </row>
    <row r="1201" spans="2:10" x14ac:dyDescent="0.2">
      <c r="B1201" s="2"/>
      <c r="C1201" s="46"/>
      <c r="D1201" s="46"/>
      <c r="E1201" s="46"/>
      <c r="F1201" s="2"/>
      <c r="G1201" s="46"/>
      <c r="H1201" s="2"/>
      <c r="I1201" s="2"/>
      <c r="J1201" s="2"/>
    </row>
    <row r="1202" spans="2:10" x14ac:dyDescent="0.2">
      <c r="B1202" s="2"/>
      <c r="C1202" s="46"/>
      <c r="D1202" s="46"/>
      <c r="E1202" s="46"/>
      <c r="F1202" s="6"/>
      <c r="G1202" s="46"/>
      <c r="H1202" s="2"/>
      <c r="I1202" s="2"/>
      <c r="J1202" s="2"/>
    </row>
    <row r="1203" spans="2:10" x14ac:dyDescent="0.2">
      <c r="B1203" s="2"/>
      <c r="C1203" s="46"/>
      <c r="D1203" s="46"/>
      <c r="E1203" s="46"/>
      <c r="F1203" s="6"/>
      <c r="G1203" s="46"/>
      <c r="H1203" s="2"/>
      <c r="I1203" s="2"/>
      <c r="J1203" s="2"/>
    </row>
    <row r="1204" spans="2:10" x14ac:dyDescent="0.2">
      <c r="B1204" s="2"/>
      <c r="C1204" s="46"/>
      <c r="D1204" s="46"/>
      <c r="E1204" s="46"/>
      <c r="F1204" s="6"/>
      <c r="G1204" s="46"/>
      <c r="H1204" s="2"/>
      <c r="I1204" s="2"/>
      <c r="J1204" s="2"/>
    </row>
    <row r="1205" spans="2:10" x14ac:dyDescent="0.2">
      <c r="B1205" s="2"/>
      <c r="C1205" s="46"/>
      <c r="D1205" s="46"/>
      <c r="E1205" s="46"/>
      <c r="F1205" s="6"/>
      <c r="G1205" s="46"/>
      <c r="H1205" s="2"/>
      <c r="I1205" s="2"/>
      <c r="J1205" s="2"/>
    </row>
    <row r="1206" spans="2:10" x14ac:dyDescent="0.2">
      <c r="B1206" s="2"/>
      <c r="C1206" s="46"/>
      <c r="D1206" s="46"/>
      <c r="E1206" s="46"/>
      <c r="F1206" s="2"/>
      <c r="G1206" s="46"/>
      <c r="H1206" s="2"/>
      <c r="I1206" s="2"/>
      <c r="J1206" s="2"/>
    </row>
    <row r="1207" spans="2:10" x14ac:dyDescent="0.2">
      <c r="B1207" s="2"/>
      <c r="C1207" s="46"/>
      <c r="D1207" s="46"/>
      <c r="E1207" s="46"/>
      <c r="F1207" s="2"/>
      <c r="G1207" s="46"/>
      <c r="H1207" s="2"/>
      <c r="I1207" s="2"/>
      <c r="J1207" s="2"/>
    </row>
    <row r="1208" spans="2:10" x14ac:dyDescent="0.2">
      <c r="B1208" s="2"/>
      <c r="C1208" s="46"/>
      <c r="D1208" s="46"/>
      <c r="E1208" s="46"/>
      <c r="F1208" s="6"/>
      <c r="G1208" s="46"/>
      <c r="H1208" s="2"/>
      <c r="I1208" s="2"/>
      <c r="J1208" s="2"/>
    </row>
    <row r="1209" spans="2:10" x14ac:dyDescent="0.2">
      <c r="B1209" s="2"/>
      <c r="C1209" s="46"/>
      <c r="D1209" s="46"/>
      <c r="E1209" s="46"/>
      <c r="F1209" s="2"/>
      <c r="G1209" s="46"/>
      <c r="H1209" s="2"/>
      <c r="I1209" s="2"/>
      <c r="J1209" s="2"/>
    </row>
    <row r="1210" spans="2:10" x14ac:dyDescent="0.2">
      <c r="B1210" s="2"/>
      <c r="C1210" s="46"/>
      <c r="D1210" s="46"/>
      <c r="E1210" s="46"/>
      <c r="F1210" s="6"/>
      <c r="G1210" s="46"/>
      <c r="H1210" s="2"/>
      <c r="I1210" s="2"/>
      <c r="J1210" s="2"/>
    </row>
    <row r="1211" spans="2:10" x14ac:dyDescent="0.2">
      <c r="B1211" s="2"/>
      <c r="C1211" s="46"/>
      <c r="D1211" s="46"/>
      <c r="E1211" s="46"/>
      <c r="F1211" s="6"/>
      <c r="G1211" s="46"/>
      <c r="H1211" s="2"/>
      <c r="I1211" s="2"/>
      <c r="J1211" s="2"/>
    </row>
    <row r="1212" spans="2:10" x14ac:dyDescent="0.2">
      <c r="B1212" s="2"/>
      <c r="C1212" s="46"/>
      <c r="D1212" s="46"/>
      <c r="E1212" s="46"/>
      <c r="F1212" s="2"/>
      <c r="G1212" s="46"/>
      <c r="H1212" s="2"/>
      <c r="I1212" s="2"/>
      <c r="J1212" s="2"/>
    </row>
    <row r="1213" spans="2:10" x14ac:dyDescent="0.2">
      <c r="B1213" s="2"/>
      <c r="C1213" s="46"/>
      <c r="D1213" s="46"/>
      <c r="E1213" s="46"/>
      <c r="F1213" s="6"/>
      <c r="G1213" s="46"/>
      <c r="H1213" s="2"/>
      <c r="I1213" s="2"/>
      <c r="J1213" s="2"/>
    </row>
    <row r="1214" spans="2:10" x14ac:dyDescent="0.2">
      <c r="B1214" s="2"/>
      <c r="C1214" s="46"/>
      <c r="D1214" s="46"/>
      <c r="E1214" s="46"/>
      <c r="F1214" s="2"/>
      <c r="G1214" s="46"/>
      <c r="H1214" s="2"/>
      <c r="I1214" s="2"/>
      <c r="J1214" s="2"/>
    </row>
    <row r="1215" spans="2:10" x14ac:dyDescent="0.2">
      <c r="B1215" s="2"/>
      <c r="C1215" s="46"/>
      <c r="D1215" s="46"/>
      <c r="E1215" s="46"/>
      <c r="F1215" s="2"/>
      <c r="G1215" s="46"/>
      <c r="H1215" s="2"/>
      <c r="I1215" s="2"/>
      <c r="J1215" s="2"/>
    </row>
    <row r="1216" spans="2:10" x14ac:dyDescent="0.2">
      <c r="B1216" s="2"/>
      <c r="C1216" s="46"/>
      <c r="D1216" s="46"/>
      <c r="E1216" s="46"/>
      <c r="F1216" s="2"/>
      <c r="G1216" s="46"/>
      <c r="H1216" s="2"/>
      <c r="I1216" s="2"/>
      <c r="J1216" s="2"/>
    </row>
    <row r="1217" spans="2:10" x14ac:dyDescent="0.2">
      <c r="B1217" s="2"/>
      <c r="C1217" s="46"/>
      <c r="D1217" s="46"/>
      <c r="E1217" s="46"/>
      <c r="F1217" s="6"/>
      <c r="G1217" s="46"/>
      <c r="H1217" s="2"/>
      <c r="I1217" s="2"/>
      <c r="J1217" s="2"/>
    </row>
    <row r="1218" spans="2:10" x14ac:dyDescent="0.2">
      <c r="B1218" s="2"/>
      <c r="C1218" s="46"/>
      <c r="D1218" s="46"/>
      <c r="E1218" s="46"/>
      <c r="F1218" s="6"/>
      <c r="G1218" s="46"/>
      <c r="H1218" s="2"/>
      <c r="I1218" s="2"/>
      <c r="J1218" s="2"/>
    </row>
    <row r="1219" spans="2:10" x14ac:dyDescent="0.2">
      <c r="B1219" s="2"/>
      <c r="C1219" s="46"/>
      <c r="D1219" s="46"/>
      <c r="E1219" s="46"/>
      <c r="F1219" s="2"/>
      <c r="G1219" s="46"/>
      <c r="H1219" s="2"/>
      <c r="I1219" s="2"/>
      <c r="J1219" s="2"/>
    </row>
    <row r="1220" spans="2:10" x14ac:dyDescent="0.2">
      <c r="B1220" s="2"/>
      <c r="C1220" s="46"/>
      <c r="D1220" s="46"/>
      <c r="E1220" s="46"/>
      <c r="F1220" s="2"/>
      <c r="G1220" s="46"/>
      <c r="H1220" s="2"/>
      <c r="I1220" s="2"/>
      <c r="J1220" s="2"/>
    </row>
    <row r="1221" spans="2:10" x14ac:dyDescent="0.2">
      <c r="B1221" s="2"/>
      <c r="C1221" s="46"/>
      <c r="D1221" s="46"/>
      <c r="E1221" s="46"/>
      <c r="F1221" s="2"/>
      <c r="G1221" s="46"/>
      <c r="H1221" s="2"/>
      <c r="I1221" s="2"/>
      <c r="J1221" s="2"/>
    </row>
    <row r="1222" spans="2:10" x14ac:dyDescent="0.2">
      <c r="B1222" s="2"/>
      <c r="C1222" s="46"/>
      <c r="D1222" s="46"/>
      <c r="E1222" s="46"/>
      <c r="F1222" s="2"/>
      <c r="G1222" s="46"/>
      <c r="H1222" s="2"/>
      <c r="I1222" s="2"/>
      <c r="J1222" s="2"/>
    </row>
    <row r="1223" spans="2:10" x14ac:dyDescent="0.2">
      <c r="B1223" s="2"/>
      <c r="C1223" s="46"/>
      <c r="D1223" s="46"/>
      <c r="E1223" s="46"/>
      <c r="F1223" s="6"/>
      <c r="G1223" s="46"/>
      <c r="H1223" s="2"/>
      <c r="I1223" s="2"/>
      <c r="J1223" s="2"/>
    </row>
    <row r="1224" spans="2:10" x14ac:dyDescent="0.2">
      <c r="B1224" s="2"/>
      <c r="C1224" s="46"/>
      <c r="D1224" s="46"/>
      <c r="E1224" s="46"/>
      <c r="F1224" s="6"/>
      <c r="G1224" s="46"/>
      <c r="H1224" s="2"/>
      <c r="I1224" s="2"/>
      <c r="J1224" s="2"/>
    </row>
    <row r="1225" spans="2:10" x14ac:dyDescent="0.2">
      <c r="B1225" s="2"/>
      <c r="C1225" s="46"/>
      <c r="D1225" s="46"/>
      <c r="E1225" s="46"/>
      <c r="F1225" s="2"/>
      <c r="G1225" s="46"/>
      <c r="H1225" s="2"/>
      <c r="I1225" s="2"/>
      <c r="J1225" s="2"/>
    </row>
    <row r="1226" spans="2:10" x14ac:dyDescent="0.2">
      <c r="B1226" s="2"/>
      <c r="C1226" s="46"/>
      <c r="D1226" s="46"/>
      <c r="E1226" s="46"/>
      <c r="F1226" s="2"/>
      <c r="G1226" s="46"/>
      <c r="H1226" s="2"/>
      <c r="I1226" s="2"/>
      <c r="J1226" s="2"/>
    </row>
    <row r="1227" spans="2:10" x14ac:dyDescent="0.2">
      <c r="B1227" s="2"/>
      <c r="C1227" s="46"/>
      <c r="D1227" s="46"/>
      <c r="E1227" s="46"/>
      <c r="F1227" s="6"/>
      <c r="G1227" s="46"/>
      <c r="H1227" s="2"/>
      <c r="I1227" s="2"/>
      <c r="J1227" s="2"/>
    </row>
    <row r="1228" spans="2:10" x14ac:dyDescent="0.2">
      <c r="B1228" s="2"/>
      <c r="C1228" s="46"/>
      <c r="D1228" s="46"/>
      <c r="E1228" s="46"/>
      <c r="F1228" s="2"/>
      <c r="G1228" s="46"/>
      <c r="H1228" s="2"/>
      <c r="I1228" s="2"/>
      <c r="J1228" s="2"/>
    </row>
    <row r="1229" spans="2:10" x14ac:dyDescent="0.2">
      <c r="B1229" s="2"/>
      <c r="C1229" s="46"/>
      <c r="D1229" s="46"/>
      <c r="E1229" s="46"/>
      <c r="F1229" s="6"/>
      <c r="G1229" s="46"/>
      <c r="H1229" s="2"/>
      <c r="I1229" s="2"/>
      <c r="J1229" s="2"/>
    </row>
    <row r="1230" spans="2:10" x14ac:dyDescent="0.2">
      <c r="B1230" s="2"/>
      <c r="C1230" s="46"/>
      <c r="D1230" s="46"/>
      <c r="E1230" s="46"/>
      <c r="F1230" s="2"/>
      <c r="G1230" s="46"/>
      <c r="H1230" s="2"/>
      <c r="I1230" s="2"/>
      <c r="J1230" s="2"/>
    </row>
    <row r="1231" spans="2:10" x14ac:dyDescent="0.2">
      <c r="B1231" s="2"/>
      <c r="C1231" s="46"/>
      <c r="D1231" s="46"/>
      <c r="E1231" s="46"/>
      <c r="F1231" s="2"/>
      <c r="G1231" s="46"/>
      <c r="H1231" s="2"/>
      <c r="I1231" s="2"/>
      <c r="J1231" s="2"/>
    </row>
    <row r="1232" spans="2:10" x14ac:dyDescent="0.2">
      <c r="B1232" s="2"/>
      <c r="C1232" s="46"/>
      <c r="D1232" s="46"/>
      <c r="E1232" s="46"/>
      <c r="F1232" s="6"/>
      <c r="G1232" s="46"/>
      <c r="H1232" s="2"/>
      <c r="I1232" s="2"/>
      <c r="J1232" s="2"/>
    </row>
    <row r="1233" spans="2:10" x14ac:dyDescent="0.2">
      <c r="B1233" s="2"/>
      <c r="C1233" s="46"/>
      <c r="D1233" s="46"/>
      <c r="E1233" s="46"/>
      <c r="F1233" s="6"/>
      <c r="G1233" s="46"/>
      <c r="H1233" s="2"/>
      <c r="I1233" s="2"/>
      <c r="J1233" s="2"/>
    </row>
    <row r="1234" spans="2:10" x14ac:dyDescent="0.2">
      <c r="B1234" s="2"/>
      <c r="C1234" s="46"/>
      <c r="D1234" s="46"/>
      <c r="E1234" s="46"/>
      <c r="F1234" s="2"/>
      <c r="G1234" s="46"/>
      <c r="H1234" s="2"/>
      <c r="I1234" s="2"/>
      <c r="J1234" s="2"/>
    </row>
    <row r="1235" spans="2:10" x14ac:dyDescent="0.2">
      <c r="B1235" s="2"/>
      <c r="C1235" s="46"/>
      <c r="D1235" s="46"/>
      <c r="E1235" s="46"/>
      <c r="F1235" s="2"/>
      <c r="G1235" s="46"/>
      <c r="H1235" s="2"/>
      <c r="I1235" s="2"/>
      <c r="J1235" s="2"/>
    </row>
    <row r="1236" spans="2:10" x14ac:dyDescent="0.2">
      <c r="B1236" s="2"/>
      <c r="C1236" s="46"/>
      <c r="D1236" s="46"/>
      <c r="E1236" s="46"/>
      <c r="F1236" s="2"/>
      <c r="G1236" s="46"/>
      <c r="H1236" s="2"/>
      <c r="I1236" s="2"/>
      <c r="J1236" s="2"/>
    </row>
    <row r="1237" spans="2:10" x14ac:dyDescent="0.2">
      <c r="B1237" s="2"/>
      <c r="C1237" s="46"/>
      <c r="D1237" s="46"/>
      <c r="E1237" s="46"/>
      <c r="F1237" s="2"/>
      <c r="G1237" s="46"/>
      <c r="H1237" s="2"/>
      <c r="I1237" s="2"/>
      <c r="J1237" s="2"/>
    </row>
    <row r="1238" spans="2:10" x14ac:dyDescent="0.2">
      <c r="B1238" s="2"/>
      <c r="C1238" s="46"/>
      <c r="D1238" s="46"/>
      <c r="E1238" s="46"/>
      <c r="F1238" s="2"/>
      <c r="G1238" s="46"/>
      <c r="H1238" s="2"/>
      <c r="I1238" s="2"/>
      <c r="J1238" s="2"/>
    </row>
    <row r="1239" spans="2:10" x14ac:dyDescent="0.2">
      <c r="B1239" s="2"/>
      <c r="C1239" s="46"/>
      <c r="D1239" s="46"/>
      <c r="E1239" s="46"/>
      <c r="F1239" s="6"/>
      <c r="G1239" s="46"/>
      <c r="H1239" s="2"/>
      <c r="I1239" s="2"/>
      <c r="J1239" s="2"/>
    </row>
    <row r="1240" spans="2:10" x14ac:dyDescent="0.2">
      <c r="B1240" s="2"/>
      <c r="C1240" s="46"/>
      <c r="D1240" s="46"/>
      <c r="E1240" s="46"/>
      <c r="F1240" s="2"/>
      <c r="G1240" s="46"/>
      <c r="H1240" s="2"/>
      <c r="I1240" s="2"/>
      <c r="J1240" s="2"/>
    </row>
    <row r="1241" spans="2:10" x14ac:dyDescent="0.2">
      <c r="B1241" s="2"/>
      <c r="C1241" s="46"/>
      <c r="D1241" s="46"/>
      <c r="E1241" s="46"/>
      <c r="F1241" s="6"/>
      <c r="G1241" s="46"/>
      <c r="H1241" s="2"/>
      <c r="I1241" s="2"/>
      <c r="J1241" s="2"/>
    </row>
    <row r="1242" spans="2:10" x14ac:dyDescent="0.2">
      <c r="B1242" s="2"/>
      <c r="C1242" s="46"/>
      <c r="D1242" s="46"/>
      <c r="E1242" s="46"/>
      <c r="F1242" s="6"/>
      <c r="G1242" s="46"/>
      <c r="H1242" s="2"/>
      <c r="I1242" s="2"/>
      <c r="J1242" s="2"/>
    </row>
    <row r="1243" spans="2:10" x14ac:dyDescent="0.2">
      <c r="B1243" s="2"/>
      <c r="C1243" s="46"/>
      <c r="D1243" s="46"/>
      <c r="E1243" s="46"/>
      <c r="F1243" s="2"/>
      <c r="G1243" s="46"/>
      <c r="H1243" s="2"/>
      <c r="I1243" s="2"/>
      <c r="J1243" s="2"/>
    </row>
    <row r="1244" spans="2:10" x14ac:dyDescent="0.2">
      <c r="B1244" s="2"/>
      <c r="C1244" s="46"/>
      <c r="D1244" s="46"/>
      <c r="E1244" s="46"/>
      <c r="F1244" s="6"/>
      <c r="G1244" s="46"/>
      <c r="H1244" s="2"/>
      <c r="I1244" s="2"/>
      <c r="J1244" s="2"/>
    </row>
    <row r="1245" spans="2:10" x14ac:dyDescent="0.2">
      <c r="B1245" s="2"/>
      <c r="C1245" s="46"/>
      <c r="D1245" s="46"/>
      <c r="E1245" s="46"/>
      <c r="F1245" s="2"/>
      <c r="G1245" s="46"/>
      <c r="H1245" s="2"/>
      <c r="I1245" s="2"/>
      <c r="J1245" s="2"/>
    </row>
    <row r="1246" spans="2:10" x14ac:dyDescent="0.2">
      <c r="B1246" s="2"/>
      <c r="C1246" s="46"/>
      <c r="D1246" s="46"/>
      <c r="E1246" s="46"/>
      <c r="F1246" s="6"/>
      <c r="G1246" s="46"/>
      <c r="H1246" s="2"/>
      <c r="I1246" s="2"/>
      <c r="J1246" s="2"/>
    </row>
    <row r="1247" spans="2:10" x14ac:dyDescent="0.2">
      <c r="B1247" s="2"/>
      <c r="C1247" s="46"/>
      <c r="D1247" s="46"/>
      <c r="E1247" s="46"/>
      <c r="F1247" s="2"/>
      <c r="G1247" s="46"/>
      <c r="H1247" s="2"/>
      <c r="I1247" s="2"/>
      <c r="J1247" s="2"/>
    </row>
    <row r="1248" spans="2:10" x14ac:dyDescent="0.2">
      <c r="B1248" s="2"/>
      <c r="C1248" s="46"/>
      <c r="D1248" s="46"/>
      <c r="E1248" s="46"/>
      <c r="F1248" s="2"/>
      <c r="G1248" s="46"/>
      <c r="H1248" s="2"/>
      <c r="I1248" s="2"/>
      <c r="J1248" s="2"/>
    </row>
    <row r="1249" spans="2:10" x14ac:dyDescent="0.2">
      <c r="B1249" s="2"/>
      <c r="C1249" s="46"/>
      <c r="D1249" s="46"/>
      <c r="E1249" s="46"/>
      <c r="F1249" s="2"/>
      <c r="G1249" s="46"/>
      <c r="H1249" s="2"/>
      <c r="I1249" s="2"/>
      <c r="J1249" s="2"/>
    </row>
    <row r="1250" spans="2:10" x14ac:dyDescent="0.2">
      <c r="B1250" s="2"/>
      <c r="C1250" s="46"/>
      <c r="D1250" s="46"/>
      <c r="E1250" s="46"/>
      <c r="F1250" s="2"/>
      <c r="G1250" s="46"/>
      <c r="H1250" s="2"/>
      <c r="I1250" s="2"/>
      <c r="J1250" s="2"/>
    </row>
    <row r="1251" spans="2:10" x14ac:dyDescent="0.2">
      <c r="B1251" s="2"/>
      <c r="C1251" s="46"/>
      <c r="D1251" s="46"/>
      <c r="E1251" s="46"/>
      <c r="F1251" s="2"/>
      <c r="G1251" s="46"/>
      <c r="H1251" s="2"/>
      <c r="I1251" s="2"/>
      <c r="J1251" s="2"/>
    </row>
    <row r="1252" spans="2:10" x14ac:dyDescent="0.2">
      <c r="B1252" s="2"/>
      <c r="C1252" s="46"/>
      <c r="D1252" s="46"/>
      <c r="E1252" s="46"/>
      <c r="F1252" s="6"/>
      <c r="G1252" s="46"/>
      <c r="H1252" s="2"/>
      <c r="I1252" s="2"/>
      <c r="J1252" s="2"/>
    </row>
    <row r="1253" spans="2:10" x14ac:dyDescent="0.2">
      <c r="B1253" s="2"/>
      <c r="C1253" s="46"/>
      <c r="D1253" s="46"/>
      <c r="E1253" s="46"/>
      <c r="F1253" s="2"/>
      <c r="G1253" s="46"/>
      <c r="H1253" s="2"/>
      <c r="I1253" s="2"/>
      <c r="J1253" s="2"/>
    </row>
    <row r="1254" spans="2:10" x14ac:dyDescent="0.2">
      <c r="B1254" s="2"/>
      <c r="C1254" s="46"/>
      <c r="D1254" s="46"/>
      <c r="E1254" s="46"/>
      <c r="F1254" s="6"/>
      <c r="G1254" s="46"/>
      <c r="H1254" s="2"/>
      <c r="I1254" s="2"/>
      <c r="J1254" s="2"/>
    </row>
    <row r="1255" spans="2:10" x14ac:dyDescent="0.2">
      <c r="B1255" s="2"/>
      <c r="C1255" s="46"/>
      <c r="D1255" s="46"/>
      <c r="E1255" s="46"/>
      <c r="F1255" s="6"/>
      <c r="G1255" s="46"/>
      <c r="H1255" s="2"/>
      <c r="I1255" s="2"/>
      <c r="J1255" s="2"/>
    </row>
    <row r="1256" spans="2:10" x14ac:dyDescent="0.2">
      <c r="B1256" s="2"/>
      <c r="C1256" s="46"/>
      <c r="D1256" s="46"/>
      <c r="E1256" s="46"/>
      <c r="F1256" s="2"/>
      <c r="G1256" s="46"/>
      <c r="H1256" s="2"/>
      <c r="I1256" s="2"/>
      <c r="J1256" s="2"/>
    </row>
    <row r="1257" spans="2:10" x14ac:dyDescent="0.2">
      <c r="B1257" s="2"/>
      <c r="C1257" s="46"/>
      <c r="D1257" s="46"/>
      <c r="E1257" s="46"/>
      <c r="F1257" s="6"/>
      <c r="G1257" s="46"/>
      <c r="H1257" s="2"/>
      <c r="I1257" s="2"/>
      <c r="J1257" s="2"/>
    </row>
    <row r="1258" spans="2:10" x14ac:dyDescent="0.2">
      <c r="B1258" s="2"/>
      <c r="C1258" s="46"/>
      <c r="D1258" s="46"/>
      <c r="E1258" s="46"/>
      <c r="F1258" s="6"/>
      <c r="G1258" s="46"/>
      <c r="H1258" s="2"/>
      <c r="I1258" s="2"/>
      <c r="J1258" s="2"/>
    </row>
    <row r="1259" spans="2:10" x14ac:dyDescent="0.2">
      <c r="B1259" s="2"/>
      <c r="C1259" s="46"/>
      <c r="D1259" s="46"/>
      <c r="E1259" s="46"/>
      <c r="F1259" s="2"/>
      <c r="G1259" s="46"/>
      <c r="H1259" s="2"/>
      <c r="I1259" s="2"/>
      <c r="J1259" s="2"/>
    </row>
    <row r="1260" spans="2:10" x14ac:dyDescent="0.2">
      <c r="B1260" s="2"/>
      <c r="C1260" s="46"/>
      <c r="D1260" s="46"/>
      <c r="E1260" s="46"/>
      <c r="F1260" s="2"/>
      <c r="G1260" s="46"/>
      <c r="H1260" s="2"/>
      <c r="I1260" s="2"/>
      <c r="J1260" s="2"/>
    </row>
    <row r="1261" spans="2:10" x14ac:dyDescent="0.2">
      <c r="B1261" s="2"/>
      <c r="C1261" s="46"/>
      <c r="D1261" s="46"/>
      <c r="E1261" s="46"/>
      <c r="F1261" s="6"/>
      <c r="G1261" s="46"/>
      <c r="H1261" s="2"/>
      <c r="I1261" s="2"/>
      <c r="J1261" s="2"/>
    </row>
    <row r="1262" spans="2:10" x14ac:dyDescent="0.2">
      <c r="B1262" s="2"/>
      <c r="C1262" s="46"/>
      <c r="D1262" s="46"/>
      <c r="E1262" s="46"/>
      <c r="F1262" s="2"/>
      <c r="G1262" s="46"/>
      <c r="H1262" s="2"/>
      <c r="I1262" s="2"/>
      <c r="J1262" s="2"/>
    </row>
    <row r="1263" spans="2:10" x14ac:dyDescent="0.2">
      <c r="B1263" s="2"/>
      <c r="C1263" s="46"/>
      <c r="D1263" s="46"/>
      <c r="E1263" s="46"/>
      <c r="F1263" s="2"/>
      <c r="G1263" s="46"/>
      <c r="H1263" s="2"/>
      <c r="I1263" s="2"/>
      <c r="J1263" s="2"/>
    </row>
    <row r="1264" spans="2:10" x14ac:dyDescent="0.2">
      <c r="B1264" s="2"/>
      <c r="C1264" s="46"/>
      <c r="D1264" s="46"/>
      <c r="E1264" s="46"/>
      <c r="F1264" s="2"/>
      <c r="G1264" s="46"/>
      <c r="H1264" s="2"/>
      <c r="I1264" s="2"/>
      <c r="J1264" s="2"/>
    </row>
    <row r="1265" spans="2:10" x14ac:dyDescent="0.2">
      <c r="B1265" s="2"/>
      <c r="C1265" s="46"/>
      <c r="D1265" s="46"/>
      <c r="E1265" s="46"/>
      <c r="F1265" s="2"/>
      <c r="G1265" s="46"/>
      <c r="H1265" s="2"/>
      <c r="I1265" s="2"/>
      <c r="J1265" s="2"/>
    </row>
    <row r="1266" spans="2:10" x14ac:dyDescent="0.2">
      <c r="B1266" s="2"/>
      <c r="C1266" s="46"/>
      <c r="D1266" s="46"/>
      <c r="E1266" s="46"/>
      <c r="F1266" s="2"/>
      <c r="G1266" s="46"/>
      <c r="H1266" s="2"/>
      <c r="I1266" s="2"/>
      <c r="J1266" s="2"/>
    </row>
    <row r="1267" spans="2:10" x14ac:dyDescent="0.2">
      <c r="B1267" s="2"/>
      <c r="C1267" s="46"/>
      <c r="D1267" s="46"/>
      <c r="E1267" s="46"/>
      <c r="F1267" s="6"/>
      <c r="G1267" s="46"/>
      <c r="H1267" s="2"/>
      <c r="I1267" s="2"/>
      <c r="J1267" s="2"/>
    </row>
    <row r="1268" spans="2:10" x14ac:dyDescent="0.2">
      <c r="B1268" s="2"/>
      <c r="C1268" s="46"/>
      <c r="D1268" s="46"/>
      <c r="E1268" s="46"/>
      <c r="F1268" s="2"/>
      <c r="G1268" s="46"/>
      <c r="H1268" s="2"/>
      <c r="I1268" s="2"/>
      <c r="J1268" s="2"/>
    </row>
    <row r="1269" spans="2:10" x14ac:dyDescent="0.2">
      <c r="B1269" s="2"/>
      <c r="C1269" s="46"/>
      <c r="D1269" s="46"/>
      <c r="E1269" s="46"/>
      <c r="F1269" s="2"/>
      <c r="G1269" s="46"/>
      <c r="H1269" s="2"/>
      <c r="I1269" s="2"/>
      <c r="J1269" s="2"/>
    </row>
    <row r="1270" spans="2:10" x14ac:dyDescent="0.2">
      <c r="B1270" s="2"/>
      <c r="C1270" s="46"/>
      <c r="D1270" s="46"/>
      <c r="E1270" s="46"/>
      <c r="F1270" s="2"/>
      <c r="G1270" s="46"/>
      <c r="H1270" s="2"/>
      <c r="I1270" s="2"/>
      <c r="J1270" s="2"/>
    </row>
    <row r="1271" spans="2:10" x14ac:dyDescent="0.2">
      <c r="B1271" s="2"/>
      <c r="C1271" s="46"/>
      <c r="D1271" s="46"/>
      <c r="E1271" s="46"/>
      <c r="F1271" s="2"/>
      <c r="G1271" s="46"/>
      <c r="H1271" s="2"/>
      <c r="I1271" s="2"/>
      <c r="J1271" s="2"/>
    </row>
    <row r="1272" spans="2:10" x14ac:dyDescent="0.2">
      <c r="B1272" s="2"/>
      <c r="C1272" s="46"/>
      <c r="D1272" s="46"/>
      <c r="E1272" s="46"/>
      <c r="F1272" s="2"/>
      <c r="G1272" s="46"/>
      <c r="H1272" s="2"/>
      <c r="I1272" s="2"/>
      <c r="J1272" s="2"/>
    </row>
    <row r="1273" spans="2:10" x14ac:dyDescent="0.2">
      <c r="B1273" s="2"/>
      <c r="C1273" s="46"/>
      <c r="D1273" s="46"/>
      <c r="E1273" s="46"/>
      <c r="F1273" s="6"/>
      <c r="G1273" s="46"/>
      <c r="H1273" s="2"/>
      <c r="I1273" s="2"/>
      <c r="J1273" s="2"/>
    </row>
    <row r="1274" spans="2:10" x14ac:dyDescent="0.2">
      <c r="B1274" s="2"/>
      <c r="C1274" s="46"/>
      <c r="D1274" s="46"/>
      <c r="E1274" s="46"/>
      <c r="F1274" s="2"/>
      <c r="G1274" s="46"/>
      <c r="H1274" s="2"/>
      <c r="I1274" s="2"/>
      <c r="J1274" s="2"/>
    </row>
    <row r="1275" spans="2:10" x14ac:dyDescent="0.2">
      <c r="B1275" s="2"/>
      <c r="C1275" s="46"/>
      <c r="D1275" s="46"/>
      <c r="E1275" s="46"/>
      <c r="F1275" s="6"/>
      <c r="G1275" s="46"/>
      <c r="H1275" s="2"/>
      <c r="I1275" s="2"/>
      <c r="J1275" s="2"/>
    </row>
    <row r="1276" spans="2:10" x14ac:dyDescent="0.2">
      <c r="B1276" s="2"/>
      <c r="C1276" s="46"/>
      <c r="D1276" s="46"/>
      <c r="E1276" s="46"/>
      <c r="F1276" s="2"/>
      <c r="G1276" s="46"/>
      <c r="H1276" s="2"/>
      <c r="I1276" s="2"/>
      <c r="J1276" s="2"/>
    </row>
    <row r="1277" spans="2:10" x14ac:dyDescent="0.2">
      <c r="B1277" s="2"/>
      <c r="C1277" s="46"/>
      <c r="D1277" s="46"/>
      <c r="E1277" s="46"/>
      <c r="F1277" s="2"/>
      <c r="G1277" s="46"/>
      <c r="H1277" s="2"/>
      <c r="I1277" s="2"/>
      <c r="J1277" s="2"/>
    </row>
    <row r="1278" spans="2:10" x14ac:dyDescent="0.2">
      <c r="B1278" s="2"/>
      <c r="C1278" s="46"/>
      <c r="D1278" s="46"/>
      <c r="E1278" s="46"/>
      <c r="F1278" s="6"/>
      <c r="G1278" s="46"/>
      <c r="H1278" s="2"/>
      <c r="I1278" s="2"/>
      <c r="J1278" s="2"/>
    </row>
    <row r="1279" spans="2:10" x14ac:dyDescent="0.2">
      <c r="B1279" s="2"/>
      <c r="C1279" s="46"/>
      <c r="D1279" s="46"/>
      <c r="E1279" s="46"/>
      <c r="F1279" s="2"/>
      <c r="G1279" s="46"/>
      <c r="H1279" s="2"/>
      <c r="I1279" s="2"/>
      <c r="J1279" s="2"/>
    </row>
    <row r="1280" spans="2:10" x14ac:dyDescent="0.2">
      <c r="B1280" s="2"/>
      <c r="C1280" s="46"/>
      <c r="D1280" s="46"/>
      <c r="E1280" s="46"/>
      <c r="F1280" s="2"/>
      <c r="G1280" s="46"/>
      <c r="H1280" s="2"/>
      <c r="I1280" s="2"/>
      <c r="J1280" s="2"/>
    </row>
    <row r="1281" spans="2:10" x14ac:dyDescent="0.2">
      <c r="B1281" s="2"/>
      <c r="C1281" s="46"/>
      <c r="D1281" s="46"/>
      <c r="E1281" s="46"/>
      <c r="F1281" s="2"/>
      <c r="G1281" s="46"/>
      <c r="H1281" s="2"/>
      <c r="I1281" s="2"/>
      <c r="J1281" s="2"/>
    </row>
    <row r="1282" spans="2:10" x14ac:dyDescent="0.2">
      <c r="B1282" s="2"/>
      <c r="C1282" s="46"/>
      <c r="D1282" s="46"/>
      <c r="E1282" s="46"/>
      <c r="F1282" s="2"/>
      <c r="G1282" s="46"/>
      <c r="H1282" s="2"/>
      <c r="I1282" s="2"/>
      <c r="J1282" s="2"/>
    </row>
    <row r="1283" spans="2:10" x14ac:dyDescent="0.2">
      <c r="B1283" s="2"/>
      <c r="C1283" s="46"/>
      <c r="D1283" s="46"/>
      <c r="E1283" s="46"/>
      <c r="F1283" s="6"/>
      <c r="G1283" s="46"/>
      <c r="H1283" s="2"/>
      <c r="I1283" s="2"/>
      <c r="J1283" s="2"/>
    </row>
    <row r="1284" spans="2:10" x14ac:dyDescent="0.2">
      <c r="B1284" s="2"/>
      <c r="C1284" s="46"/>
      <c r="D1284" s="46"/>
      <c r="E1284" s="46"/>
      <c r="F1284" s="6"/>
      <c r="G1284" s="46"/>
      <c r="H1284" s="2"/>
      <c r="I1284" s="2"/>
      <c r="J1284" s="2"/>
    </row>
    <row r="1285" spans="2:10" x14ac:dyDescent="0.2">
      <c r="B1285" s="2"/>
      <c r="C1285" s="46"/>
      <c r="D1285" s="46"/>
      <c r="E1285" s="46"/>
      <c r="F1285" s="6"/>
      <c r="G1285" s="46"/>
      <c r="H1285" s="2"/>
      <c r="I1285" s="2"/>
      <c r="J1285" s="2"/>
    </row>
    <row r="1286" spans="2:10" x14ac:dyDescent="0.2">
      <c r="B1286" s="2"/>
      <c r="C1286" s="46"/>
      <c r="D1286" s="46"/>
      <c r="E1286" s="46"/>
      <c r="F1286" s="6"/>
      <c r="G1286" s="46"/>
      <c r="H1286" s="2"/>
      <c r="I1286" s="2"/>
      <c r="J1286" s="2"/>
    </row>
    <row r="1287" spans="2:10" x14ac:dyDescent="0.2">
      <c r="B1287" s="2"/>
      <c r="C1287" s="46"/>
      <c r="D1287" s="46"/>
      <c r="E1287" s="46"/>
      <c r="F1287" s="6"/>
      <c r="G1287" s="46"/>
      <c r="H1287" s="2"/>
      <c r="I1287" s="2"/>
      <c r="J1287" s="2"/>
    </row>
    <row r="1288" spans="2:10" x14ac:dyDescent="0.2">
      <c r="B1288" s="2"/>
      <c r="C1288" s="46"/>
      <c r="D1288" s="46"/>
      <c r="E1288" s="46"/>
      <c r="F1288" s="6"/>
      <c r="G1288" s="46"/>
      <c r="H1288" s="2"/>
      <c r="I1288" s="2"/>
      <c r="J1288" s="2"/>
    </row>
    <row r="1289" spans="2:10" x14ac:dyDescent="0.2">
      <c r="B1289" s="2"/>
      <c r="C1289" s="46"/>
      <c r="D1289" s="46"/>
      <c r="E1289" s="46"/>
      <c r="F1289" s="6"/>
      <c r="G1289" s="46"/>
      <c r="H1289" s="2"/>
      <c r="I1289" s="2"/>
      <c r="J1289" s="2"/>
    </row>
    <row r="1290" spans="2:10" x14ac:dyDescent="0.2">
      <c r="B1290" s="2"/>
      <c r="C1290" s="46"/>
      <c r="D1290" s="46"/>
      <c r="E1290" s="46"/>
      <c r="F1290" s="6"/>
      <c r="G1290" s="46"/>
      <c r="H1290" s="2"/>
      <c r="I1290" s="2"/>
      <c r="J1290" s="2"/>
    </row>
    <row r="1291" spans="2:10" x14ac:dyDescent="0.2">
      <c r="B1291" s="2"/>
      <c r="C1291" s="46"/>
      <c r="D1291" s="46"/>
      <c r="E1291" s="46"/>
      <c r="F1291" s="6"/>
      <c r="G1291" s="46"/>
      <c r="H1291" s="2"/>
      <c r="I1291" s="2"/>
      <c r="J1291" s="2"/>
    </row>
    <row r="1292" spans="2:10" x14ac:dyDescent="0.2">
      <c r="B1292" s="2"/>
      <c r="C1292" s="46"/>
      <c r="D1292" s="46"/>
      <c r="E1292" s="46"/>
      <c r="F1292" s="2"/>
      <c r="G1292" s="46"/>
      <c r="H1292" s="2"/>
      <c r="I1292" s="2"/>
      <c r="J1292" s="2"/>
    </row>
    <row r="1293" spans="2:10" x14ac:dyDescent="0.2">
      <c r="B1293" s="2"/>
      <c r="C1293" s="46"/>
      <c r="D1293" s="46"/>
      <c r="E1293" s="46"/>
      <c r="F1293" s="2"/>
      <c r="G1293" s="46"/>
      <c r="H1293" s="2"/>
      <c r="I1293" s="2"/>
      <c r="J1293" s="2"/>
    </row>
    <row r="1294" spans="2:10" x14ac:dyDescent="0.2">
      <c r="B1294" s="2"/>
      <c r="C1294" s="46"/>
      <c r="D1294" s="46"/>
      <c r="E1294" s="46"/>
      <c r="F1294" s="6"/>
      <c r="G1294" s="46"/>
      <c r="H1294" s="2"/>
      <c r="I1294" s="2"/>
      <c r="J1294" s="2"/>
    </row>
    <row r="1295" spans="2:10" x14ac:dyDescent="0.2">
      <c r="B1295" s="2"/>
      <c r="C1295" s="46"/>
      <c r="D1295" s="46"/>
      <c r="E1295" s="46"/>
      <c r="F1295" s="2"/>
      <c r="G1295" s="46"/>
      <c r="H1295" s="2"/>
      <c r="I1295" s="2"/>
      <c r="J1295" s="2"/>
    </row>
    <row r="1296" spans="2:10" x14ac:dyDescent="0.2">
      <c r="B1296" s="2"/>
      <c r="C1296" s="46"/>
      <c r="D1296" s="46"/>
      <c r="E1296" s="46"/>
      <c r="F1296" s="6"/>
      <c r="G1296" s="46"/>
      <c r="H1296" s="2"/>
      <c r="I1296" s="2"/>
      <c r="J1296" s="2"/>
    </row>
    <row r="1297" spans="2:10" x14ac:dyDescent="0.2">
      <c r="B1297" s="2"/>
      <c r="C1297" s="46"/>
      <c r="D1297" s="46"/>
      <c r="E1297" s="46"/>
      <c r="F1297" s="6"/>
      <c r="G1297" s="46"/>
      <c r="H1297" s="2"/>
      <c r="I1297" s="2"/>
      <c r="J1297" s="2"/>
    </row>
    <row r="1298" spans="2:10" x14ac:dyDescent="0.2">
      <c r="B1298" s="2"/>
      <c r="C1298" s="46"/>
      <c r="D1298" s="46"/>
      <c r="E1298" s="46"/>
      <c r="F1298" s="2"/>
      <c r="G1298" s="46"/>
      <c r="H1298" s="2"/>
      <c r="I1298" s="2"/>
      <c r="J1298" s="2"/>
    </row>
    <row r="1299" spans="2:10" x14ac:dyDescent="0.2">
      <c r="B1299" s="2"/>
      <c r="C1299" s="46"/>
      <c r="D1299" s="46"/>
      <c r="E1299" s="46"/>
      <c r="F1299" s="2"/>
      <c r="G1299" s="46"/>
      <c r="H1299" s="2"/>
      <c r="I1299" s="2"/>
      <c r="J1299" s="2"/>
    </row>
    <row r="1300" spans="2:10" x14ac:dyDescent="0.2">
      <c r="B1300" s="2"/>
      <c r="C1300" s="46"/>
      <c r="D1300" s="46"/>
      <c r="E1300" s="46"/>
      <c r="F1300" s="6"/>
      <c r="G1300" s="46"/>
      <c r="H1300" s="2"/>
      <c r="I1300" s="2"/>
      <c r="J1300" s="2"/>
    </row>
    <row r="1301" spans="2:10" x14ac:dyDescent="0.2">
      <c r="B1301" s="2"/>
      <c r="C1301" s="46"/>
      <c r="D1301" s="46"/>
      <c r="E1301" s="46"/>
      <c r="F1301" s="6"/>
      <c r="G1301" s="46"/>
      <c r="H1301" s="2"/>
      <c r="I1301" s="2"/>
      <c r="J1301" s="2"/>
    </row>
    <row r="1302" spans="2:10" x14ac:dyDescent="0.2">
      <c r="B1302" s="2"/>
      <c r="C1302" s="46"/>
      <c r="D1302" s="46"/>
      <c r="E1302" s="46"/>
      <c r="F1302" s="2"/>
      <c r="G1302" s="46"/>
      <c r="H1302" s="2"/>
      <c r="I1302" s="2"/>
      <c r="J1302" s="2"/>
    </row>
    <row r="1303" spans="2:10" x14ac:dyDescent="0.2">
      <c r="B1303" s="2"/>
      <c r="C1303" s="46"/>
      <c r="D1303" s="46"/>
      <c r="E1303" s="46"/>
      <c r="F1303" s="6"/>
      <c r="G1303" s="46"/>
      <c r="H1303" s="2"/>
      <c r="I1303" s="2"/>
      <c r="J1303" s="2"/>
    </row>
    <row r="1304" spans="2:10" x14ac:dyDescent="0.2">
      <c r="B1304" s="2"/>
      <c r="C1304" s="46"/>
      <c r="D1304" s="46"/>
      <c r="E1304" s="46"/>
      <c r="F1304" s="2"/>
      <c r="G1304" s="46"/>
      <c r="H1304" s="2"/>
      <c r="I1304" s="2"/>
      <c r="J1304" s="2"/>
    </row>
    <row r="1305" spans="2:10" x14ac:dyDescent="0.2">
      <c r="B1305" s="2"/>
      <c r="C1305" s="46"/>
      <c r="D1305" s="46"/>
      <c r="E1305" s="46"/>
      <c r="F1305" s="2"/>
      <c r="G1305" s="46"/>
      <c r="H1305" s="2"/>
      <c r="I1305" s="2"/>
      <c r="J1305" s="2"/>
    </row>
    <row r="1306" spans="2:10" x14ac:dyDescent="0.2">
      <c r="B1306" s="2"/>
      <c r="C1306" s="46"/>
      <c r="D1306" s="46"/>
      <c r="E1306" s="46"/>
      <c r="F1306" s="2"/>
      <c r="G1306" s="46"/>
      <c r="H1306" s="2"/>
      <c r="I1306" s="2"/>
      <c r="J1306" s="2"/>
    </row>
    <row r="1307" spans="2:10" x14ac:dyDescent="0.2">
      <c r="B1307" s="2"/>
      <c r="C1307" s="46"/>
      <c r="D1307" s="46"/>
      <c r="E1307" s="46"/>
      <c r="F1307" s="6"/>
      <c r="G1307" s="46"/>
      <c r="H1307" s="2"/>
      <c r="I1307" s="2"/>
      <c r="J1307" s="2"/>
    </row>
    <row r="1308" spans="2:10" x14ac:dyDescent="0.2">
      <c r="B1308" s="2"/>
      <c r="C1308" s="46"/>
      <c r="D1308" s="46"/>
      <c r="E1308" s="46"/>
      <c r="F1308" s="6"/>
      <c r="G1308" s="46"/>
      <c r="H1308" s="2"/>
      <c r="I1308" s="2"/>
      <c r="J1308" s="2"/>
    </row>
    <row r="1309" spans="2:10" x14ac:dyDescent="0.2">
      <c r="B1309" s="2"/>
      <c r="C1309" s="46"/>
      <c r="D1309" s="46"/>
      <c r="E1309" s="46"/>
      <c r="F1309" s="6"/>
      <c r="G1309" s="46"/>
      <c r="H1309" s="2"/>
      <c r="I1309" s="2"/>
      <c r="J1309" s="2"/>
    </row>
    <row r="1310" spans="2:10" x14ac:dyDescent="0.2">
      <c r="B1310" s="2"/>
      <c r="C1310" s="46"/>
      <c r="D1310" s="46"/>
      <c r="E1310" s="46"/>
      <c r="F1310" s="6"/>
      <c r="G1310" s="46"/>
      <c r="H1310" s="2"/>
      <c r="I1310" s="2"/>
      <c r="J1310" s="2"/>
    </row>
    <row r="1311" spans="2:10" x14ac:dyDescent="0.2">
      <c r="B1311" s="2"/>
      <c r="C1311" s="46"/>
      <c r="D1311" s="46"/>
      <c r="E1311" s="46"/>
      <c r="F1311" s="6"/>
      <c r="G1311" s="46"/>
      <c r="H1311" s="2"/>
      <c r="I1311" s="2"/>
      <c r="J1311" s="2"/>
    </row>
    <row r="1312" spans="2:10" x14ac:dyDescent="0.2">
      <c r="B1312" s="2"/>
      <c r="C1312" s="46"/>
      <c r="D1312" s="46"/>
      <c r="E1312" s="46"/>
      <c r="F1312" s="2"/>
      <c r="G1312" s="46"/>
      <c r="H1312" s="2"/>
      <c r="I1312" s="2"/>
      <c r="J1312" s="2"/>
    </row>
    <row r="1313" spans="2:10" x14ac:dyDescent="0.2">
      <c r="B1313" s="2"/>
      <c r="C1313" s="46"/>
      <c r="D1313" s="46"/>
      <c r="E1313" s="46"/>
      <c r="F1313" s="2"/>
      <c r="G1313" s="46"/>
      <c r="H1313" s="2"/>
      <c r="I1313" s="2"/>
      <c r="J1313" s="2"/>
    </row>
    <row r="1314" spans="2:10" x14ac:dyDescent="0.2">
      <c r="B1314" s="2"/>
      <c r="C1314" s="46"/>
      <c r="D1314" s="46"/>
      <c r="E1314" s="46"/>
      <c r="F1314" s="2"/>
      <c r="G1314" s="46"/>
      <c r="H1314" s="2"/>
      <c r="I1314" s="2"/>
      <c r="J1314" s="2"/>
    </row>
    <row r="1315" spans="2:10" x14ac:dyDescent="0.2">
      <c r="B1315" s="2"/>
      <c r="C1315" s="46"/>
      <c r="D1315" s="46"/>
      <c r="E1315" s="46"/>
      <c r="F1315" s="2"/>
      <c r="G1315" s="46"/>
      <c r="H1315" s="2"/>
      <c r="I1315" s="2"/>
      <c r="J1315" s="2"/>
    </row>
    <row r="1316" spans="2:10" x14ac:dyDescent="0.2">
      <c r="B1316" s="2"/>
      <c r="C1316" s="46"/>
      <c r="D1316" s="46"/>
      <c r="E1316" s="46"/>
      <c r="F1316" s="6"/>
      <c r="G1316" s="46"/>
      <c r="H1316" s="2"/>
      <c r="I1316" s="2"/>
      <c r="J1316" s="2"/>
    </row>
    <row r="1317" spans="2:10" x14ac:dyDescent="0.2">
      <c r="B1317" s="2"/>
      <c r="C1317" s="46"/>
      <c r="D1317" s="46"/>
      <c r="E1317" s="46"/>
      <c r="F1317" s="6"/>
      <c r="G1317" s="46"/>
      <c r="H1317" s="2"/>
      <c r="I1317" s="2"/>
      <c r="J1317" s="2"/>
    </row>
    <row r="1318" spans="2:10" x14ac:dyDescent="0.2">
      <c r="B1318" s="2"/>
      <c r="C1318" s="46"/>
      <c r="D1318" s="46"/>
      <c r="E1318" s="46"/>
      <c r="F1318" s="6"/>
      <c r="G1318" s="46"/>
      <c r="H1318" s="2"/>
      <c r="I1318" s="2"/>
      <c r="J1318" s="2"/>
    </row>
    <row r="1319" spans="2:10" x14ac:dyDescent="0.2">
      <c r="B1319" s="2"/>
      <c r="C1319" s="46"/>
      <c r="D1319" s="46"/>
      <c r="E1319" s="46"/>
      <c r="F1319" s="6"/>
      <c r="G1319" s="46"/>
      <c r="H1319" s="2"/>
      <c r="I1319" s="2"/>
      <c r="J1319" s="2"/>
    </row>
    <row r="1320" spans="2:10" x14ac:dyDescent="0.2">
      <c r="B1320" s="2"/>
      <c r="C1320" s="46"/>
      <c r="D1320" s="46"/>
      <c r="E1320" s="46"/>
      <c r="F1320" s="6"/>
      <c r="G1320" s="46"/>
      <c r="H1320" s="2"/>
      <c r="I1320" s="2"/>
      <c r="J1320" s="2"/>
    </row>
    <row r="1321" spans="2:10" x14ac:dyDescent="0.2">
      <c r="B1321" s="2"/>
      <c r="C1321" s="46"/>
      <c r="D1321" s="46"/>
      <c r="E1321" s="46"/>
      <c r="F1321" s="2"/>
      <c r="G1321" s="46"/>
      <c r="H1321" s="2"/>
      <c r="I1321" s="2"/>
      <c r="J1321" s="2"/>
    </row>
    <row r="1322" spans="2:10" x14ac:dyDescent="0.2">
      <c r="B1322" s="2"/>
      <c r="C1322" s="46"/>
      <c r="D1322" s="46"/>
      <c r="E1322" s="46"/>
      <c r="F1322" s="6"/>
      <c r="G1322" s="46"/>
      <c r="H1322" s="2"/>
      <c r="I1322" s="2"/>
      <c r="J1322" s="2"/>
    </row>
    <row r="1323" spans="2:10" x14ac:dyDescent="0.2">
      <c r="B1323" s="2"/>
      <c r="C1323" s="46"/>
      <c r="D1323" s="46"/>
      <c r="E1323" s="46"/>
      <c r="F1323" s="2"/>
      <c r="G1323" s="46"/>
      <c r="H1323" s="2"/>
      <c r="I1323" s="2"/>
      <c r="J1323" s="2"/>
    </row>
    <row r="1324" spans="2:10" x14ac:dyDescent="0.2">
      <c r="B1324" s="2"/>
      <c r="C1324" s="46"/>
      <c r="D1324" s="46"/>
      <c r="E1324" s="46"/>
      <c r="F1324" s="2"/>
      <c r="G1324" s="46"/>
      <c r="H1324" s="2"/>
      <c r="I1324" s="2"/>
      <c r="J1324" s="2"/>
    </row>
    <row r="1325" spans="2:10" x14ac:dyDescent="0.2">
      <c r="B1325" s="2"/>
      <c r="C1325" s="46"/>
      <c r="D1325" s="46"/>
      <c r="E1325" s="46"/>
      <c r="F1325" s="6"/>
      <c r="G1325" s="46"/>
      <c r="H1325" s="2"/>
      <c r="I1325" s="2"/>
      <c r="J1325" s="2"/>
    </row>
    <row r="1326" spans="2:10" x14ac:dyDescent="0.2">
      <c r="B1326" s="2"/>
      <c r="C1326" s="46"/>
      <c r="D1326" s="46"/>
      <c r="E1326" s="46"/>
      <c r="F1326" s="6"/>
      <c r="G1326" s="46"/>
      <c r="H1326" s="2"/>
      <c r="I1326" s="2"/>
      <c r="J1326" s="2"/>
    </row>
    <row r="1327" spans="2:10" x14ac:dyDescent="0.2">
      <c r="B1327" s="2"/>
      <c r="C1327" s="46"/>
      <c r="D1327" s="46"/>
      <c r="E1327" s="46"/>
      <c r="F1327" s="6"/>
      <c r="G1327" s="46"/>
      <c r="H1327" s="2"/>
      <c r="I1327" s="2"/>
      <c r="J1327" s="2"/>
    </row>
    <row r="1328" spans="2:10" x14ac:dyDescent="0.2">
      <c r="B1328" s="2"/>
      <c r="C1328" s="46"/>
      <c r="D1328" s="46"/>
      <c r="E1328" s="46"/>
      <c r="F1328" s="6"/>
      <c r="G1328" s="46"/>
      <c r="H1328" s="2"/>
      <c r="I1328" s="2"/>
      <c r="J1328" s="2"/>
    </row>
    <row r="1329" spans="2:10" x14ac:dyDescent="0.2">
      <c r="B1329" s="2"/>
      <c r="C1329" s="46"/>
      <c r="D1329" s="46"/>
      <c r="E1329" s="46"/>
      <c r="F1329" s="6"/>
      <c r="G1329" s="46"/>
      <c r="H1329" s="2"/>
      <c r="I1329" s="2"/>
      <c r="J1329" s="2"/>
    </row>
    <row r="1330" spans="2:10" x14ac:dyDescent="0.2">
      <c r="B1330" s="2"/>
      <c r="C1330" s="46"/>
      <c r="D1330" s="46"/>
      <c r="E1330" s="46"/>
      <c r="F1330" s="6"/>
      <c r="G1330" s="46"/>
      <c r="H1330" s="2"/>
      <c r="I1330" s="2"/>
      <c r="J1330" s="2"/>
    </row>
    <row r="1331" spans="2:10" x14ac:dyDescent="0.2">
      <c r="B1331" s="2"/>
      <c r="C1331" s="46"/>
      <c r="D1331" s="46"/>
      <c r="E1331" s="46"/>
      <c r="F1331" s="2"/>
      <c r="G1331" s="46"/>
      <c r="H1331" s="2"/>
      <c r="I1331" s="2"/>
      <c r="J1331" s="2"/>
    </row>
    <row r="1332" spans="2:10" x14ac:dyDescent="0.2">
      <c r="B1332" s="2"/>
      <c r="C1332" s="46"/>
      <c r="D1332" s="46"/>
      <c r="E1332" s="46"/>
      <c r="F1332" s="2"/>
      <c r="G1332" s="46"/>
      <c r="H1332" s="2"/>
      <c r="I1332" s="2"/>
      <c r="J1332" s="2"/>
    </row>
    <row r="1333" spans="2:10" x14ac:dyDescent="0.2">
      <c r="B1333" s="2"/>
      <c r="C1333" s="46"/>
      <c r="D1333" s="46"/>
      <c r="E1333" s="46"/>
      <c r="F1333" s="6"/>
      <c r="G1333" s="46"/>
      <c r="H1333" s="2"/>
      <c r="I1333" s="2"/>
      <c r="J1333" s="2"/>
    </row>
    <row r="1334" spans="2:10" x14ac:dyDescent="0.2">
      <c r="B1334" s="2"/>
      <c r="C1334" s="46"/>
      <c r="D1334" s="46"/>
      <c r="E1334" s="46"/>
      <c r="F1334" s="6"/>
      <c r="G1334" s="46"/>
      <c r="H1334" s="2"/>
      <c r="I1334" s="2"/>
      <c r="J1334" s="2"/>
    </row>
    <row r="1335" spans="2:10" x14ac:dyDescent="0.2">
      <c r="B1335" s="2"/>
      <c r="C1335" s="46"/>
      <c r="D1335" s="46"/>
      <c r="E1335" s="46"/>
      <c r="F1335" s="6"/>
      <c r="G1335" s="46"/>
      <c r="H1335" s="2"/>
      <c r="I1335" s="2"/>
      <c r="J1335" s="2"/>
    </row>
    <row r="1336" spans="2:10" x14ac:dyDescent="0.2">
      <c r="B1336" s="2"/>
      <c r="C1336" s="46"/>
      <c r="D1336" s="46"/>
      <c r="E1336" s="46"/>
      <c r="F1336" s="2"/>
      <c r="G1336" s="46"/>
      <c r="H1336" s="2"/>
      <c r="I1336" s="2"/>
      <c r="J1336" s="2"/>
    </row>
    <row r="1337" spans="2:10" x14ac:dyDescent="0.2">
      <c r="B1337" s="2"/>
      <c r="C1337" s="46"/>
      <c r="D1337" s="46"/>
      <c r="E1337" s="46"/>
      <c r="F1337" s="2"/>
      <c r="G1337" s="46"/>
      <c r="H1337" s="2"/>
      <c r="I1337" s="2"/>
      <c r="J1337" s="2"/>
    </row>
    <row r="1338" spans="2:10" x14ac:dyDescent="0.2">
      <c r="B1338" s="2"/>
      <c r="C1338" s="46"/>
      <c r="D1338" s="46"/>
      <c r="E1338" s="46"/>
      <c r="F1338" s="2"/>
      <c r="G1338" s="46"/>
      <c r="H1338" s="2"/>
      <c r="I1338" s="2"/>
      <c r="J1338" s="2"/>
    </row>
    <row r="1339" spans="2:10" x14ac:dyDescent="0.2">
      <c r="B1339" s="2"/>
      <c r="C1339" s="46"/>
      <c r="D1339" s="46"/>
      <c r="E1339" s="46"/>
      <c r="F1339" s="2"/>
      <c r="G1339" s="46"/>
      <c r="H1339" s="2"/>
      <c r="I1339" s="2"/>
      <c r="J1339" s="2"/>
    </row>
    <row r="1340" spans="2:10" x14ac:dyDescent="0.2">
      <c r="B1340" s="2"/>
      <c r="C1340" s="46"/>
      <c r="D1340" s="46"/>
      <c r="E1340" s="46"/>
      <c r="F1340" s="2"/>
      <c r="G1340" s="46"/>
      <c r="H1340" s="2"/>
      <c r="I1340" s="2"/>
      <c r="J1340" s="2"/>
    </row>
    <row r="1341" spans="2:10" x14ac:dyDescent="0.2">
      <c r="B1341" s="2"/>
      <c r="C1341" s="46"/>
      <c r="D1341" s="46"/>
      <c r="E1341" s="46"/>
      <c r="F1341" s="6"/>
      <c r="G1341" s="46"/>
      <c r="H1341" s="2"/>
      <c r="I1341" s="2"/>
      <c r="J1341" s="2"/>
    </row>
    <row r="1342" spans="2:10" x14ac:dyDescent="0.2">
      <c r="B1342" s="2"/>
      <c r="C1342" s="46"/>
      <c r="D1342" s="46"/>
      <c r="E1342" s="46"/>
      <c r="F1342" s="2"/>
      <c r="G1342" s="46"/>
      <c r="H1342" s="2"/>
      <c r="I1342" s="2"/>
      <c r="J1342" s="2"/>
    </row>
    <row r="1343" spans="2:10" x14ac:dyDescent="0.2">
      <c r="B1343" s="2"/>
      <c r="C1343" s="46"/>
      <c r="D1343" s="46"/>
      <c r="E1343" s="46"/>
      <c r="F1343" s="2"/>
      <c r="G1343" s="46"/>
      <c r="H1343" s="2"/>
      <c r="I1343" s="2"/>
      <c r="J1343" s="2"/>
    </row>
    <row r="1344" spans="2:10" x14ac:dyDescent="0.2">
      <c r="B1344" s="2"/>
      <c r="C1344" s="46"/>
      <c r="D1344" s="46"/>
      <c r="E1344" s="46"/>
      <c r="F1344" s="2"/>
      <c r="G1344" s="46"/>
      <c r="H1344" s="2"/>
      <c r="I1344" s="2"/>
      <c r="J1344" s="2"/>
    </row>
    <row r="1345" spans="2:10" x14ac:dyDescent="0.2">
      <c r="B1345" s="2"/>
      <c r="C1345" s="46"/>
      <c r="D1345" s="46"/>
      <c r="E1345" s="46"/>
      <c r="F1345" s="2"/>
      <c r="G1345" s="46"/>
      <c r="H1345" s="2"/>
      <c r="I1345" s="2"/>
      <c r="J1345" s="2"/>
    </row>
    <row r="1346" spans="2:10" x14ac:dyDescent="0.2">
      <c r="B1346" s="2"/>
      <c r="C1346" s="46"/>
      <c r="D1346" s="46"/>
      <c r="E1346" s="46"/>
      <c r="F1346" s="2"/>
      <c r="G1346" s="46"/>
      <c r="H1346" s="2"/>
      <c r="I1346" s="2"/>
      <c r="J1346" s="2"/>
    </row>
    <row r="1347" spans="2:10" x14ac:dyDescent="0.2">
      <c r="B1347" s="2"/>
      <c r="C1347" s="46"/>
      <c r="D1347" s="46"/>
      <c r="E1347" s="46"/>
      <c r="F1347" s="2"/>
      <c r="G1347" s="46"/>
      <c r="H1347" s="2"/>
      <c r="I1347" s="2"/>
      <c r="J1347" s="2"/>
    </row>
    <row r="1348" spans="2:10" x14ac:dyDescent="0.2">
      <c r="B1348" s="2"/>
      <c r="C1348" s="46"/>
      <c r="D1348" s="46"/>
      <c r="E1348" s="46"/>
      <c r="F1348" s="2"/>
      <c r="G1348" s="46"/>
      <c r="H1348" s="2"/>
      <c r="I1348" s="2"/>
      <c r="J1348" s="2"/>
    </row>
    <row r="1349" spans="2:10" x14ac:dyDescent="0.2">
      <c r="B1349" s="2"/>
      <c r="C1349" s="46"/>
      <c r="D1349" s="46"/>
      <c r="E1349" s="46"/>
      <c r="F1349" s="2"/>
      <c r="G1349" s="46"/>
      <c r="H1349" s="2"/>
      <c r="I1349" s="2"/>
      <c r="J1349" s="2"/>
    </row>
    <row r="1350" spans="2:10" x14ac:dyDescent="0.2">
      <c r="B1350" s="2"/>
      <c r="C1350" s="46"/>
      <c r="D1350" s="46"/>
      <c r="E1350" s="46"/>
      <c r="F1350" s="6"/>
      <c r="G1350" s="46"/>
      <c r="H1350" s="2"/>
      <c r="I1350" s="2"/>
      <c r="J1350" s="2"/>
    </row>
    <row r="1351" spans="2:10" x14ac:dyDescent="0.2">
      <c r="B1351" s="2"/>
      <c r="C1351" s="46"/>
      <c r="D1351" s="46"/>
      <c r="E1351" s="46"/>
      <c r="F1351" s="6"/>
      <c r="G1351" s="46"/>
      <c r="H1351" s="2"/>
      <c r="I1351" s="2"/>
      <c r="J1351" s="2"/>
    </row>
    <row r="1352" spans="2:10" x14ac:dyDescent="0.2">
      <c r="B1352" s="2"/>
      <c r="C1352" s="46"/>
      <c r="D1352" s="46"/>
      <c r="E1352" s="46"/>
      <c r="F1352" s="2"/>
      <c r="G1352" s="46"/>
      <c r="H1352" s="2"/>
      <c r="I1352" s="2"/>
      <c r="J1352" s="2"/>
    </row>
    <row r="1353" spans="2:10" x14ac:dyDescent="0.2">
      <c r="B1353" s="2"/>
      <c r="C1353" s="46"/>
      <c r="D1353" s="46"/>
      <c r="E1353" s="46"/>
      <c r="F1353" s="2"/>
      <c r="G1353" s="46"/>
      <c r="H1353" s="2"/>
      <c r="I1353" s="2"/>
      <c r="J1353" s="2"/>
    </row>
    <row r="1354" spans="2:10" x14ac:dyDescent="0.2">
      <c r="B1354" s="2"/>
      <c r="C1354" s="46"/>
      <c r="D1354" s="46"/>
      <c r="E1354" s="46"/>
      <c r="F1354" s="2"/>
      <c r="G1354" s="46"/>
      <c r="H1354" s="2"/>
      <c r="I1354" s="2"/>
      <c r="J1354" s="2"/>
    </row>
    <row r="1355" spans="2:10" x14ac:dyDescent="0.2">
      <c r="B1355" s="2"/>
      <c r="C1355" s="46"/>
      <c r="D1355" s="46"/>
      <c r="E1355" s="46"/>
      <c r="F1355" s="6"/>
      <c r="G1355" s="46"/>
      <c r="H1355" s="2"/>
      <c r="I1355" s="2"/>
      <c r="J1355" s="2"/>
    </row>
    <row r="1356" spans="2:10" x14ac:dyDescent="0.2">
      <c r="B1356" s="2"/>
      <c r="C1356" s="46"/>
      <c r="D1356" s="46"/>
      <c r="E1356" s="46"/>
      <c r="F1356" s="2"/>
      <c r="G1356" s="46"/>
      <c r="H1356" s="2"/>
      <c r="I1356" s="2"/>
      <c r="J1356" s="2"/>
    </row>
    <row r="1357" spans="2:10" x14ac:dyDescent="0.2">
      <c r="B1357" s="2"/>
      <c r="C1357" s="46"/>
      <c r="D1357" s="46"/>
      <c r="E1357" s="46"/>
      <c r="F1357" s="2"/>
      <c r="G1357" s="46"/>
      <c r="H1357" s="2"/>
      <c r="I1357" s="2"/>
      <c r="J1357" s="2"/>
    </row>
    <row r="1358" spans="2:10" x14ac:dyDescent="0.2">
      <c r="B1358" s="2"/>
      <c r="C1358" s="46"/>
      <c r="D1358" s="46"/>
      <c r="E1358" s="46"/>
      <c r="F1358" s="2"/>
      <c r="G1358" s="46"/>
      <c r="H1358" s="2"/>
      <c r="I1358" s="2"/>
      <c r="J1358" s="2"/>
    </row>
    <row r="1359" spans="2:10" x14ac:dyDescent="0.2">
      <c r="B1359" s="2"/>
      <c r="C1359" s="46"/>
      <c r="D1359" s="46"/>
      <c r="E1359" s="46"/>
      <c r="F1359" s="6"/>
      <c r="G1359" s="46"/>
      <c r="H1359" s="2"/>
      <c r="I1359" s="2"/>
      <c r="J1359" s="2"/>
    </row>
    <row r="1360" spans="2:10" x14ac:dyDescent="0.2">
      <c r="B1360" s="2"/>
      <c r="C1360" s="46"/>
      <c r="D1360" s="46"/>
      <c r="E1360" s="46"/>
      <c r="F1360" s="2"/>
      <c r="G1360" s="46"/>
      <c r="H1360" s="2"/>
      <c r="I1360" s="2"/>
      <c r="J1360" s="2"/>
    </row>
    <row r="1361" spans="2:10" x14ac:dyDescent="0.2">
      <c r="B1361" s="2"/>
      <c r="C1361" s="46"/>
      <c r="D1361" s="46"/>
      <c r="E1361" s="46"/>
      <c r="F1361" s="2"/>
      <c r="G1361" s="46"/>
      <c r="H1361" s="2"/>
      <c r="I1361" s="2"/>
      <c r="J1361" s="2"/>
    </row>
    <row r="1362" spans="2:10" x14ac:dyDescent="0.2">
      <c r="B1362" s="2"/>
      <c r="C1362" s="46"/>
      <c r="D1362" s="46"/>
      <c r="E1362" s="46"/>
      <c r="F1362" s="6"/>
      <c r="G1362" s="46"/>
      <c r="H1362" s="2"/>
      <c r="I1362" s="2"/>
      <c r="J1362" s="2"/>
    </row>
    <row r="1363" spans="2:10" x14ac:dyDescent="0.2">
      <c r="B1363" s="2"/>
      <c r="C1363" s="46"/>
      <c r="D1363" s="46"/>
      <c r="E1363" s="46"/>
      <c r="F1363" s="6"/>
      <c r="G1363" s="46"/>
      <c r="H1363" s="2"/>
      <c r="I1363" s="2"/>
      <c r="J1363" s="2"/>
    </row>
    <row r="1364" spans="2:10" x14ac:dyDescent="0.2">
      <c r="B1364" s="2"/>
      <c r="C1364" s="46"/>
      <c r="D1364" s="46"/>
      <c r="E1364" s="46"/>
      <c r="F1364" s="6"/>
      <c r="G1364" s="46"/>
      <c r="H1364" s="2"/>
      <c r="I1364" s="2"/>
      <c r="J1364" s="2"/>
    </row>
    <row r="1365" spans="2:10" x14ac:dyDescent="0.2">
      <c r="B1365" s="2"/>
      <c r="C1365" s="46"/>
      <c r="D1365" s="46"/>
      <c r="E1365" s="46"/>
      <c r="F1365" s="6"/>
      <c r="G1365" s="46"/>
      <c r="H1365" s="2"/>
      <c r="I1365" s="2"/>
      <c r="J1365" s="2"/>
    </row>
    <row r="1366" spans="2:10" x14ac:dyDescent="0.2">
      <c r="B1366" s="2"/>
      <c r="C1366" s="46"/>
      <c r="D1366" s="46"/>
      <c r="E1366" s="46"/>
      <c r="F1366" s="2"/>
      <c r="G1366" s="46"/>
      <c r="H1366" s="2"/>
      <c r="I1366" s="2"/>
      <c r="J1366" s="2"/>
    </row>
    <row r="1367" spans="2:10" x14ac:dyDescent="0.2">
      <c r="B1367" s="2"/>
      <c r="C1367" s="46"/>
      <c r="D1367" s="46"/>
      <c r="E1367" s="46"/>
      <c r="F1367" s="2"/>
      <c r="G1367" s="46"/>
      <c r="H1367" s="2"/>
      <c r="I1367" s="2"/>
      <c r="J1367" s="2"/>
    </row>
    <row r="1368" spans="2:10" x14ac:dyDescent="0.2">
      <c r="B1368" s="2"/>
      <c r="C1368" s="46"/>
      <c r="D1368" s="46"/>
      <c r="E1368" s="46"/>
      <c r="F1368" s="2"/>
      <c r="G1368" s="46"/>
      <c r="H1368" s="2"/>
      <c r="I1368" s="2"/>
      <c r="J1368" s="2"/>
    </row>
    <row r="1369" spans="2:10" x14ac:dyDescent="0.2">
      <c r="B1369" s="2"/>
      <c r="C1369" s="46"/>
      <c r="D1369" s="46"/>
      <c r="E1369" s="46"/>
      <c r="F1369" s="6"/>
      <c r="G1369" s="46"/>
      <c r="H1369" s="2"/>
      <c r="I1369" s="2"/>
      <c r="J1369" s="2"/>
    </row>
    <row r="1370" spans="2:10" x14ac:dyDescent="0.2">
      <c r="B1370" s="2"/>
      <c r="C1370" s="46"/>
      <c r="D1370" s="46"/>
      <c r="E1370" s="46"/>
      <c r="F1370" s="2"/>
      <c r="G1370" s="46"/>
      <c r="H1370" s="2"/>
      <c r="I1370" s="2"/>
      <c r="J1370" s="2"/>
    </row>
    <row r="1371" spans="2:10" x14ac:dyDescent="0.2">
      <c r="B1371" s="2"/>
      <c r="C1371" s="46"/>
      <c r="D1371" s="46"/>
      <c r="E1371" s="46"/>
      <c r="F1371" s="2"/>
      <c r="G1371" s="46"/>
      <c r="H1371" s="2"/>
      <c r="I1371" s="2"/>
      <c r="J1371" s="2"/>
    </row>
    <row r="1372" spans="2:10" x14ac:dyDescent="0.2">
      <c r="B1372" s="2"/>
      <c r="C1372" s="46"/>
      <c r="D1372" s="46"/>
      <c r="E1372" s="46"/>
      <c r="F1372" s="2"/>
      <c r="G1372" s="46"/>
      <c r="H1372" s="2"/>
      <c r="I1372" s="2"/>
      <c r="J1372" s="2"/>
    </row>
    <row r="1373" spans="2:10" x14ac:dyDescent="0.2">
      <c r="B1373" s="2"/>
      <c r="C1373" s="46"/>
      <c r="D1373" s="46"/>
      <c r="E1373" s="46"/>
      <c r="F1373" s="2"/>
      <c r="G1373" s="46"/>
      <c r="H1373" s="2"/>
      <c r="I1373" s="2"/>
      <c r="J1373" s="2"/>
    </row>
    <row r="1374" spans="2:10" x14ac:dyDescent="0.2">
      <c r="B1374" s="2"/>
      <c r="C1374" s="46"/>
      <c r="D1374" s="46"/>
      <c r="E1374" s="46"/>
      <c r="F1374" s="2"/>
      <c r="G1374" s="46"/>
      <c r="H1374" s="2"/>
      <c r="I1374" s="2"/>
      <c r="J1374" s="2"/>
    </row>
    <row r="1375" spans="2:10" x14ac:dyDescent="0.2">
      <c r="B1375" s="2"/>
      <c r="C1375" s="46"/>
      <c r="D1375" s="46"/>
      <c r="E1375" s="46"/>
      <c r="F1375" s="6"/>
      <c r="G1375" s="46"/>
      <c r="H1375" s="2"/>
      <c r="I1375" s="2"/>
      <c r="J1375" s="2"/>
    </row>
    <row r="1376" spans="2:10" x14ac:dyDescent="0.2">
      <c r="B1376" s="2"/>
      <c r="C1376" s="46"/>
      <c r="D1376" s="46"/>
      <c r="E1376" s="46"/>
      <c r="F1376" s="2"/>
      <c r="G1376" s="46"/>
      <c r="H1376" s="2"/>
      <c r="I1376" s="2"/>
      <c r="J1376" s="2"/>
    </row>
    <row r="1377" spans="2:10" x14ac:dyDescent="0.2">
      <c r="B1377" s="2"/>
      <c r="C1377" s="46"/>
      <c r="D1377" s="46"/>
      <c r="E1377" s="46"/>
      <c r="F1377" s="2"/>
      <c r="G1377" s="46"/>
      <c r="H1377" s="2"/>
      <c r="I1377" s="2"/>
      <c r="J1377" s="2"/>
    </row>
    <row r="1378" spans="2:10" x14ac:dyDescent="0.2">
      <c r="B1378" s="2"/>
      <c r="C1378" s="46"/>
      <c r="D1378" s="46"/>
      <c r="E1378" s="46"/>
      <c r="F1378" s="2"/>
      <c r="G1378" s="46"/>
      <c r="H1378" s="2"/>
      <c r="I1378" s="2"/>
      <c r="J1378" s="2"/>
    </row>
    <row r="1379" spans="2:10" x14ac:dyDescent="0.2">
      <c r="B1379" s="2"/>
      <c r="C1379" s="46"/>
      <c r="D1379" s="46"/>
      <c r="E1379" s="46"/>
      <c r="F1379" s="2"/>
      <c r="G1379" s="46"/>
      <c r="H1379" s="2"/>
      <c r="I1379" s="2"/>
      <c r="J1379" s="2"/>
    </row>
    <row r="1380" spans="2:10" x14ac:dyDescent="0.2">
      <c r="B1380" s="2"/>
      <c r="C1380" s="46"/>
      <c r="D1380" s="46"/>
      <c r="E1380" s="46"/>
      <c r="F1380" s="2"/>
      <c r="G1380" s="46"/>
      <c r="H1380" s="2"/>
      <c r="I1380" s="2"/>
      <c r="J1380" s="2"/>
    </row>
    <row r="1381" spans="2:10" x14ac:dyDescent="0.2">
      <c r="B1381" s="2"/>
      <c r="C1381" s="46"/>
      <c r="D1381" s="46"/>
      <c r="E1381" s="46"/>
      <c r="F1381" s="2"/>
      <c r="G1381" s="46"/>
      <c r="H1381" s="2"/>
      <c r="I1381" s="2"/>
      <c r="J1381" s="2"/>
    </row>
    <row r="1382" spans="2:10" x14ac:dyDescent="0.2">
      <c r="B1382" s="2"/>
      <c r="C1382" s="46"/>
      <c r="D1382" s="46"/>
      <c r="E1382" s="46"/>
      <c r="F1382" s="2"/>
      <c r="G1382" s="46"/>
      <c r="H1382" s="2"/>
      <c r="I1382" s="2"/>
      <c r="J1382" s="2"/>
    </row>
    <row r="1383" spans="2:10" x14ac:dyDescent="0.2">
      <c r="B1383" s="2"/>
      <c r="C1383" s="46"/>
      <c r="D1383" s="46"/>
      <c r="E1383" s="46"/>
      <c r="F1383" s="2"/>
      <c r="G1383" s="46"/>
      <c r="H1383" s="2"/>
      <c r="I1383" s="2"/>
      <c r="J1383" s="2"/>
    </row>
    <row r="1384" spans="2:10" x14ac:dyDescent="0.2">
      <c r="B1384" s="2"/>
      <c r="C1384" s="46"/>
      <c r="D1384" s="46"/>
      <c r="E1384" s="46"/>
      <c r="F1384" s="2"/>
      <c r="G1384" s="46"/>
      <c r="H1384" s="2"/>
      <c r="I1384" s="2"/>
      <c r="J1384" s="2"/>
    </row>
    <row r="1385" spans="2:10" x14ac:dyDescent="0.2">
      <c r="B1385" s="2"/>
      <c r="C1385" s="46"/>
      <c r="D1385" s="46"/>
      <c r="E1385" s="46"/>
      <c r="F1385" s="6"/>
      <c r="G1385" s="46"/>
      <c r="H1385" s="2"/>
      <c r="I1385" s="2"/>
      <c r="J1385" s="2"/>
    </row>
    <row r="1386" spans="2:10" x14ac:dyDescent="0.2">
      <c r="B1386" s="2"/>
      <c r="C1386" s="46"/>
      <c r="D1386" s="46"/>
      <c r="E1386" s="46"/>
      <c r="F1386" s="2"/>
      <c r="G1386" s="46"/>
      <c r="H1386" s="2"/>
      <c r="I1386" s="2"/>
      <c r="J1386" s="2"/>
    </row>
    <row r="1387" spans="2:10" x14ac:dyDescent="0.2">
      <c r="B1387" s="2"/>
      <c r="C1387" s="46"/>
      <c r="D1387" s="46"/>
      <c r="E1387" s="46"/>
      <c r="F1387" s="6"/>
      <c r="G1387" s="46"/>
      <c r="H1387" s="2"/>
      <c r="I1387" s="2"/>
      <c r="J1387" s="2"/>
    </row>
    <row r="1388" spans="2:10" x14ac:dyDescent="0.2">
      <c r="B1388" s="2"/>
      <c r="C1388" s="46"/>
      <c r="D1388" s="46"/>
      <c r="E1388" s="46"/>
      <c r="F1388" s="2"/>
      <c r="G1388" s="46"/>
      <c r="H1388" s="2"/>
      <c r="I1388" s="2"/>
      <c r="J1388" s="2"/>
    </row>
    <row r="1389" spans="2:10" x14ac:dyDescent="0.2">
      <c r="B1389" s="2"/>
      <c r="C1389" s="46"/>
      <c r="D1389" s="46"/>
      <c r="E1389" s="46"/>
      <c r="F1389" s="2"/>
      <c r="G1389" s="46"/>
      <c r="H1389" s="2"/>
      <c r="I1389" s="2"/>
      <c r="J1389" s="2"/>
    </row>
    <row r="1390" spans="2:10" x14ac:dyDescent="0.2">
      <c r="B1390" s="2"/>
      <c r="C1390" s="46"/>
      <c r="D1390" s="46"/>
      <c r="E1390" s="46"/>
      <c r="F1390" s="2"/>
      <c r="G1390" s="46"/>
      <c r="H1390" s="2"/>
      <c r="I1390" s="2"/>
      <c r="J1390" s="2"/>
    </row>
    <row r="1391" spans="2:10" x14ac:dyDescent="0.2">
      <c r="B1391" s="2"/>
      <c r="C1391" s="46"/>
      <c r="D1391" s="46"/>
      <c r="E1391" s="46"/>
      <c r="F1391" s="2"/>
      <c r="G1391" s="46"/>
      <c r="H1391" s="2"/>
      <c r="I1391" s="2"/>
      <c r="J1391" s="2"/>
    </row>
    <row r="1392" spans="2:10" x14ac:dyDescent="0.2">
      <c r="B1392" s="2"/>
      <c r="C1392" s="46"/>
      <c r="D1392" s="46"/>
      <c r="E1392" s="46"/>
      <c r="F1392" s="2"/>
      <c r="G1392" s="46"/>
      <c r="H1392" s="2"/>
      <c r="I1392" s="2"/>
      <c r="J1392" s="2"/>
    </row>
    <row r="1393" spans="2:10" x14ac:dyDescent="0.2">
      <c r="B1393" s="2"/>
      <c r="C1393" s="46"/>
      <c r="D1393" s="46"/>
      <c r="E1393" s="46"/>
      <c r="F1393" s="6"/>
      <c r="G1393" s="46"/>
      <c r="H1393" s="2"/>
      <c r="I1393" s="2"/>
      <c r="J1393" s="2"/>
    </row>
    <row r="1394" spans="2:10" x14ac:dyDescent="0.2">
      <c r="B1394" s="2"/>
      <c r="C1394" s="46"/>
      <c r="D1394" s="46"/>
      <c r="E1394" s="46"/>
      <c r="F1394" s="2"/>
      <c r="G1394" s="46"/>
      <c r="H1394" s="2"/>
      <c r="I1394" s="2"/>
      <c r="J1394" s="2"/>
    </row>
    <row r="1395" spans="2:10" x14ac:dyDescent="0.2">
      <c r="B1395" s="2"/>
      <c r="C1395" s="46"/>
      <c r="D1395" s="46"/>
      <c r="E1395" s="46"/>
      <c r="F1395" s="2"/>
      <c r="G1395" s="46"/>
      <c r="H1395" s="2"/>
      <c r="I1395" s="2"/>
      <c r="J1395" s="2"/>
    </row>
    <row r="1396" spans="2:10" x14ac:dyDescent="0.2">
      <c r="B1396" s="2"/>
      <c r="C1396" s="46"/>
      <c r="D1396" s="46"/>
      <c r="E1396" s="46"/>
      <c r="F1396" s="2"/>
      <c r="G1396" s="46"/>
      <c r="H1396" s="2"/>
      <c r="I1396" s="2"/>
      <c r="J1396" s="2"/>
    </row>
    <row r="1397" spans="2:10" x14ac:dyDescent="0.2">
      <c r="B1397" s="2"/>
      <c r="C1397" s="46"/>
      <c r="D1397" s="46"/>
      <c r="E1397" s="46"/>
      <c r="F1397" s="2"/>
      <c r="G1397" s="46"/>
      <c r="H1397" s="2"/>
      <c r="I1397" s="2"/>
      <c r="J1397" s="2"/>
    </row>
    <row r="1398" spans="2:10" x14ac:dyDescent="0.2">
      <c r="B1398" s="2"/>
      <c r="C1398" s="46"/>
      <c r="D1398" s="46"/>
      <c r="E1398" s="46"/>
      <c r="F1398" s="2"/>
      <c r="G1398" s="46"/>
      <c r="H1398" s="2"/>
      <c r="I1398" s="2"/>
      <c r="J1398" s="2"/>
    </row>
    <row r="1399" spans="2:10" x14ac:dyDescent="0.2">
      <c r="B1399" s="2"/>
      <c r="C1399" s="46"/>
      <c r="D1399" s="46"/>
      <c r="E1399" s="46"/>
      <c r="F1399" s="2"/>
      <c r="G1399" s="46"/>
      <c r="H1399" s="2"/>
      <c r="I1399" s="2"/>
      <c r="J1399" s="2"/>
    </row>
    <row r="1400" spans="2:10" x14ac:dyDescent="0.2">
      <c r="B1400" s="2"/>
      <c r="C1400" s="46"/>
      <c r="D1400" s="46"/>
      <c r="E1400" s="46"/>
      <c r="F1400" s="2"/>
      <c r="G1400" s="46"/>
      <c r="H1400" s="2"/>
      <c r="I1400" s="2"/>
      <c r="J1400" s="2"/>
    </row>
    <row r="1401" spans="2:10" x14ac:dyDescent="0.2">
      <c r="B1401" s="2"/>
      <c r="C1401" s="46"/>
      <c r="D1401" s="46"/>
      <c r="E1401" s="46"/>
      <c r="F1401" s="2"/>
      <c r="G1401" s="46"/>
      <c r="H1401" s="2"/>
      <c r="I1401" s="2"/>
      <c r="J1401" s="2"/>
    </row>
    <row r="1402" spans="2:10" x14ac:dyDescent="0.2">
      <c r="B1402" s="2"/>
      <c r="C1402" s="46"/>
      <c r="D1402" s="46"/>
      <c r="E1402" s="46"/>
      <c r="F1402" s="2"/>
      <c r="G1402" s="46"/>
      <c r="H1402" s="2"/>
      <c r="I1402" s="2"/>
      <c r="J1402" s="2"/>
    </row>
    <row r="1403" spans="2:10" x14ac:dyDescent="0.2">
      <c r="B1403" s="2"/>
      <c r="C1403" s="46"/>
      <c r="D1403" s="46"/>
      <c r="E1403" s="46"/>
      <c r="F1403" s="2"/>
      <c r="G1403" s="46"/>
      <c r="H1403" s="2"/>
      <c r="I1403" s="2"/>
      <c r="J1403" s="2"/>
    </row>
    <row r="1404" spans="2:10" x14ac:dyDescent="0.2">
      <c r="B1404" s="2"/>
      <c r="C1404" s="46"/>
      <c r="D1404" s="46"/>
      <c r="E1404" s="46"/>
      <c r="F1404" s="2"/>
      <c r="G1404" s="46"/>
      <c r="H1404" s="2"/>
      <c r="I1404" s="2"/>
      <c r="J1404" s="2"/>
    </row>
    <row r="1405" spans="2:10" x14ac:dyDescent="0.2">
      <c r="B1405" s="2"/>
      <c r="C1405" s="46"/>
      <c r="D1405" s="46"/>
      <c r="E1405" s="46"/>
      <c r="F1405" s="2"/>
      <c r="G1405" s="46"/>
      <c r="H1405" s="2"/>
      <c r="I1405" s="2"/>
      <c r="J1405" s="2"/>
    </row>
    <row r="1406" spans="2:10" x14ac:dyDescent="0.2">
      <c r="B1406" s="2"/>
      <c r="C1406" s="46"/>
      <c r="D1406" s="46"/>
      <c r="E1406" s="46"/>
      <c r="F1406" s="2"/>
      <c r="G1406" s="46"/>
      <c r="H1406" s="2"/>
      <c r="I1406" s="2"/>
      <c r="J1406" s="2"/>
    </row>
    <row r="1407" spans="2:10" x14ac:dyDescent="0.2">
      <c r="B1407" s="2"/>
      <c r="C1407" s="46"/>
      <c r="D1407" s="46"/>
      <c r="E1407" s="46"/>
      <c r="F1407" s="2"/>
      <c r="G1407" s="46"/>
      <c r="H1407" s="2"/>
      <c r="I1407" s="2"/>
      <c r="J1407" s="2"/>
    </row>
    <row r="1408" spans="2:10" x14ac:dyDescent="0.2">
      <c r="B1408" s="2"/>
      <c r="C1408" s="46"/>
      <c r="D1408" s="46"/>
      <c r="E1408" s="46"/>
      <c r="F1408" s="2"/>
      <c r="G1408" s="46"/>
      <c r="H1408" s="2"/>
      <c r="I1408" s="2"/>
      <c r="J1408" s="2"/>
    </row>
    <row r="1409" spans="2:10" x14ac:dyDescent="0.2">
      <c r="B1409" s="2"/>
      <c r="C1409" s="46"/>
      <c r="D1409" s="46"/>
      <c r="E1409" s="46"/>
      <c r="F1409" s="2"/>
      <c r="G1409" s="46"/>
      <c r="H1409" s="2"/>
      <c r="I1409" s="2"/>
      <c r="J1409" s="2"/>
    </row>
    <row r="1410" spans="2:10" x14ac:dyDescent="0.2">
      <c r="B1410" s="2"/>
      <c r="C1410" s="46"/>
      <c r="D1410" s="46"/>
      <c r="E1410" s="46"/>
      <c r="F1410" s="6"/>
      <c r="G1410" s="46"/>
      <c r="H1410" s="2"/>
      <c r="I1410" s="2"/>
      <c r="J1410" s="2"/>
    </row>
    <row r="1411" spans="2:10" x14ac:dyDescent="0.2">
      <c r="B1411" s="2"/>
      <c r="C1411" s="46"/>
      <c r="D1411" s="46"/>
      <c r="E1411" s="46"/>
      <c r="F1411" s="2"/>
      <c r="G1411" s="46"/>
      <c r="H1411" s="2"/>
      <c r="I1411" s="2"/>
      <c r="J1411" s="2"/>
    </row>
    <row r="1412" spans="2:10" x14ac:dyDescent="0.2">
      <c r="B1412" s="2"/>
      <c r="C1412" s="46"/>
      <c r="D1412" s="46"/>
      <c r="E1412" s="46"/>
      <c r="F1412" s="2"/>
      <c r="G1412" s="46"/>
      <c r="H1412" s="2"/>
      <c r="I1412" s="2"/>
      <c r="J1412" s="2"/>
    </row>
    <row r="1413" spans="2:10" x14ac:dyDescent="0.2">
      <c r="B1413" s="2"/>
      <c r="C1413" s="46"/>
      <c r="D1413" s="46"/>
      <c r="E1413" s="46"/>
      <c r="F1413" s="2"/>
      <c r="G1413" s="46"/>
      <c r="H1413" s="2"/>
      <c r="I1413" s="2"/>
      <c r="J1413" s="2"/>
    </row>
    <row r="1414" spans="2:10" x14ac:dyDescent="0.2">
      <c r="B1414" s="2"/>
      <c r="C1414" s="46"/>
      <c r="D1414" s="46"/>
      <c r="E1414" s="46"/>
      <c r="F1414" s="2"/>
      <c r="G1414" s="46"/>
      <c r="H1414" s="2"/>
      <c r="I1414" s="2"/>
      <c r="J1414" s="2"/>
    </row>
    <row r="1415" spans="2:10" x14ac:dyDescent="0.2">
      <c r="B1415" s="2"/>
      <c r="C1415" s="46"/>
      <c r="D1415" s="46"/>
      <c r="E1415" s="46"/>
      <c r="F1415" s="2"/>
      <c r="G1415" s="46"/>
      <c r="H1415" s="2"/>
      <c r="I1415" s="2"/>
      <c r="J1415" s="2"/>
    </row>
    <row r="1416" spans="2:10" x14ac:dyDescent="0.2">
      <c r="B1416" s="2"/>
      <c r="C1416" s="46"/>
      <c r="D1416" s="46"/>
      <c r="E1416" s="46"/>
      <c r="F1416" s="2"/>
      <c r="G1416" s="46"/>
      <c r="H1416" s="2"/>
      <c r="I1416" s="2"/>
      <c r="J1416" s="2"/>
    </row>
    <row r="1417" spans="2:10" x14ac:dyDescent="0.2">
      <c r="B1417" s="2"/>
      <c r="C1417" s="46"/>
      <c r="D1417" s="46"/>
      <c r="E1417" s="46"/>
      <c r="F1417" s="2"/>
      <c r="G1417" s="46"/>
      <c r="H1417" s="2"/>
      <c r="I1417" s="2"/>
      <c r="J1417" s="2"/>
    </row>
    <row r="1418" spans="2:10" x14ac:dyDescent="0.2">
      <c r="B1418" s="2"/>
      <c r="C1418" s="46"/>
      <c r="D1418" s="46"/>
      <c r="E1418" s="46"/>
      <c r="F1418" s="2"/>
      <c r="G1418" s="46"/>
      <c r="H1418" s="2"/>
      <c r="I1418" s="2"/>
      <c r="J1418" s="2"/>
    </row>
    <row r="1419" spans="2:10" x14ac:dyDescent="0.2">
      <c r="B1419" s="2"/>
      <c r="C1419" s="46"/>
      <c r="D1419" s="46"/>
      <c r="E1419" s="46"/>
      <c r="F1419" s="2"/>
      <c r="G1419" s="46"/>
      <c r="H1419" s="2"/>
      <c r="I1419" s="2"/>
      <c r="J1419" s="2"/>
    </row>
    <row r="1420" spans="2:10" x14ac:dyDescent="0.2">
      <c r="B1420" s="2"/>
      <c r="C1420" s="46"/>
      <c r="D1420" s="46"/>
      <c r="E1420" s="46"/>
      <c r="F1420" s="2"/>
      <c r="G1420" s="46"/>
      <c r="H1420" s="2"/>
      <c r="I1420" s="2"/>
      <c r="J1420" s="2"/>
    </row>
    <row r="1421" spans="2:10" x14ac:dyDescent="0.2">
      <c r="B1421" s="2"/>
      <c r="C1421" s="46"/>
      <c r="D1421" s="46"/>
      <c r="E1421" s="46"/>
      <c r="F1421" s="2"/>
      <c r="G1421" s="46"/>
      <c r="H1421" s="2"/>
      <c r="I1421" s="2"/>
      <c r="J1421" s="2"/>
    </row>
    <row r="1422" spans="2:10" x14ac:dyDescent="0.2">
      <c r="B1422" s="2"/>
      <c r="C1422" s="46"/>
      <c r="D1422" s="46"/>
      <c r="E1422" s="46"/>
      <c r="F1422" s="2"/>
      <c r="G1422" s="46"/>
      <c r="H1422" s="2"/>
      <c r="I1422" s="2"/>
      <c r="J1422" s="2"/>
    </row>
    <row r="1423" spans="2:10" x14ac:dyDescent="0.2">
      <c r="B1423" s="2"/>
      <c r="C1423" s="46"/>
      <c r="D1423" s="46"/>
      <c r="E1423" s="46"/>
      <c r="F1423" s="2"/>
      <c r="G1423" s="46"/>
      <c r="H1423" s="2"/>
      <c r="I1423" s="2"/>
      <c r="J1423" s="2"/>
    </row>
    <row r="1424" spans="2:10" x14ac:dyDescent="0.2">
      <c r="B1424" s="2"/>
      <c r="C1424" s="46"/>
      <c r="D1424" s="46"/>
      <c r="E1424" s="46"/>
      <c r="F1424" s="2"/>
      <c r="G1424" s="46"/>
      <c r="H1424" s="2"/>
      <c r="I1424" s="2"/>
      <c r="J1424" s="2"/>
    </row>
    <row r="1425" spans="2:10" x14ac:dyDescent="0.2">
      <c r="B1425" s="2"/>
      <c r="C1425" s="46"/>
      <c r="D1425" s="46"/>
      <c r="E1425" s="46"/>
      <c r="F1425" s="2"/>
      <c r="G1425" s="46"/>
      <c r="H1425" s="2"/>
      <c r="I1425" s="2"/>
      <c r="J1425" s="2"/>
    </row>
    <row r="1426" spans="2:10" x14ac:dyDescent="0.2">
      <c r="B1426" s="2"/>
      <c r="C1426" s="46"/>
      <c r="D1426" s="46"/>
      <c r="E1426" s="46"/>
      <c r="F1426" s="2"/>
      <c r="G1426" s="46"/>
      <c r="H1426" s="2"/>
      <c r="I1426" s="2"/>
      <c r="J1426" s="2"/>
    </row>
    <row r="1427" spans="2:10" x14ac:dyDescent="0.2">
      <c r="B1427" s="2"/>
      <c r="C1427" s="46"/>
      <c r="D1427" s="46"/>
      <c r="E1427" s="46"/>
      <c r="F1427" s="2"/>
      <c r="G1427" s="46"/>
      <c r="H1427" s="2"/>
      <c r="I1427" s="2"/>
      <c r="J1427" s="2"/>
    </row>
    <row r="1428" spans="2:10" x14ac:dyDescent="0.2">
      <c r="B1428" s="2"/>
      <c r="C1428" s="46"/>
      <c r="D1428" s="46"/>
      <c r="E1428" s="46"/>
      <c r="F1428" s="2"/>
      <c r="G1428" s="46"/>
      <c r="H1428" s="2"/>
      <c r="I1428" s="2"/>
      <c r="J1428" s="2"/>
    </row>
    <row r="1429" spans="2:10" x14ac:dyDescent="0.2">
      <c r="B1429" s="2"/>
      <c r="C1429" s="46"/>
      <c r="D1429" s="46"/>
      <c r="E1429" s="46"/>
      <c r="F1429" s="2"/>
      <c r="G1429" s="46"/>
      <c r="H1429" s="2"/>
      <c r="I1429" s="2"/>
      <c r="J1429" s="2"/>
    </row>
    <row r="1430" spans="2:10" x14ac:dyDescent="0.2">
      <c r="B1430" s="2"/>
      <c r="C1430" s="46"/>
      <c r="D1430" s="46"/>
      <c r="E1430" s="46"/>
      <c r="F1430" s="2"/>
      <c r="G1430" s="46"/>
      <c r="H1430" s="2"/>
      <c r="I1430" s="2"/>
      <c r="J1430" s="2"/>
    </row>
    <row r="1431" spans="2:10" x14ac:dyDescent="0.2">
      <c r="B1431" s="2"/>
      <c r="C1431" s="46"/>
      <c r="D1431" s="46"/>
      <c r="E1431" s="46"/>
      <c r="F1431" s="2"/>
      <c r="G1431" s="46"/>
      <c r="H1431" s="2"/>
      <c r="I1431" s="2"/>
      <c r="J1431" s="2"/>
    </row>
    <row r="1432" spans="2:10" x14ac:dyDescent="0.2">
      <c r="B1432" s="2"/>
      <c r="C1432" s="46"/>
      <c r="D1432" s="46"/>
      <c r="E1432" s="46"/>
      <c r="F1432" s="2"/>
      <c r="G1432" s="46"/>
      <c r="H1432" s="2"/>
      <c r="I1432" s="2"/>
      <c r="J1432" s="2"/>
    </row>
    <row r="1433" spans="2:10" x14ac:dyDescent="0.2">
      <c r="B1433" s="2"/>
      <c r="C1433" s="46"/>
      <c r="D1433" s="46"/>
      <c r="E1433" s="46"/>
      <c r="F1433" s="2"/>
      <c r="G1433" s="46"/>
      <c r="H1433" s="2"/>
      <c r="I1433" s="2"/>
      <c r="J1433" s="2"/>
    </row>
    <row r="1434" spans="2:10" x14ac:dyDescent="0.2">
      <c r="B1434" s="2"/>
      <c r="C1434" s="46"/>
      <c r="D1434" s="46"/>
      <c r="E1434" s="46"/>
      <c r="F1434" s="2"/>
      <c r="G1434" s="46"/>
      <c r="H1434" s="2"/>
      <c r="I1434" s="2"/>
      <c r="J1434" s="2"/>
    </row>
    <row r="1435" spans="2:10" x14ac:dyDescent="0.2">
      <c r="B1435" s="2"/>
      <c r="C1435" s="46"/>
      <c r="D1435" s="46"/>
      <c r="E1435" s="46"/>
      <c r="F1435" s="2"/>
      <c r="G1435" s="46"/>
      <c r="H1435" s="2"/>
      <c r="I1435" s="2"/>
      <c r="J1435" s="2"/>
    </row>
    <row r="1436" spans="2:10" x14ac:dyDescent="0.2">
      <c r="B1436" s="2"/>
      <c r="C1436" s="46"/>
      <c r="D1436" s="46"/>
      <c r="E1436" s="46"/>
      <c r="F1436" s="2"/>
      <c r="G1436" s="46"/>
      <c r="H1436" s="2"/>
      <c r="I1436" s="2"/>
      <c r="J1436" s="2"/>
    </row>
    <row r="1437" spans="2:10" x14ac:dyDescent="0.2">
      <c r="B1437" s="2"/>
      <c r="C1437" s="46"/>
      <c r="D1437" s="46"/>
      <c r="E1437" s="46"/>
      <c r="F1437" s="2"/>
      <c r="G1437" s="46"/>
      <c r="H1437" s="2"/>
      <c r="I1437" s="2"/>
      <c r="J1437" s="2"/>
    </row>
    <row r="1438" spans="2:10" x14ac:dyDescent="0.2">
      <c r="B1438" s="2"/>
      <c r="C1438" s="46"/>
      <c r="D1438" s="46"/>
      <c r="E1438" s="46"/>
      <c r="F1438" s="2"/>
      <c r="G1438" s="46"/>
      <c r="H1438" s="2"/>
      <c r="I1438" s="2"/>
      <c r="J1438" s="2"/>
    </row>
    <row r="1439" spans="2:10" x14ac:dyDescent="0.2">
      <c r="B1439" s="2"/>
      <c r="C1439" s="46"/>
      <c r="D1439" s="46"/>
      <c r="E1439" s="46"/>
      <c r="F1439" s="2"/>
      <c r="G1439" s="46"/>
      <c r="H1439" s="2"/>
      <c r="I1439" s="2"/>
      <c r="J1439" s="2"/>
    </row>
    <row r="1440" spans="2:10" x14ac:dyDescent="0.2">
      <c r="B1440" s="2"/>
      <c r="C1440" s="46"/>
      <c r="D1440" s="46"/>
      <c r="E1440" s="46"/>
      <c r="F1440" s="2"/>
      <c r="G1440" s="46"/>
      <c r="H1440" s="2"/>
      <c r="I1440" s="2"/>
      <c r="J1440" s="2"/>
    </row>
    <row r="1441" spans="2:10" x14ac:dyDescent="0.2">
      <c r="B1441" s="2"/>
      <c r="C1441" s="46"/>
      <c r="D1441" s="46"/>
      <c r="E1441" s="46"/>
      <c r="F1441" s="2"/>
      <c r="G1441" s="46"/>
      <c r="H1441" s="2"/>
      <c r="I1441" s="2"/>
      <c r="J1441" s="2"/>
    </row>
    <row r="1442" spans="2:10" x14ac:dyDescent="0.2">
      <c r="B1442" s="2"/>
      <c r="C1442" s="46"/>
      <c r="D1442" s="46"/>
      <c r="E1442" s="46"/>
      <c r="F1442" s="2"/>
      <c r="G1442" s="46"/>
      <c r="H1442" s="2"/>
      <c r="I1442" s="2"/>
      <c r="J1442" s="2"/>
    </row>
    <row r="1443" spans="2:10" x14ac:dyDescent="0.2">
      <c r="B1443" s="2"/>
      <c r="C1443" s="46"/>
      <c r="D1443" s="46"/>
      <c r="E1443" s="46"/>
      <c r="F1443" s="6"/>
      <c r="G1443" s="46"/>
      <c r="H1443" s="2"/>
      <c r="I1443" s="2"/>
      <c r="J1443" s="2"/>
    </row>
    <row r="1444" spans="2:10" x14ac:dyDescent="0.2">
      <c r="B1444" s="2"/>
      <c r="C1444" s="46"/>
      <c r="D1444" s="46"/>
      <c r="E1444" s="46"/>
      <c r="F1444" s="2"/>
      <c r="G1444" s="46"/>
      <c r="H1444" s="2"/>
      <c r="I1444" s="2"/>
      <c r="J1444" s="2"/>
    </row>
    <row r="1445" spans="2:10" x14ac:dyDescent="0.2">
      <c r="B1445" s="2"/>
      <c r="C1445" s="46"/>
      <c r="D1445" s="46"/>
      <c r="E1445" s="46"/>
      <c r="F1445" s="2"/>
      <c r="G1445" s="46"/>
      <c r="H1445" s="2"/>
      <c r="I1445" s="2"/>
      <c r="J1445" s="2"/>
    </row>
    <row r="1446" spans="2:10" x14ac:dyDescent="0.2">
      <c r="B1446" s="2"/>
      <c r="C1446" s="46"/>
      <c r="D1446" s="46"/>
      <c r="E1446" s="46"/>
      <c r="F1446" s="2"/>
      <c r="G1446" s="46"/>
      <c r="H1446" s="2"/>
      <c r="I1446" s="2"/>
      <c r="J1446" s="2"/>
    </row>
    <row r="1447" spans="2:10" x14ac:dyDescent="0.2">
      <c r="B1447" s="2"/>
      <c r="C1447" s="46"/>
      <c r="D1447" s="46"/>
      <c r="E1447" s="46"/>
      <c r="F1447" s="2"/>
      <c r="G1447" s="46"/>
      <c r="H1447" s="2"/>
      <c r="I1447" s="2"/>
      <c r="J1447" s="2"/>
    </row>
    <row r="1448" spans="2:10" x14ac:dyDescent="0.2">
      <c r="B1448" s="2"/>
      <c r="C1448" s="46"/>
      <c r="D1448" s="46"/>
      <c r="E1448" s="46"/>
      <c r="F1448" s="2"/>
      <c r="G1448" s="46"/>
      <c r="H1448" s="2"/>
      <c r="I1448" s="2"/>
      <c r="J1448" s="2"/>
    </row>
    <row r="1449" spans="2:10" x14ac:dyDescent="0.2">
      <c r="B1449" s="2"/>
      <c r="C1449" s="46"/>
      <c r="D1449" s="46"/>
      <c r="E1449" s="46"/>
      <c r="F1449" s="2"/>
      <c r="G1449" s="46"/>
      <c r="H1449" s="2"/>
      <c r="I1449" s="2"/>
      <c r="J1449" s="2"/>
    </row>
    <row r="1450" spans="2:10" x14ac:dyDescent="0.2">
      <c r="B1450" s="2"/>
      <c r="C1450" s="46"/>
      <c r="D1450" s="46"/>
      <c r="E1450" s="46"/>
      <c r="F1450" s="2"/>
      <c r="G1450" s="46"/>
      <c r="H1450" s="2"/>
      <c r="I1450" s="2"/>
      <c r="J1450" s="2"/>
    </row>
    <row r="1451" spans="2:10" x14ac:dyDescent="0.2">
      <c r="B1451" s="2"/>
      <c r="C1451" s="46"/>
      <c r="D1451" s="46"/>
      <c r="E1451" s="46"/>
      <c r="F1451" s="2"/>
      <c r="G1451" s="46"/>
      <c r="H1451" s="2"/>
      <c r="I1451" s="2"/>
      <c r="J1451" s="2"/>
    </row>
    <row r="1452" spans="2:10" x14ac:dyDescent="0.2">
      <c r="B1452" s="2"/>
      <c r="C1452" s="46"/>
      <c r="D1452" s="46"/>
      <c r="E1452" s="46"/>
      <c r="F1452" s="2"/>
      <c r="G1452" s="46"/>
      <c r="H1452" s="2"/>
      <c r="I1452" s="2"/>
      <c r="J1452" s="2"/>
    </row>
    <row r="1453" spans="2:10" x14ac:dyDescent="0.2">
      <c r="B1453" s="2"/>
      <c r="C1453" s="46"/>
      <c r="D1453" s="46"/>
      <c r="E1453" s="46"/>
      <c r="F1453" s="2"/>
      <c r="G1453" s="46"/>
      <c r="H1453" s="2"/>
      <c r="I1453" s="2"/>
      <c r="J1453" s="2"/>
    </row>
    <row r="1454" spans="2:10" x14ac:dyDescent="0.2">
      <c r="B1454" s="2"/>
      <c r="C1454" s="46"/>
      <c r="D1454" s="46"/>
      <c r="E1454" s="46"/>
      <c r="F1454" s="2"/>
      <c r="G1454" s="46"/>
      <c r="H1454" s="2"/>
      <c r="I1454" s="2"/>
      <c r="J1454" s="2"/>
    </row>
    <row r="1455" spans="2:10" x14ac:dyDescent="0.2">
      <c r="B1455" s="2"/>
      <c r="C1455" s="46"/>
      <c r="D1455" s="46"/>
      <c r="E1455" s="46"/>
      <c r="F1455" s="2"/>
      <c r="G1455" s="46"/>
      <c r="H1455" s="2"/>
      <c r="I1455" s="2"/>
      <c r="J1455" s="2"/>
    </row>
    <row r="1456" spans="2:10" x14ac:dyDescent="0.2">
      <c r="B1456" s="2"/>
      <c r="C1456" s="46"/>
      <c r="D1456" s="46"/>
      <c r="E1456" s="46"/>
      <c r="F1456" s="2"/>
      <c r="G1456" s="46"/>
      <c r="H1456" s="2"/>
      <c r="I1456" s="2"/>
      <c r="J1456" s="2"/>
    </row>
    <row r="1457" spans="2:10" x14ac:dyDescent="0.2">
      <c r="B1457" s="2"/>
      <c r="C1457" s="46"/>
      <c r="D1457" s="46"/>
      <c r="E1457" s="46"/>
      <c r="F1457" s="2"/>
      <c r="G1457" s="46"/>
      <c r="H1457" s="2"/>
      <c r="I1457" s="2"/>
      <c r="J1457" s="2"/>
    </row>
    <row r="1458" spans="2:10" x14ac:dyDescent="0.2">
      <c r="B1458" s="2"/>
      <c r="C1458" s="46"/>
      <c r="D1458" s="46"/>
      <c r="E1458" s="46"/>
      <c r="F1458" s="2"/>
      <c r="G1458" s="46"/>
      <c r="H1458" s="2"/>
      <c r="I1458" s="2"/>
      <c r="J1458" s="2"/>
    </row>
    <row r="1459" spans="2:10" x14ac:dyDescent="0.2">
      <c r="B1459" s="2"/>
      <c r="C1459" s="46"/>
      <c r="D1459" s="46"/>
      <c r="E1459" s="46"/>
      <c r="F1459" s="2"/>
      <c r="G1459" s="46"/>
      <c r="H1459" s="2"/>
      <c r="I1459" s="2"/>
      <c r="J1459" s="2"/>
    </row>
    <row r="1460" spans="2:10" x14ac:dyDescent="0.2">
      <c r="B1460" s="2"/>
      <c r="C1460" s="46"/>
      <c r="D1460" s="46"/>
      <c r="E1460" s="46"/>
      <c r="F1460" s="2"/>
      <c r="G1460" s="46"/>
      <c r="H1460" s="2"/>
      <c r="I1460" s="2"/>
      <c r="J1460" s="2"/>
    </row>
    <row r="1461" spans="2:10" x14ac:dyDescent="0.2">
      <c r="B1461" s="2"/>
      <c r="C1461" s="46"/>
      <c r="D1461" s="46"/>
      <c r="E1461" s="46"/>
      <c r="F1461" s="2"/>
      <c r="G1461" s="46"/>
      <c r="H1461" s="2"/>
      <c r="I1461" s="2"/>
      <c r="J1461" s="2"/>
    </row>
    <row r="1462" spans="2:10" x14ac:dyDescent="0.2">
      <c r="B1462" s="2"/>
      <c r="C1462" s="46"/>
      <c r="D1462" s="46"/>
      <c r="E1462" s="46"/>
      <c r="F1462" s="2"/>
      <c r="G1462" s="46"/>
      <c r="H1462" s="2"/>
      <c r="I1462" s="2"/>
      <c r="J1462" s="2"/>
    </row>
    <row r="1463" spans="2:10" x14ac:dyDescent="0.2">
      <c r="B1463" s="2"/>
      <c r="C1463" s="46"/>
      <c r="D1463" s="46"/>
      <c r="E1463" s="46"/>
      <c r="F1463" s="2"/>
      <c r="G1463" s="46"/>
      <c r="H1463" s="2"/>
      <c r="I1463" s="2"/>
      <c r="J1463" s="2"/>
    </row>
    <row r="1464" spans="2:10" x14ac:dyDescent="0.2">
      <c r="B1464" s="2"/>
      <c r="C1464" s="46"/>
      <c r="D1464" s="46"/>
      <c r="E1464" s="46"/>
      <c r="F1464" s="2"/>
      <c r="G1464" s="46"/>
      <c r="H1464" s="2"/>
      <c r="I1464" s="2"/>
      <c r="J1464" s="2"/>
    </row>
    <row r="1465" spans="2:10" x14ac:dyDescent="0.2">
      <c r="B1465" s="2"/>
      <c r="C1465" s="46"/>
      <c r="D1465" s="46"/>
      <c r="E1465" s="46"/>
      <c r="F1465" s="2"/>
      <c r="G1465" s="46"/>
      <c r="H1465" s="2"/>
      <c r="I1465" s="2"/>
      <c r="J1465" s="2"/>
    </row>
    <row r="1466" spans="2:10" x14ac:dyDescent="0.2">
      <c r="B1466" s="2"/>
      <c r="C1466" s="46"/>
      <c r="D1466" s="46"/>
      <c r="E1466" s="46"/>
      <c r="F1466" s="2"/>
      <c r="G1466" s="46"/>
      <c r="H1466" s="2"/>
      <c r="I1466" s="2"/>
      <c r="J1466" s="2"/>
    </row>
    <row r="1467" spans="2:10" x14ac:dyDescent="0.2">
      <c r="B1467" s="2"/>
      <c r="C1467" s="46"/>
      <c r="D1467" s="46"/>
      <c r="E1467" s="46"/>
      <c r="F1467" s="2"/>
      <c r="G1467" s="46"/>
      <c r="H1467" s="2"/>
      <c r="I1467" s="2"/>
      <c r="J1467" s="2"/>
    </row>
    <row r="1468" spans="2:10" x14ac:dyDescent="0.2">
      <c r="B1468" s="2"/>
      <c r="C1468" s="46"/>
      <c r="D1468" s="46"/>
      <c r="E1468" s="46"/>
      <c r="F1468" s="2"/>
      <c r="G1468" s="46"/>
      <c r="H1468" s="2"/>
      <c r="I1468" s="2"/>
      <c r="J1468" s="2"/>
    </row>
    <row r="1469" spans="2:10" x14ac:dyDescent="0.2">
      <c r="B1469" s="2"/>
      <c r="C1469" s="46"/>
      <c r="D1469" s="46"/>
      <c r="E1469" s="46"/>
      <c r="F1469" s="2"/>
      <c r="G1469" s="46"/>
      <c r="H1469" s="2"/>
      <c r="I1469" s="2"/>
      <c r="J1469" s="2"/>
    </row>
    <row r="1470" spans="2:10" x14ac:dyDescent="0.2">
      <c r="B1470" s="2"/>
      <c r="C1470" s="46"/>
      <c r="D1470" s="46"/>
      <c r="E1470" s="46"/>
      <c r="F1470" s="2"/>
      <c r="G1470" s="46"/>
      <c r="H1470" s="2"/>
      <c r="I1470" s="2"/>
      <c r="J1470" s="2"/>
    </row>
    <row r="1471" spans="2:10" x14ac:dyDescent="0.2">
      <c r="B1471" s="2"/>
      <c r="C1471" s="46"/>
      <c r="D1471" s="46"/>
      <c r="E1471" s="46"/>
      <c r="F1471" s="2"/>
      <c r="G1471" s="46"/>
      <c r="H1471" s="2"/>
      <c r="I1471" s="2"/>
      <c r="J1471" s="2"/>
    </row>
    <row r="1472" spans="2:10" x14ac:dyDescent="0.2">
      <c r="B1472" s="2"/>
      <c r="C1472" s="46"/>
      <c r="D1472" s="46"/>
      <c r="E1472" s="46"/>
      <c r="F1472" s="2"/>
      <c r="G1472" s="46"/>
      <c r="H1472" s="2"/>
      <c r="I1472" s="2"/>
      <c r="J1472" s="2"/>
    </row>
    <row r="1473" spans="2:10" x14ac:dyDescent="0.2">
      <c r="B1473" s="2"/>
      <c r="C1473" s="46"/>
      <c r="D1473" s="46"/>
      <c r="E1473" s="46"/>
      <c r="F1473" s="2"/>
      <c r="G1473" s="46"/>
      <c r="H1473" s="2"/>
      <c r="I1473" s="2"/>
      <c r="J1473" s="2"/>
    </row>
    <row r="1474" spans="2:10" x14ac:dyDescent="0.2">
      <c r="B1474" s="2"/>
      <c r="C1474" s="46"/>
      <c r="D1474" s="46"/>
      <c r="E1474" s="46"/>
      <c r="F1474" s="2"/>
      <c r="G1474" s="46"/>
      <c r="H1474" s="2"/>
      <c r="I1474" s="2"/>
      <c r="J1474" s="2"/>
    </row>
    <row r="1475" spans="2:10" x14ac:dyDescent="0.2">
      <c r="B1475" s="2"/>
      <c r="C1475" s="46"/>
      <c r="D1475" s="46"/>
      <c r="E1475" s="46"/>
      <c r="F1475" s="2"/>
      <c r="G1475" s="46"/>
      <c r="H1475" s="2"/>
      <c r="I1475" s="2"/>
      <c r="J1475" s="2"/>
    </row>
    <row r="1476" spans="2:10" x14ac:dyDescent="0.2">
      <c r="B1476" s="2"/>
      <c r="C1476" s="46"/>
      <c r="D1476" s="46"/>
      <c r="E1476" s="46"/>
      <c r="F1476" s="2"/>
      <c r="G1476" s="46"/>
      <c r="H1476" s="2"/>
      <c r="I1476" s="2"/>
      <c r="J1476" s="2"/>
    </row>
    <row r="1477" spans="2:10" x14ac:dyDescent="0.2">
      <c r="B1477" s="2"/>
      <c r="C1477" s="46"/>
      <c r="D1477" s="46"/>
      <c r="E1477" s="46"/>
      <c r="F1477" s="2"/>
      <c r="G1477" s="46"/>
      <c r="H1477" s="2"/>
      <c r="I1477" s="2"/>
      <c r="J1477" s="2"/>
    </row>
    <row r="1478" spans="2:10" x14ac:dyDescent="0.2">
      <c r="B1478" s="2"/>
      <c r="C1478" s="46"/>
      <c r="D1478" s="46"/>
      <c r="E1478" s="46"/>
      <c r="F1478" s="2"/>
      <c r="G1478" s="46"/>
      <c r="H1478" s="2"/>
      <c r="I1478" s="2"/>
      <c r="J1478" s="2"/>
    </row>
    <row r="1479" spans="2:10" x14ac:dyDescent="0.2">
      <c r="B1479" s="2"/>
      <c r="C1479" s="46"/>
      <c r="D1479" s="46"/>
      <c r="E1479" s="46"/>
      <c r="F1479" s="2"/>
      <c r="G1479" s="46"/>
      <c r="H1479" s="2"/>
      <c r="I1479" s="2"/>
      <c r="J1479" s="2"/>
    </row>
    <row r="1480" spans="2:10" x14ac:dyDescent="0.2">
      <c r="B1480" s="2"/>
      <c r="C1480" s="46"/>
      <c r="D1480" s="46"/>
      <c r="E1480" s="46"/>
      <c r="F1480" s="6"/>
      <c r="G1480" s="46"/>
      <c r="H1480" s="2"/>
      <c r="I1480" s="2"/>
      <c r="J1480" s="2"/>
    </row>
    <row r="1481" spans="2:10" x14ac:dyDescent="0.2">
      <c r="B1481" s="2"/>
      <c r="C1481" s="46"/>
      <c r="D1481" s="46"/>
      <c r="E1481" s="46"/>
      <c r="F1481" s="2"/>
      <c r="G1481" s="46"/>
      <c r="H1481" s="2"/>
      <c r="I1481" s="2"/>
      <c r="J1481" s="2"/>
    </row>
    <row r="1482" spans="2:10" x14ac:dyDescent="0.2">
      <c r="B1482" s="2"/>
      <c r="C1482" s="46"/>
      <c r="D1482" s="46"/>
      <c r="E1482" s="46"/>
      <c r="F1482" s="2"/>
      <c r="G1482" s="46"/>
      <c r="H1482" s="2"/>
      <c r="I1482" s="2"/>
      <c r="J1482" s="2"/>
    </row>
    <row r="1483" spans="2:10" x14ac:dyDescent="0.2">
      <c r="B1483" s="2"/>
      <c r="C1483" s="46"/>
      <c r="D1483" s="46"/>
      <c r="E1483" s="46"/>
      <c r="F1483" s="2"/>
      <c r="G1483" s="46"/>
      <c r="H1483" s="2"/>
      <c r="I1483" s="2"/>
      <c r="J1483" s="2"/>
    </row>
    <row r="1484" spans="2:10" x14ac:dyDescent="0.2">
      <c r="B1484" s="2"/>
      <c r="C1484" s="46"/>
      <c r="D1484" s="46"/>
      <c r="E1484" s="46"/>
      <c r="F1484" s="2"/>
      <c r="G1484" s="46"/>
      <c r="H1484" s="2"/>
      <c r="I1484" s="2"/>
      <c r="J1484" s="2"/>
    </row>
    <row r="1485" spans="2:10" x14ac:dyDescent="0.2">
      <c r="B1485" s="2"/>
      <c r="C1485" s="46"/>
      <c r="D1485" s="46"/>
      <c r="E1485" s="46"/>
      <c r="F1485" s="2"/>
      <c r="G1485" s="46"/>
      <c r="H1485" s="2"/>
      <c r="I1485" s="2"/>
      <c r="J1485" s="2"/>
    </row>
    <row r="1486" spans="2:10" x14ac:dyDescent="0.2">
      <c r="B1486" s="2"/>
      <c r="C1486" s="46"/>
      <c r="D1486" s="46"/>
      <c r="E1486" s="46"/>
      <c r="F1486" s="2"/>
      <c r="G1486" s="46"/>
      <c r="H1486" s="2"/>
      <c r="I1486" s="2"/>
      <c r="J1486" s="2"/>
    </row>
    <row r="1487" spans="2:10" x14ac:dyDescent="0.2">
      <c r="B1487" s="2"/>
      <c r="C1487" s="46"/>
      <c r="D1487" s="46"/>
      <c r="E1487" s="46"/>
      <c r="F1487" s="2"/>
      <c r="G1487" s="46"/>
      <c r="H1487" s="2"/>
      <c r="I1487" s="2"/>
      <c r="J1487" s="2"/>
    </row>
    <row r="1488" spans="2:10" x14ac:dyDescent="0.2">
      <c r="B1488" s="2"/>
      <c r="C1488" s="46"/>
      <c r="D1488" s="46"/>
      <c r="E1488" s="46"/>
      <c r="F1488" s="2"/>
      <c r="G1488" s="46"/>
      <c r="H1488" s="2"/>
      <c r="I1488" s="2"/>
      <c r="J1488" s="2"/>
    </row>
    <row r="1489" spans="2:10" x14ac:dyDescent="0.2">
      <c r="B1489" s="2"/>
      <c r="C1489" s="46"/>
      <c r="D1489" s="46"/>
      <c r="E1489" s="46"/>
      <c r="F1489" s="2"/>
      <c r="G1489" s="46"/>
      <c r="H1489" s="2"/>
      <c r="I1489" s="2"/>
      <c r="J1489" s="2"/>
    </row>
    <row r="1490" spans="2:10" x14ac:dyDescent="0.2">
      <c r="B1490" s="2"/>
      <c r="C1490" s="46"/>
      <c r="D1490" s="46"/>
      <c r="E1490" s="46"/>
      <c r="F1490" s="2"/>
      <c r="G1490" s="46"/>
      <c r="H1490" s="2"/>
      <c r="I1490" s="2"/>
      <c r="J1490" s="2"/>
    </row>
    <row r="1491" spans="2:10" x14ac:dyDescent="0.2">
      <c r="B1491" s="2"/>
      <c r="C1491" s="46"/>
      <c r="D1491" s="46"/>
      <c r="E1491" s="46"/>
      <c r="F1491" s="2"/>
      <c r="G1491" s="46"/>
      <c r="H1491" s="2"/>
      <c r="I1491" s="2"/>
      <c r="J1491" s="2"/>
    </row>
    <row r="1492" spans="2:10" x14ac:dyDescent="0.2">
      <c r="B1492" s="2"/>
      <c r="C1492" s="46"/>
      <c r="D1492" s="46"/>
      <c r="E1492" s="46"/>
      <c r="F1492" s="2"/>
      <c r="G1492" s="46"/>
      <c r="H1492" s="2"/>
      <c r="I1492" s="2"/>
      <c r="J1492" s="2"/>
    </row>
    <row r="1493" spans="2:10" x14ac:dyDescent="0.2">
      <c r="B1493" s="2"/>
      <c r="C1493" s="46"/>
      <c r="D1493" s="46"/>
      <c r="E1493" s="46"/>
      <c r="F1493" s="2"/>
      <c r="G1493" s="46"/>
      <c r="H1493" s="2"/>
      <c r="I1493" s="2"/>
      <c r="J1493" s="2"/>
    </row>
    <row r="1494" spans="2:10" x14ac:dyDescent="0.2">
      <c r="B1494" s="2"/>
      <c r="C1494" s="46"/>
      <c r="D1494" s="46"/>
      <c r="E1494" s="46"/>
      <c r="F1494" s="6"/>
      <c r="G1494" s="46"/>
      <c r="H1494" s="2"/>
      <c r="I1494" s="2"/>
      <c r="J1494" s="2"/>
    </row>
    <row r="1495" spans="2:10" x14ac:dyDescent="0.2">
      <c r="B1495" s="2"/>
      <c r="C1495" s="46"/>
      <c r="D1495" s="46"/>
      <c r="E1495" s="46"/>
      <c r="F1495" s="2"/>
      <c r="G1495" s="46"/>
      <c r="H1495" s="2"/>
      <c r="I1495" s="2"/>
      <c r="J1495" s="2"/>
    </row>
    <row r="1496" spans="2:10" x14ac:dyDescent="0.2">
      <c r="B1496" s="2"/>
      <c r="C1496" s="46"/>
      <c r="D1496" s="46"/>
      <c r="E1496" s="46"/>
      <c r="F1496" s="6"/>
      <c r="G1496" s="46"/>
      <c r="H1496" s="2"/>
      <c r="I1496" s="2"/>
      <c r="J1496" s="2"/>
    </row>
    <row r="1497" spans="2:10" x14ac:dyDescent="0.2">
      <c r="B1497" s="2"/>
      <c r="C1497" s="46"/>
      <c r="D1497" s="46"/>
      <c r="E1497" s="46"/>
      <c r="F1497" s="2"/>
      <c r="G1497" s="46"/>
      <c r="H1497" s="2"/>
      <c r="I1497" s="2"/>
      <c r="J1497" s="2"/>
    </row>
    <row r="1498" spans="2:10" x14ac:dyDescent="0.2">
      <c r="B1498" s="2"/>
      <c r="C1498" s="46"/>
      <c r="D1498" s="46"/>
      <c r="E1498" s="46"/>
      <c r="F1498" s="2"/>
      <c r="G1498" s="46"/>
      <c r="H1498" s="2"/>
      <c r="I1498" s="2"/>
      <c r="J1498" s="2"/>
    </row>
    <row r="1499" spans="2:10" x14ac:dyDescent="0.2">
      <c r="B1499" s="2"/>
      <c r="C1499" s="46"/>
      <c r="D1499" s="46"/>
      <c r="E1499" s="46"/>
      <c r="F1499" s="2"/>
      <c r="G1499" s="46"/>
      <c r="H1499" s="2"/>
      <c r="I1499" s="2"/>
      <c r="J1499" s="2"/>
    </row>
    <row r="1500" spans="2:10" x14ac:dyDescent="0.2">
      <c r="B1500" s="2"/>
      <c r="C1500" s="46"/>
      <c r="D1500" s="46"/>
      <c r="E1500" s="46"/>
      <c r="F1500" s="2"/>
      <c r="G1500" s="46"/>
      <c r="H1500" s="2"/>
      <c r="I1500" s="2"/>
      <c r="J1500" s="2"/>
    </row>
    <row r="1501" spans="2:10" x14ac:dyDescent="0.2">
      <c r="B1501" s="2"/>
      <c r="C1501" s="46"/>
      <c r="D1501" s="46"/>
      <c r="E1501" s="46"/>
      <c r="F1501" s="2"/>
      <c r="G1501" s="46"/>
      <c r="H1501" s="2"/>
      <c r="I1501" s="2"/>
      <c r="J1501" s="2"/>
    </row>
    <row r="1502" spans="2:10" x14ac:dyDescent="0.2">
      <c r="B1502" s="2"/>
      <c r="C1502" s="46"/>
      <c r="D1502" s="46"/>
      <c r="E1502" s="46"/>
      <c r="F1502" s="2"/>
      <c r="G1502" s="46"/>
      <c r="H1502" s="2"/>
      <c r="I1502" s="2"/>
      <c r="J1502" s="2"/>
    </row>
    <row r="1503" spans="2:10" x14ac:dyDescent="0.2">
      <c r="B1503" s="2"/>
      <c r="C1503" s="46"/>
      <c r="D1503" s="46"/>
      <c r="E1503" s="46"/>
      <c r="F1503" s="2"/>
      <c r="G1503" s="46"/>
      <c r="H1503" s="2"/>
      <c r="I1503" s="2"/>
      <c r="J1503" s="2"/>
    </row>
    <row r="1504" spans="2:10" x14ac:dyDescent="0.2">
      <c r="B1504" s="2"/>
      <c r="C1504" s="46"/>
      <c r="D1504" s="46"/>
      <c r="E1504" s="46"/>
      <c r="F1504" s="2"/>
      <c r="G1504" s="46"/>
      <c r="H1504" s="2"/>
      <c r="I1504" s="2"/>
      <c r="J1504" s="2"/>
    </row>
    <row r="1505" spans="2:10" x14ac:dyDescent="0.2">
      <c r="B1505" s="2"/>
      <c r="C1505" s="46"/>
      <c r="D1505" s="46"/>
      <c r="E1505" s="46"/>
      <c r="F1505" s="2"/>
      <c r="G1505" s="46"/>
      <c r="H1505" s="2"/>
      <c r="I1505" s="2"/>
      <c r="J1505" s="2"/>
    </row>
    <row r="1506" spans="2:10" x14ac:dyDescent="0.2">
      <c r="B1506" s="2"/>
      <c r="C1506" s="46"/>
      <c r="D1506" s="46"/>
      <c r="E1506" s="46"/>
      <c r="F1506" s="2"/>
      <c r="G1506" s="46"/>
      <c r="H1506" s="2"/>
      <c r="I1506" s="2"/>
      <c r="J1506" s="2"/>
    </row>
    <row r="1507" spans="2:10" x14ac:dyDescent="0.2">
      <c r="B1507" s="2"/>
      <c r="C1507" s="46"/>
      <c r="D1507" s="46"/>
      <c r="E1507" s="46"/>
      <c r="F1507" s="2"/>
      <c r="G1507" s="46"/>
      <c r="H1507" s="2"/>
      <c r="I1507" s="2"/>
      <c r="J1507" s="2"/>
    </row>
    <row r="1508" spans="2:10" x14ac:dyDescent="0.2">
      <c r="B1508" s="2"/>
      <c r="C1508" s="46"/>
      <c r="D1508" s="46"/>
      <c r="E1508" s="46"/>
      <c r="F1508" s="2"/>
      <c r="G1508" s="46"/>
      <c r="H1508" s="2"/>
      <c r="I1508" s="2"/>
      <c r="J1508" s="2"/>
    </row>
    <row r="1509" spans="2:10" x14ac:dyDescent="0.2">
      <c r="B1509" s="2"/>
      <c r="C1509" s="46"/>
      <c r="D1509" s="46"/>
      <c r="E1509" s="46"/>
      <c r="F1509" s="2"/>
      <c r="G1509" s="46"/>
      <c r="H1509" s="2"/>
      <c r="I1509" s="2"/>
      <c r="J1509" s="2"/>
    </row>
    <row r="1510" spans="2:10" x14ac:dyDescent="0.2">
      <c r="B1510" s="2"/>
      <c r="C1510" s="46"/>
      <c r="D1510" s="46"/>
      <c r="E1510" s="46"/>
      <c r="F1510" s="6"/>
      <c r="G1510" s="46"/>
      <c r="H1510" s="2"/>
      <c r="I1510" s="2"/>
      <c r="J1510" s="2"/>
    </row>
    <row r="1511" spans="2:10" x14ac:dyDescent="0.2">
      <c r="B1511" s="2"/>
      <c r="C1511" s="46"/>
      <c r="D1511" s="46"/>
      <c r="E1511" s="46"/>
      <c r="F1511" s="2"/>
      <c r="G1511" s="46"/>
      <c r="H1511" s="2"/>
      <c r="I1511" s="2"/>
      <c r="J1511" s="2"/>
    </row>
    <row r="1512" spans="2:10" x14ac:dyDescent="0.2">
      <c r="B1512" s="2"/>
      <c r="C1512" s="46"/>
      <c r="D1512" s="46"/>
      <c r="E1512" s="46"/>
      <c r="F1512" s="2"/>
      <c r="G1512" s="46"/>
      <c r="H1512" s="2"/>
      <c r="I1512" s="2"/>
      <c r="J1512" s="2"/>
    </row>
    <row r="1513" spans="2:10" x14ac:dyDescent="0.2">
      <c r="B1513" s="2"/>
      <c r="C1513" s="46"/>
      <c r="D1513" s="46"/>
      <c r="E1513" s="46"/>
      <c r="F1513" s="2"/>
      <c r="G1513" s="46"/>
      <c r="H1513" s="2"/>
      <c r="I1513" s="2"/>
      <c r="J1513" s="2"/>
    </row>
    <row r="1514" spans="2:10" x14ac:dyDescent="0.2">
      <c r="B1514" s="2"/>
      <c r="C1514" s="46"/>
      <c r="D1514" s="46"/>
      <c r="E1514" s="46"/>
      <c r="F1514" s="2"/>
      <c r="G1514" s="46"/>
      <c r="H1514" s="2"/>
      <c r="I1514" s="2"/>
      <c r="J1514" s="2"/>
    </row>
    <row r="1515" spans="2:10" x14ac:dyDescent="0.2">
      <c r="B1515" s="2"/>
      <c r="C1515" s="46"/>
      <c r="D1515" s="46"/>
      <c r="E1515" s="46"/>
      <c r="F1515" s="2"/>
      <c r="G1515" s="46"/>
      <c r="H1515" s="2"/>
      <c r="I1515" s="2"/>
      <c r="J1515" s="2"/>
    </row>
    <row r="1516" spans="2:10" x14ac:dyDescent="0.2">
      <c r="B1516" s="2"/>
      <c r="C1516" s="46"/>
      <c r="D1516" s="46"/>
      <c r="E1516" s="46"/>
      <c r="F1516" s="6"/>
      <c r="G1516" s="46"/>
      <c r="H1516" s="2"/>
      <c r="I1516" s="2"/>
      <c r="J1516" s="2"/>
    </row>
    <row r="1517" spans="2:10" x14ac:dyDescent="0.2">
      <c r="B1517" s="2"/>
      <c r="C1517" s="46"/>
      <c r="D1517" s="46"/>
      <c r="E1517" s="46"/>
      <c r="F1517" s="2"/>
      <c r="G1517" s="46"/>
      <c r="H1517" s="2"/>
      <c r="I1517" s="2"/>
      <c r="J1517" s="2"/>
    </row>
    <row r="1518" spans="2:10" x14ac:dyDescent="0.2">
      <c r="B1518" s="2"/>
      <c r="C1518" s="46"/>
      <c r="D1518" s="46"/>
      <c r="E1518" s="46"/>
      <c r="F1518" s="2"/>
      <c r="G1518" s="46"/>
      <c r="H1518" s="2"/>
      <c r="I1518" s="2"/>
      <c r="J1518" s="2"/>
    </row>
    <row r="1519" spans="2:10" x14ac:dyDescent="0.2">
      <c r="B1519" s="2"/>
      <c r="C1519" s="46"/>
      <c r="D1519" s="46"/>
      <c r="E1519" s="46"/>
      <c r="F1519" s="2"/>
      <c r="G1519" s="46"/>
      <c r="H1519" s="2"/>
      <c r="I1519" s="2"/>
      <c r="J1519" s="2"/>
    </row>
    <row r="1520" spans="2:10" x14ac:dyDescent="0.2">
      <c r="B1520" s="2"/>
      <c r="C1520" s="46"/>
      <c r="D1520" s="46"/>
      <c r="E1520" s="46"/>
      <c r="F1520" s="2"/>
      <c r="G1520" s="46"/>
      <c r="H1520" s="2"/>
      <c r="I1520" s="2"/>
      <c r="J1520" s="2"/>
    </row>
    <row r="1521" spans="2:10" x14ac:dyDescent="0.2">
      <c r="B1521" s="2"/>
      <c r="C1521" s="46"/>
      <c r="D1521" s="46"/>
      <c r="E1521" s="46"/>
      <c r="F1521" s="2"/>
      <c r="G1521" s="46"/>
      <c r="H1521" s="2"/>
      <c r="I1521" s="2"/>
      <c r="J1521" s="2"/>
    </row>
    <row r="1522" spans="2:10" x14ac:dyDescent="0.2">
      <c r="B1522" s="2"/>
      <c r="C1522" s="46"/>
      <c r="D1522" s="46"/>
      <c r="E1522" s="46"/>
      <c r="F1522" s="2"/>
      <c r="G1522" s="46"/>
      <c r="H1522" s="2"/>
      <c r="I1522" s="2"/>
      <c r="J1522" s="2"/>
    </row>
    <row r="1523" spans="2:10" x14ac:dyDescent="0.2">
      <c r="B1523" s="2"/>
      <c r="C1523" s="46"/>
      <c r="D1523" s="46"/>
      <c r="E1523" s="46"/>
      <c r="F1523" s="2"/>
      <c r="G1523" s="46"/>
      <c r="H1523" s="2"/>
      <c r="I1523" s="2"/>
      <c r="J1523" s="2"/>
    </row>
    <row r="1524" spans="2:10" x14ac:dyDescent="0.2">
      <c r="B1524" s="2"/>
      <c r="C1524" s="46"/>
      <c r="D1524" s="46"/>
      <c r="E1524" s="46"/>
      <c r="F1524" s="2"/>
      <c r="G1524" s="46"/>
      <c r="H1524" s="2"/>
      <c r="I1524" s="2"/>
      <c r="J1524" s="2"/>
    </row>
    <row r="1525" spans="2:10" x14ac:dyDescent="0.2">
      <c r="B1525" s="2"/>
      <c r="C1525" s="46"/>
      <c r="D1525" s="46"/>
      <c r="E1525" s="46"/>
      <c r="F1525" s="2"/>
      <c r="G1525" s="46"/>
      <c r="H1525" s="2"/>
      <c r="I1525" s="2"/>
      <c r="J1525" s="2"/>
    </row>
    <row r="1526" spans="2:10" x14ac:dyDescent="0.2">
      <c r="B1526" s="2"/>
      <c r="C1526" s="46"/>
      <c r="D1526" s="46"/>
      <c r="E1526" s="46"/>
      <c r="F1526" s="2"/>
      <c r="G1526" s="46"/>
      <c r="H1526" s="2"/>
      <c r="I1526" s="2"/>
      <c r="J1526" s="2"/>
    </row>
    <row r="1527" spans="2:10" x14ac:dyDescent="0.2">
      <c r="B1527" s="2"/>
      <c r="C1527" s="46"/>
      <c r="D1527" s="46"/>
      <c r="E1527" s="46"/>
      <c r="F1527" s="2"/>
      <c r="G1527" s="46"/>
      <c r="H1527" s="2"/>
      <c r="I1527" s="2"/>
      <c r="J1527" s="2"/>
    </row>
    <row r="1528" spans="2:10" x14ac:dyDescent="0.2">
      <c r="B1528" s="2"/>
      <c r="C1528" s="46"/>
      <c r="D1528" s="46"/>
      <c r="E1528" s="46"/>
      <c r="F1528" s="2"/>
      <c r="G1528" s="46"/>
      <c r="H1528" s="2"/>
      <c r="I1528" s="2"/>
      <c r="J1528" s="2"/>
    </row>
    <row r="1529" spans="2:10" x14ac:dyDescent="0.2">
      <c r="B1529" s="2"/>
      <c r="C1529" s="46"/>
      <c r="D1529" s="46"/>
      <c r="E1529" s="46"/>
      <c r="F1529" s="2"/>
      <c r="G1529" s="46"/>
      <c r="H1529" s="2"/>
      <c r="I1529" s="2"/>
      <c r="J1529" s="2"/>
    </row>
    <row r="1530" spans="2:10" x14ac:dyDescent="0.2">
      <c r="B1530" s="2"/>
      <c r="C1530" s="46"/>
      <c r="D1530" s="46"/>
      <c r="E1530" s="46"/>
      <c r="F1530" s="2"/>
      <c r="G1530" s="46"/>
      <c r="H1530" s="2"/>
      <c r="I1530" s="2"/>
      <c r="J1530" s="2"/>
    </row>
    <row r="1531" spans="2:10" x14ac:dyDescent="0.2">
      <c r="B1531" s="2"/>
      <c r="C1531" s="46"/>
      <c r="D1531" s="46"/>
      <c r="E1531" s="46"/>
      <c r="F1531" s="2"/>
      <c r="G1531" s="46"/>
      <c r="H1531" s="2"/>
      <c r="I1531" s="2"/>
      <c r="J1531" s="2"/>
    </row>
    <row r="1532" spans="2:10" x14ac:dyDescent="0.2">
      <c r="B1532" s="2"/>
      <c r="C1532" s="46"/>
      <c r="D1532" s="46"/>
      <c r="E1532" s="46"/>
      <c r="F1532" s="2"/>
      <c r="G1532" s="46"/>
      <c r="H1532" s="2"/>
      <c r="I1532" s="2"/>
      <c r="J1532" s="2"/>
    </row>
    <row r="1533" spans="2:10" x14ac:dyDescent="0.2">
      <c r="B1533" s="2"/>
      <c r="C1533" s="46"/>
      <c r="D1533" s="46"/>
      <c r="E1533" s="46"/>
      <c r="F1533" s="2"/>
      <c r="G1533" s="46"/>
      <c r="H1533" s="2"/>
      <c r="I1533" s="2"/>
      <c r="J1533" s="2"/>
    </row>
    <row r="1534" spans="2:10" x14ac:dyDescent="0.2">
      <c r="B1534" s="2"/>
      <c r="C1534" s="46"/>
      <c r="D1534" s="46"/>
      <c r="E1534" s="46"/>
      <c r="F1534" s="2"/>
      <c r="G1534" s="46"/>
      <c r="H1534" s="2"/>
      <c r="I1534" s="2"/>
      <c r="J1534" s="2"/>
    </row>
    <row r="1535" spans="2:10" x14ac:dyDescent="0.2">
      <c r="B1535" s="2"/>
      <c r="C1535" s="46"/>
      <c r="D1535" s="46"/>
      <c r="E1535" s="46"/>
      <c r="F1535" s="2"/>
      <c r="G1535" s="46"/>
      <c r="H1535" s="2"/>
      <c r="I1535" s="2"/>
      <c r="J1535" s="2"/>
    </row>
    <row r="1536" spans="2:10" x14ac:dyDescent="0.2">
      <c r="B1536" s="2"/>
      <c r="C1536" s="46"/>
      <c r="D1536" s="46"/>
      <c r="E1536" s="46"/>
      <c r="F1536" s="6"/>
      <c r="G1536" s="46"/>
      <c r="H1536" s="2"/>
      <c r="I1536" s="2"/>
      <c r="J1536" s="2"/>
    </row>
    <row r="1537" spans="2:10" x14ac:dyDescent="0.2">
      <c r="B1537" s="2"/>
      <c r="C1537" s="46"/>
      <c r="D1537" s="46"/>
      <c r="E1537" s="46"/>
      <c r="F1537" s="6"/>
      <c r="G1537" s="46"/>
      <c r="H1537" s="2"/>
      <c r="I1537" s="2"/>
      <c r="J1537" s="2"/>
    </row>
    <row r="1538" spans="2:10" x14ac:dyDescent="0.2">
      <c r="B1538" s="2"/>
      <c r="C1538" s="46"/>
      <c r="D1538" s="46"/>
      <c r="E1538" s="46"/>
      <c r="F1538" s="2"/>
      <c r="G1538" s="46"/>
      <c r="H1538" s="2"/>
      <c r="I1538" s="2"/>
      <c r="J1538" s="2"/>
    </row>
    <row r="1539" spans="2:10" x14ac:dyDescent="0.2">
      <c r="B1539" s="2"/>
      <c r="C1539" s="46"/>
      <c r="D1539" s="46"/>
      <c r="E1539" s="46"/>
      <c r="F1539" s="2"/>
      <c r="G1539" s="46"/>
      <c r="H1539" s="2"/>
      <c r="I1539" s="2"/>
      <c r="J1539" s="2"/>
    </row>
    <row r="1540" spans="2:10" x14ac:dyDescent="0.2">
      <c r="B1540" s="2"/>
      <c r="C1540" s="46"/>
      <c r="D1540" s="46"/>
      <c r="E1540" s="46"/>
      <c r="F1540" s="2"/>
      <c r="G1540" s="46"/>
      <c r="H1540" s="2"/>
      <c r="I1540" s="2"/>
      <c r="J1540" s="2"/>
    </row>
    <row r="1541" spans="2:10" x14ac:dyDescent="0.2">
      <c r="B1541" s="2"/>
      <c r="C1541" s="46"/>
      <c r="D1541" s="46"/>
      <c r="E1541" s="46"/>
      <c r="F1541" s="2"/>
      <c r="G1541" s="46"/>
      <c r="H1541" s="2"/>
      <c r="I1541" s="2"/>
      <c r="J1541" s="2"/>
    </row>
    <row r="1542" spans="2:10" x14ac:dyDescent="0.2">
      <c r="B1542" s="2"/>
      <c r="C1542" s="46"/>
      <c r="D1542" s="46"/>
      <c r="E1542" s="46"/>
      <c r="F1542" s="6"/>
      <c r="G1542" s="46"/>
      <c r="H1542" s="2"/>
      <c r="I1542" s="2"/>
      <c r="J1542" s="2"/>
    </row>
    <row r="1543" spans="2:10" x14ac:dyDescent="0.2">
      <c r="B1543" s="2"/>
      <c r="C1543" s="46"/>
      <c r="D1543" s="46"/>
      <c r="E1543" s="46"/>
      <c r="F1543" s="2"/>
      <c r="G1543" s="46"/>
      <c r="H1543" s="2"/>
      <c r="I1543" s="2"/>
      <c r="J1543" s="2"/>
    </row>
    <row r="1544" spans="2:10" x14ac:dyDescent="0.2">
      <c r="B1544" s="2"/>
      <c r="C1544" s="46"/>
      <c r="D1544" s="46"/>
      <c r="E1544" s="46"/>
      <c r="F1544" s="2"/>
      <c r="G1544" s="46"/>
      <c r="H1544" s="2"/>
      <c r="I1544" s="2"/>
      <c r="J1544" s="2"/>
    </row>
    <row r="1545" spans="2:10" x14ac:dyDescent="0.2">
      <c r="B1545" s="2"/>
      <c r="C1545" s="46"/>
      <c r="D1545" s="46"/>
      <c r="E1545" s="46"/>
      <c r="F1545" s="2"/>
      <c r="G1545" s="46"/>
      <c r="H1545" s="2"/>
      <c r="I1545" s="2"/>
      <c r="J1545" s="2"/>
    </row>
    <row r="1546" spans="2:10" x14ac:dyDescent="0.2">
      <c r="B1546" s="2"/>
      <c r="C1546" s="46"/>
      <c r="D1546" s="46"/>
      <c r="E1546" s="46"/>
      <c r="F1546" s="2"/>
      <c r="G1546" s="46"/>
      <c r="H1546" s="2"/>
      <c r="I1546" s="2"/>
      <c r="J1546" s="2"/>
    </row>
    <row r="1547" spans="2:10" x14ac:dyDescent="0.2">
      <c r="B1547" s="2"/>
      <c r="C1547" s="46"/>
      <c r="D1547" s="46"/>
      <c r="E1547" s="46"/>
      <c r="F1547" s="2"/>
      <c r="G1547" s="46"/>
      <c r="H1547" s="2"/>
      <c r="I1547" s="2"/>
      <c r="J1547" s="2"/>
    </row>
    <row r="1548" spans="2:10" x14ac:dyDescent="0.2">
      <c r="B1548" s="2"/>
      <c r="C1548" s="46"/>
      <c r="D1548" s="46"/>
      <c r="E1548" s="46"/>
      <c r="F1548" s="2"/>
      <c r="G1548" s="46"/>
      <c r="H1548" s="2"/>
      <c r="I1548" s="2"/>
      <c r="J1548" s="2"/>
    </row>
    <row r="1549" spans="2:10" x14ac:dyDescent="0.2">
      <c r="B1549" s="2"/>
      <c r="C1549" s="46"/>
      <c r="D1549" s="46"/>
      <c r="E1549" s="46"/>
      <c r="F1549" s="2"/>
      <c r="G1549" s="46"/>
      <c r="H1549" s="2"/>
      <c r="I1549" s="2"/>
      <c r="J1549" s="2"/>
    </row>
    <row r="1550" spans="2:10" x14ac:dyDescent="0.2">
      <c r="B1550" s="2"/>
      <c r="C1550" s="46"/>
      <c r="D1550" s="46"/>
      <c r="E1550" s="46"/>
      <c r="F1550" s="2"/>
      <c r="G1550" s="46"/>
      <c r="H1550" s="2"/>
      <c r="I1550" s="2"/>
      <c r="J1550" s="2"/>
    </row>
    <row r="1551" spans="2:10" x14ac:dyDescent="0.2">
      <c r="B1551" s="2"/>
      <c r="C1551" s="46"/>
      <c r="D1551" s="46"/>
      <c r="E1551" s="46"/>
      <c r="F1551" s="2"/>
      <c r="G1551" s="46"/>
      <c r="H1551" s="2"/>
      <c r="I1551" s="2"/>
      <c r="J1551" s="2"/>
    </row>
    <row r="1552" spans="2:10" x14ac:dyDescent="0.2">
      <c r="B1552" s="2"/>
      <c r="C1552" s="46"/>
      <c r="D1552" s="46"/>
      <c r="E1552" s="46"/>
      <c r="F1552" s="2"/>
      <c r="G1552" s="46"/>
      <c r="H1552" s="2"/>
      <c r="I1552" s="2"/>
      <c r="J1552" s="2"/>
    </row>
    <row r="1553" spans="2:10" x14ac:dyDescent="0.2">
      <c r="B1553" s="2"/>
      <c r="C1553" s="46"/>
      <c r="D1553" s="46"/>
      <c r="E1553" s="46"/>
      <c r="F1553" s="2"/>
      <c r="G1553" s="46"/>
      <c r="H1553" s="2"/>
      <c r="I1553" s="2"/>
      <c r="J1553" s="2"/>
    </row>
    <row r="1554" spans="2:10" x14ac:dyDescent="0.2">
      <c r="B1554" s="2"/>
      <c r="C1554" s="46"/>
      <c r="D1554" s="46"/>
      <c r="E1554" s="46"/>
      <c r="F1554" s="2"/>
      <c r="G1554" s="46"/>
      <c r="H1554" s="2"/>
      <c r="I1554" s="2"/>
      <c r="J1554" s="2"/>
    </row>
    <row r="1555" spans="2:10" x14ac:dyDescent="0.2">
      <c r="B1555" s="2"/>
      <c r="C1555" s="46"/>
      <c r="D1555" s="46"/>
      <c r="E1555" s="46"/>
      <c r="F1555" s="2"/>
      <c r="G1555" s="46"/>
      <c r="H1555" s="2"/>
      <c r="I1555" s="2"/>
      <c r="J1555" s="2"/>
    </row>
    <row r="1556" spans="2:10" x14ac:dyDescent="0.2">
      <c r="B1556" s="2"/>
      <c r="C1556" s="46"/>
      <c r="D1556" s="46"/>
      <c r="E1556" s="46"/>
      <c r="F1556" s="2"/>
      <c r="G1556" s="46"/>
      <c r="H1556" s="2"/>
      <c r="I1556" s="2"/>
      <c r="J1556" s="2"/>
    </row>
    <row r="1557" spans="2:10" x14ac:dyDescent="0.2">
      <c r="B1557" s="2"/>
      <c r="C1557" s="46"/>
      <c r="D1557" s="46"/>
      <c r="E1557" s="46"/>
      <c r="F1557" s="2"/>
      <c r="G1557" s="46"/>
      <c r="H1557" s="2"/>
      <c r="I1557" s="2"/>
      <c r="J1557" s="2"/>
    </row>
    <row r="1558" spans="2:10" x14ac:dyDescent="0.2">
      <c r="B1558" s="2"/>
      <c r="C1558" s="46"/>
      <c r="D1558" s="46"/>
      <c r="E1558" s="46"/>
      <c r="F1558" s="2"/>
      <c r="G1558" s="46"/>
      <c r="H1558" s="2"/>
      <c r="I1558" s="2"/>
      <c r="J1558" s="2"/>
    </row>
    <row r="1559" spans="2:10" x14ac:dyDescent="0.2">
      <c r="B1559" s="2"/>
      <c r="C1559" s="46"/>
      <c r="D1559" s="46"/>
      <c r="E1559" s="46"/>
      <c r="F1559" s="2"/>
      <c r="G1559" s="46"/>
      <c r="H1559" s="2"/>
      <c r="I1559" s="2"/>
      <c r="J1559" s="2"/>
    </row>
    <row r="1560" spans="2:10" x14ac:dyDescent="0.2">
      <c r="B1560" s="2"/>
      <c r="C1560" s="46"/>
      <c r="D1560" s="46"/>
      <c r="E1560" s="46"/>
      <c r="F1560" s="2"/>
      <c r="G1560" s="46"/>
      <c r="H1560" s="2"/>
      <c r="I1560" s="2"/>
      <c r="J1560" s="2"/>
    </row>
    <row r="1561" spans="2:10" x14ac:dyDescent="0.2">
      <c r="B1561" s="2"/>
      <c r="C1561" s="46"/>
      <c r="D1561" s="46"/>
      <c r="E1561" s="46"/>
      <c r="F1561" s="2"/>
      <c r="G1561" s="46"/>
      <c r="H1561" s="2"/>
      <c r="I1561" s="2"/>
      <c r="J1561" s="2"/>
    </row>
    <row r="1562" spans="2:10" x14ac:dyDescent="0.2">
      <c r="B1562" s="2"/>
      <c r="C1562" s="46"/>
      <c r="D1562" s="46"/>
      <c r="E1562" s="46"/>
      <c r="F1562" s="2"/>
      <c r="G1562" s="46"/>
      <c r="H1562" s="2"/>
      <c r="I1562" s="2"/>
      <c r="J1562" s="2"/>
    </row>
    <row r="1563" spans="2:10" x14ac:dyDescent="0.2">
      <c r="B1563" s="2"/>
      <c r="C1563" s="46"/>
      <c r="D1563" s="46"/>
      <c r="E1563" s="46"/>
      <c r="F1563" s="2"/>
      <c r="G1563" s="46"/>
      <c r="H1563" s="2"/>
      <c r="I1563" s="2"/>
      <c r="J1563" s="2"/>
    </row>
    <row r="1564" spans="2:10" x14ac:dyDescent="0.2">
      <c r="B1564" s="2"/>
      <c r="C1564" s="46"/>
      <c r="D1564" s="46"/>
      <c r="E1564" s="46"/>
      <c r="F1564" s="2"/>
      <c r="G1564" s="46"/>
      <c r="H1564" s="2"/>
      <c r="I1564" s="2"/>
      <c r="J1564" s="2"/>
    </row>
    <row r="1565" spans="2:10" x14ac:dyDescent="0.2">
      <c r="B1565" s="2"/>
      <c r="C1565" s="46"/>
      <c r="D1565" s="46"/>
      <c r="E1565" s="46"/>
      <c r="F1565" s="2"/>
      <c r="G1565" s="46"/>
      <c r="H1565" s="2"/>
      <c r="I1565" s="2"/>
      <c r="J1565" s="2"/>
    </row>
    <row r="1566" spans="2:10" x14ac:dyDescent="0.2">
      <c r="B1566" s="2"/>
      <c r="C1566" s="46"/>
      <c r="D1566" s="46"/>
      <c r="E1566" s="46"/>
      <c r="F1566" s="2"/>
      <c r="G1566" s="46"/>
      <c r="H1566" s="2"/>
      <c r="I1566" s="2"/>
      <c r="J1566" s="2"/>
    </row>
    <row r="1567" spans="2:10" x14ac:dyDescent="0.2">
      <c r="B1567" s="2"/>
      <c r="C1567" s="46"/>
      <c r="D1567" s="46"/>
      <c r="E1567" s="46"/>
      <c r="F1567" s="2"/>
      <c r="G1567" s="46"/>
      <c r="H1567" s="2"/>
      <c r="I1567" s="2"/>
      <c r="J1567" s="2"/>
    </row>
    <row r="1568" spans="2:10" x14ac:dyDescent="0.2">
      <c r="B1568" s="2"/>
      <c r="C1568" s="46"/>
      <c r="D1568" s="46"/>
      <c r="E1568" s="46"/>
      <c r="F1568" s="2"/>
      <c r="G1568" s="46"/>
      <c r="H1568" s="2"/>
      <c r="I1568" s="2"/>
      <c r="J1568" s="2"/>
    </row>
    <row r="1569" spans="2:10" x14ac:dyDescent="0.2">
      <c r="B1569" s="2"/>
      <c r="C1569" s="46"/>
      <c r="D1569" s="46"/>
      <c r="E1569" s="46"/>
      <c r="F1569" s="2"/>
      <c r="G1569" s="46"/>
      <c r="H1569" s="2"/>
      <c r="I1569" s="2"/>
      <c r="J1569" s="2"/>
    </row>
    <row r="1570" spans="2:10" x14ac:dyDescent="0.2">
      <c r="B1570" s="2"/>
      <c r="C1570" s="46"/>
      <c r="D1570" s="46"/>
      <c r="E1570" s="46"/>
      <c r="F1570" s="2"/>
      <c r="G1570" s="46"/>
      <c r="H1570" s="2"/>
      <c r="I1570" s="2"/>
      <c r="J1570" s="2"/>
    </row>
    <row r="1571" spans="2:10" x14ac:dyDescent="0.2">
      <c r="B1571" s="2"/>
      <c r="C1571" s="46"/>
      <c r="D1571" s="46"/>
      <c r="E1571" s="46"/>
      <c r="F1571" s="2"/>
      <c r="G1571" s="46"/>
      <c r="H1571" s="2"/>
      <c r="I1571" s="2"/>
      <c r="J1571" s="2"/>
    </row>
    <row r="1572" spans="2:10" x14ac:dyDescent="0.2">
      <c r="B1572" s="2"/>
      <c r="C1572" s="46"/>
      <c r="D1572" s="46"/>
      <c r="E1572" s="46"/>
      <c r="F1572" s="2"/>
      <c r="G1572" s="46"/>
      <c r="H1572" s="2"/>
      <c r="I1572" s="2"/>
      <c r="J1572" s="2"/>
    </row>
    <row r="1573" spans="2:10" x14ac:dyDescent="0.2">
      <c r="B1573" s="2"/>
      <c r="C1573" s="46"/>
      <c r="D1573" s="46"/>
      <c r="E1573" s="46"/>
      <c r="F1573" s="2"/>
      <c r="G1573" s="46"/>
      <c r="H1573" s="2"/>
      <c r="I1573" s="2"/>
      <c r="J1573" s="2"/>
    </row>
    <row r="1574" spans="2:10" x14ac:dyDescent="0.2">
      <c r="B1574" s="2"/>
      <c r="C1574" s="46"/>
      <c r="D1574" s="46"/>
      <c r="E1574" s="46"/>
      <c r="F1574" s="2"/>
      <c r="G1574" s="46"/>
      <c r="H1574" s="2"/>
      <c r="I1574" s="2"/>
      <c r="J1574" s="2"/>
    </row>
    <row r="1575" spans="2:10" x14ac:dyDescent="0.2">
      <c r="B1575" s="2"/>
      <c r="C1575" s="46"/>
      <c r="D1575" s="46"/>
      <c r="E1575" s="46"/>
      <c r="F1575" s="2"/>
      <c r="G1575" s="46"/>
      <c r="H1575" s="2"/>
      <c r="I1575" s="2"/>
      <c r="J1575" s="2"/>
    </row>
    <row r="1576" spans="2:10" x14ac:dyDescent="0.2">
      <c r="B1576" s="2"/>
      <c r="C1576" s="46"/>
      <c r="D1576" s="46"/>
      <c r="E1576" s="46"/>
      <c r="F1576" s="2"/>
      <c r="G1576" s="46"/>
      <c r="H1576" s="2"/>
      <c r="I1576" s="2"/>
      <c r="J1576" s="2"/>
    </row>
    <row r="1577" spans="2:10" x14ac:dyDescent="0.2">
      <c r="B1577" s="2"/>
      <c r="C1577" s="46"/>
      <c r="D1577" s="46"/>
      <c r="E1577" s="46"/>
      <c r="F1577" s="2"/>
      <c r="G1577" s="46"/>
      <c r="H1577" s="2"/>
      <c r="I1577" s="2"/>
      <c r="J1577" s="2"/>
    </row>
    <row r="1578" spans="2:10" x14ac:dyDescent="0.2">
      <c r="B1578" s="2"/>
      <c r="C1578" s="46"/>
      <c r="D1578" s="46"/>
      <c r="E1578" s="46"/>
      <c r="F1578" s="2"/>
      <c r="G1578" s="46"/>
      <c r="H1578" s="2"/>
      <c r="I1578" s="2"/>
      <c r="J1578" s="2"/>
    </row>
    <row r="1579" spans="2:10" x14ac:dyDescent="0.2">
      <c r="B1579" s="2"/>
      <c r="C1579" s="46"/>
      <c r="D1579" s="46"/>
      <c r="E1579" s="46"/>
      <c r="F1579" s="2"/>
      <c r="G1579" s="46"/>
      <c r="H1579" s="2"/>
      <c r="I1579" s="2"/>
      <c r="J1579" s="2"/>
    </row>
    <row r="1580" spans="2:10" x14ac:dyDescent="0.2">
      <c r="B1580" s="2"/>
      <c r="C1580" s="46"/>
      <c r="D1580" s="46"/>
      <c r="E1580" s="46"/>
      <c r="F1580" s="2"/>
      <c r="G1580" s="46"/>
      <c r="H1580" s="2"/>
      <c r="I1580" s="2"/>
      <c r="J1580" s="2"/>
    </row>
    <row r="1581" spans="2:10" x14ac:dyDescent="0.2">
      <c r="B1581" s="2"/>
      <c r="C1581" s="46"/>
      <c r="D1581" s="46"/>
      <c r="E1581" s="46"/>
      <c r="F1581" s="2"/>
      <c r="G1581" s="46"/>
      <c r="H1581" s="2"/>
      <c r="I1581" s="2"/>
      <c r="J1581" s="2"/>
    </row>
    <row r="1582" spans="2:10" x14ac:dyDescent="0.2">
      <c r="B1582" s="2"/>
      <c r="C1582" s="46"/>
      <c r="D1582" s="46"/>
      <c r="E1582" s="46"/>
      <c r="F1582" s="2"/>
      <c r="G1582" s="46"/>
      <c r="H1582" s="2"/>
      <c r="I1582" s="2"/>
      <c r="J1582" s="2"/>
    </row>
    <row r="1583" spans="2:10" x14ac:dyDescent="0.2">
      <c r="B1583" s="2"/>
      <c r="C1583" s="46"/>
      <c r="D1583" s="46"/>
      <c r="E1583" s="46"/>
      <c r="F1583" s="2"/>
      <c r="G1583" s="46"/>
      <c r="H1583" s="2"/>
      <c r="I1583" s="2"/>
      <c r="J1583" s="2"/>
    </row>
    <row r="1584" spans="2:10" x14ac:dyDescent="0.2">
      <c r="B1584" s="2"/>
      <c r="C1584" s="46"/>
      <c r="D1584" s="46"/>
      <c r="E1584" s="46"/>
      <c r="F1584" s="2"/>
      <c r="G1584" s="46"/>
      <c r="H1584" s="2"/>
      <c r="I1584" s="2"/>
      <c r="J1584" s="2"/>
    </row>
    <row r="1585" spans="2:10" x14ac:dyDescent="0.2">
      <c r="B1585" s="2"/>
      <c r="C1585" s="46"/>
      <c r="D1585" s="46"/>
      <c r="E1585" s="46"/>
      <c r="F1585" s="2"/>
      <c r="G1585" s="46"/>
      <c r="H1585" s="2"/>
      <c r="I1585" s="2"/>
      <c r="J1585" s="2"/>
    </row>
    <row r="1586" spans="2:10" x14ac:dyDescent="0.2">
      <c r="B1586" s="2"/>
      <c r="C1586" s="46"/>
      <c r="D1586" s="46"/>
      <c r="E1586" s="46"/>
      <c r="F1586" s="2"/>
      <c r="G1586" s="46"/>
      <c r="H1586" s="2"/>
      <c r="I1586" s="2"/>
      <c r="J1586" s="2"/>
    </row>
    <row r="1587" spans="2:10" x14ac:dyDescent="0.2">
      <c r="B1587" s="2"/>
      <c r="C1587" s="46"/>
      <c r="D1587" s="46"/>
      <c r="E1587" s="46"/>
      <c r="F1587" s="2"/>
      <c r="G1587" s="46"/>
      <c r="H1587" s="2"/>
      <c r="I1587" s="2"/>
      <c r="J1587" s="2"/>
    </row>
    <row r="1588" spans="2:10" x14ac:dyDescent="0.2">
      <c r="B1588" s="2"/>
      <c r="C1588" s="46"/>
      <c r="D1588" s="46"/>
      <c r="E1588" s="46"/>
      <c r="F1588" s="6"/>
      <c r="G1588" s="46"/>
      <c r="H1588" s="2"/>
      <c r="I1588" s="2"/>
      <c r="J1588" s="2"/>
    </row>
    <row r="1589" spans="2:10" x14ac:dyDescent="0.2">
      <c r="B1589" s="2"/>
      <c r="C1589" s="46"/>
      <c r="D1589" s="46"/>
      <c r="E1589" s="46"/>
      <c r="F1589" s="2"/>
      <c r="G1589" s="46"/>
      <c r="H1589" s="2"/>
      <c r="I1589" s="2"/>
      <c r="J1589" s="2"/>
    </row>
    <row r="1590" spans="2:10" x14ac:dyDescent="0.2">
      <c r="B1590" s="2"/>
      <c r="C1590" s="46"/>
      <c r="D1590" s="46"/>
      <c r="E1590" s="46"/>
      <c r="F1590" s="2"/>
      <c r="G1590" s="46"/>
      <c r="H1590" s="2"/>
      <c r="I1590" s="2"/>
      <c r="J1590" s="2"/>
    </row>
    <row r="1591" spans="2:10" x14ac:dyDescent="0.2">
      <c r="B1591" s="2"/>
      <c r="C1591" s="46"/>
      <c r="D1591" s="46"/>
      <c r="E1591" s="46"/>
      <c r="F1591" s="2"/>
      <c r="G1591" s="46"/>
      <c r="H1591" s="2"/>
      <c r="I1591" s="2"/>
      <c r="J1591" s="2"/>
    </row>
    <row r="1592" spans="2:10" x14ac:dyDescent="0.2">
      <c r="B1592" s="2"/>
      <c r="C1592" s="46"/>
      <c r="D1592" s="46"/>
      <c r="E1592" s="46"/>
      <c r="F1592" s="2"/>
      <c r="G1592" s="46"/>
      <c r="H1592" s="2"/>
      <c r="I1592" s="2"/>
      <c r="J1592" s="2"/>
    </row>
    <row r="1593" spans="2:10" x14ac:dyDescent="0.2">
      <c r="B1593" s="2"/>
      <c r="C1593" s="46"/>
      <c r="D1593" s="46"/>
      <c r="E1593" s="46"/>
      <c r="F1593" s="2"/>
      <c r="G1593" s="46"/>
      <c r="H1593" s="2"/>
      <c r="I1593" s="2"/>
      <c r="J1593" s="2"/>
    </row>
    <row r="1594" spans="2:10" x14ac:dyDescent="0.2">
      <c r="B1594" s="2"/>
      <c r="C1594" s="46"/>
      <c r="D1594" s="46"/>
      <c r="E1594" s="46"/>
      <c r="F1594" s="2"/>
      <c r="G1594" s="46"/>
      <c r="H1594" s="2"/>
      <c r="I1594" s="2"/>
      <c r="J1594" s="2"/>
    </row>
    <row r="1595" spans="2:10" x14ac:dyDescent="0.2">
      <c r="B1595" s="2"/>
      <c r="C1595" s="46"/>
      <c r="D1595" s="46"/>
      <c r="E1595" s="46"/>
      <c r="F1595" s="2"/>
      <c r="G1595" s="46"/>
      <c r="H1595" s="2"/>
      <c r="I1595" s="2"/>
      <c r="J1595" s="2"/>
    </row>
    <row r="1596" spans="2:10" x14ac:dyDescent="0.2">
      <c r="B1596" s="2"/>
      <c r="C1596" s="46"/>
      <c r="D1596" s="46"/>
      <c r="E1596" s="46"/>
      <c r="F1596" s="2"/>
      <c r="G1596" s="46"/>
      <c r="H1596" s="2"/>
      <c r="I1596" s="2"/>
      <c r="J1596" s="2"/>
    </row>
    <row r="1597" spans="2:10" x14ac:dyDescent="0.2">
      <c r="B1597" s="2"/>
      <c r="C1597" s="46"/>
      <c r="D1597" s="46"/>
      <c r="E1597" s="46"/>
      <c r="F1597" s="2"/>
      <c r="G1597" s="46"/>
      <c r="H1597" s="2"/>
      <c r="I1597" s="2"/>
      <c r="J1597" s="2"/>
    </row>
    <row r="1598" spans="2:10" x14ac:dyDescent="0.2">
      <c r="B1598" s="2"/>
      <c r="C1598" s="46"/>
      <c r="D1598" s="46"/>
      <c r="E1598" s="46"/>
      <c r="F1598" s="6"/>
      <c r="G1598" s="46"/>
      <c r="H1598" s="2"/>
      <c r="I1598" s="2"/>
      <c r="J1598" s="2"/>
    </row>
    <row r="1599" spans="2:10" x14ac:dyDescent="0.2">
      <c r="B1599" s="2"/>
      <c r="C1599" s="46"/>
      <c r="D1599" s="46"/>
      <c r="E1599" s="46"/>
      <c r="F1599" s="2"/>
      <c r="G1599" s="46"/>
      <c r="H1599" s="2"/>
      <c r="I1599" s="2"/>
      <c r="J1599" s="2"/>
    </row>
    <row r="1600" spans="2:10" x14ac:dyDescent="0.2">
      <c r="B1600" s="2"/>
      <c r="C1600" s="46"/>
      <c r="D1600" s="46"/>
      <c r="E1600" s="46"/>
      <c r="F1600" s="2"/>
      <c r="G1600" s="46"/>
      <c r="H1600" s="2"/>
      <c r="I1600" s="2"/>
      <c r="J1600" s="2"/>
    </row>
    <row r="1601" spans="2:10" x14ac:dyDescent="0.2">
      <c r="B1601" s="2"/>
      <c r="C1601" s="46"/>
      <c r="D1601" s="46"/>
      <c r="E1601" s="46"/>
      <c r="F1601" s="2"/>
      <c r="G1601" s="46"/>
      <c r="H1601" s="2"/>
      <c r="I1601" s="2"/>
      <c r="J1601" s="2"/>
    </row>
    <row r="1602" spans="2:10" x14ac:dyDescent="0.2">
      <c r="B1602" s="2"/>
      <c r="C1602" s="46"/>
      <c r="D1602" s="46"/>
      <c r="E1602" s="46"/>
      <c r="F1602" s="2"/>
      <c r="G1602" s="46"/>
      <c r="H1602" s="2"/>
      <c r="I1602" s="2"/>
      <c r="J1602" s="2"/>
    </row>
    <row r="1603" spans="2:10" x14ac:dyDescent="0.2">
      <c r="B1603" s="2"/>
      <c r="C1603" s="46"/>
      <c r="D1603" s="46"/>
      <c r="E1603" s="46"/>
      <c r="F1603" s="2"/>
      <c r="G1603" s="46"/>
      <c r="H1603" s="2"/>
      <c r="I1603" s="2"/>
      <c r="J1603" s="2"/>
    </row>
    <row r="1604" spans="2:10" x14ac:dyDescent="0.2">
      <c r="B1604" s="2"/>
      <c r="C1604" s="46"/>
      <c r="D1604" s="46"/>
      <c r="E1604" s="46"/>
      <c r="F1604" s="2"/>
      <c r="G1604" s="46"/>
      <c r="H1604" s="2"/>
      <c r="I1604" s="2"/>
      <c r="J1604" s="2"/>
    </row>
    <row r="1605" spans="2:10" x14ac:dyDescent="0.2">
      <c r="B1605" s="2"/>
      <c r="C1605" s="46"/>
      <c r="D1605" s="46"/>
      <c r="E1605" s="46"/>
      <c r="F1605" s="2"/>
      <c r="G1605" s="46"/>
      <c r="H1605" s="2"/>
      <c r="I1605" s="2"/>
      <c r="J1605" s="2"/>
    </row>
    <row r="1606" spans="2:10" x14ac:dyDescent="0.2">
      <c r="B1606" s="2"/>
      <c r="C1606" s="46"/>
      <c r="D1606" s="46"/>
      <c r="E1606" s="46"/>
      <c r="F1606" s="6"/>
      <c r="G1606" s="46"/>
      <c r="H1606" s="2"/>
      <c r="I1606" s="2"/>
      <c r="J1606" s="2"/>
    </row>
    <row r="1607" spans="2:10" x14ac:dyDescent="0.2">
      <c r="B1607" s="2"/>
      <c r="C1607" s="46"/>
      <c r="D1607" s="46"/>
      <c r="E1607" s="46"/>
      <c r="F1607" s="2"/>
      <c r="G1607" s="46"/>
      <c r="H1607" s="2"/>
      <c r="I1607" s="2"/>
      <c r="J1607" s="2"/>
    </row>
    <row r="1608" spans="2:10" x14ac:dyDescent="0.2">
      <c r="B1608" s="2"/>
      <c r="C1608" s="46"/>
      <c r="D1608" s="46"/>
      <c r="E1608" s="46"/>
      <c r="F1608" s="2"/>
      <c r="G1608" s="46"/>
      <c r="H1608" s="2"/>
      <c r="I1608" s="2"/>
      <c r="J1608" s="2"/>
    </row>
    <row r="1609" spans="2:10" x14ac:dyDescent="0.2">
      <c r="B1609" s="2"/>
      <c r="C1609" s="46"/>
      <c r="D1609" s="46"/>
      <c r="E1609" s="46"/>
      <c r="F1609" s="2"/>
      <c r="G1609" s="46"/>
      <c r="H1609" s="2"/>
      <c r="I1609" s="2"/>
      <c r="J1609" s="2"/>
    </row>
    <row r="1610" spans="2:10" x14ac:dyDescent="0.2">
      <c r="B1610" s="2"/>
      <c r="C1610" s="46"/>
      <c r="D1610" s="46"/>
      <c r="E1610" s="46"/>
      <c r="F1610" s="2"/>
      <c r="G1610" s="46"/>
      <c r="H1610" s="2"/>
      <c r="I1610" s="2"/>
      <c r="J1610" s="2"/>
    </row>
    <row r="1611" spans="2:10" x14ac:dyDescent="0.2">
      <c r="B1611" s="2"/>
      <c r="C1611" s="46"/>
      <c r="D1611" s="46"/>
      <c r="E1611" s="46"/>
      <c r="F1611" s="2"/>
      <c r="G1611" s="46"/>
      <c r="H1611" s="2"/>
      <c r="I1611" s="2"/>
      <c r="J1611" s="2"/>
    </row>
    <row r="1612" spans="2:10" x14ac:dyDescent="0.2">
      <c r="B1612" s="2"/>
      <c r="C1612" s="46"/>
      <c r="D1612" s="46"/>
      <c r="E1612" s="46"/>
      <c r="F1612" s="2"/>
      <c r="G1612" s="46"/>
      <c r="H1612" s="2"/>
      <c r="I1612" s="2"/>
      <c r="J1612" s="2"/>
    </row>
    <row r="1613" spans="2:10" x14ac:dyDescent="0.2">
      <c r="B1613" s="2"/>
      <c r="C1613" s="46"/>
      <c r="D1613" s="46"/>
      <c r="E1613" s="46"/>
      <c r="F1613" s="2"/>
      <c r="G1613" s="46"/>
      <c r="H1613" s="2"/>
      <c r="I1613" s="2"/>
      <c r="J1613" s="2"/>
    </row>
    <row r="1614" spans="2:10" x14ac:dyDescent="0.2">
      <c r="B1614" s="2"/>
      <c r="C1614" s="46"/>
      <c r="D1614" s="46"/>
      <c r="E1614" s="46"/>
      <c r="F1614" s="6"/>
      <c r="G1614" s="46"/>
      <c r="H1614" s="2"/>
      <c r="I1614" s="2"/>
      <c r="J1614" s="2"/>
    </row>
    <row r="1615" spans="2:10" x14ac:dyDescent="0.2">
      <c r="B1615" s="2"/>
      <c r="C1615" s="46"/>
      <c r="D1615" s="46"/>
      <c r="E1615" s="46"/>
      <c r="F1615" s="2"/>
      <c r="G1615" s="46"/>
      <c r="H1615" s="2"/>
      <c r="I1615" s="2"/>
      <c r="J1615" s="2"/>
    </row>
    <row r="1616" spans="2:10" x14ac:dyDescent="0.2">
      <c r="B1616" s="2"/>
      <c r="C1616" s="46"/>
      <c r="D1616" s="46"/>
      <c r="E1616" s="46"/>
      <c r="F1616" s="6"/>
      <c r="G1616" s="46"/>
      <c r="H1616" s="2"/>
      <c r="I1616" s="2"/>
      <c r="J1616" s="2"/>
    </row>
    <row r="1617" spans="2:10" x14ac:dyDescent="0.2">
      <c r="B1617" s="2"/>
      <c r="C1617" s="46"/>
      <c r="D1617" s="46"/>
      <c r="E1617" s="46"/>
      <c r="F1617" s="2"/>
      <c r="G1617" s="46"/>
      <c r="H1617" s="2"/>
      <c r="I1617" s="2"/>
      <c r="J1617" s="2"/>
    </row>
    <row r="1618" spans="2:10" x14ac:dyDescent="0.2">
      <c r="B1618" s="2"/>
      <c r="C1618" s="46"/>
      <c r="D1618" s="46"/>
      <c r="E1618" s="46"/>
      <c r="F1618" s="2"/>
      <c r="G1618" s="46"/>
      <c r="H1618" s="2"/>
      <c r="I1618" s="2"/>
      <c r="J1618" s="2"/>
    </row>
    <row r="1619" spans="2:10" x14ac:dyDescent="0.2">
      <c r="B1619" s="2"/>
      <c r="C1619" s="46"/>
      <c r="D1619" s="46"/>
      <c r="E1619" s="46"/>
      <c r="F1619" s="2"/>
      <c r="G1619" s="46"/>
      <c r="H1619" s="2"/>
      <c r="I1619" s="2"/>
      <c r="J1619" s="2"/>
    </row>
    <row r="1620" spans="2:10" x14ac:dyDescent="0.2">
      <c r="B1620" s="2"/>
      <c r="C1620" s="46"/>
      <c r="D1620" s="46"/>
      <c r="E1620" s="46"/>
      <c r="F1620" s="2"/>
      <c r="G1620" s="46"/>
      <c r="H1620" s="2"/>
      <c r="I1620" s="2"/>
      <c r="J1620" s="2"/>
    </row>
    <row r="1621" spans="2:10" x14ac:dyDescent="0.2">
      <c r="B1621" s="2"/>
      <c r="C1621" s="46"/>
      <c r="D1621" s="46"/>
      <c r="E1621" s="46"/>
      <c r="F1621" s="2"/>
      <c r="G1621" s="46"/>
      <c r="H1621" s="2"/>
      <c r="I1621" s="2"/>
      <c r="J1621" s="2"/>
    </row>
    <row r="1622" spans="2:10" x14ac:dyDescent="0.2">
      <c r="B1622" s="2"/>
      <c r="C1622" s="46"/>
      <c r="D1622" s="46"/>
      <c r="E1622" s="46"/>
      <c r="F1622" s="2"/>
      <c r="G1622" s="46"/>
      <c r="H1622" s="2"/>
      <c r="I1622" s="2"/>
      <c r="J1622" s="2"/>
    </row>
    <row r="1623" spans="2:10" x14ac:dyDescent="0.2">
      <c r="B1623" s="2"/>
      <c r="C1623" s="46"/>
      <c r="D1623" s="46"/>
      <c r="E1623" s="46"/>
      <c r="F1623" s="2"/>
      <c r="G1623" s="46"/>
      <c r="H1623" s="2"/>
      <c r="I1623" s="2"/>
      <c r="J1623" s="2"/>
    </row>
    <row r="1624" spans="2:10" x14ac:dyDescent="0.2">
      <c r="B1624" s="2"/>
      <c r="C1624" s="46"/>
      <c r="D1624" s="46"/>
      <c r="E1624" s="46"/>
      <c r="F1624" s="2"/>
      <c r="G1624" s="46"/>
      <c r="H1624" s="2"/>
      <c r="I1624" s="2"/>
      <c r="J1624" s="2"/>
    </row>
    <row r="1625" spans="2:10" x14ac:dyDescent="0.2">
      <c r="B1625" s="2"/>
      <c r="C1625" s="46"/>
      <c r="D1625" s="46"/>
      <c r="E1625" s="46"/>
      <c r="F1625" s="6"/>
      <c r="G1625" s="46"/>
      <c r="H1625" s="2"/>
      <c r="I1625" s="2"/>
      <c r="J1625" s="2"/>
    </row>
    <row r="1626" spans="2:10" x14ac:dyDescent="0.2">
      <c r="B1626" s="2"/>
      <c r="C1626" s="46"/>
      <c r="D1626" s="46"/>
      <c r="E1626" s="46"/>
      <c r="F1626" s="6"/>
      <c r="G1626" s="46"/>
      <c r="H1626" s="2"/>
      <c r="I1626" s="2"/>
      <c r="J1626" s="2"/>
    </row>
    <row r="1627" spans="2:10" x14ac:dyDescent="0.2">
      <c r="B1627" s="2"/>
      <c r="C1627" s="46"/>
      <c r="D1627" s="46"/>
      <c r="E1627" s="46"/>
      <c r="F1627" s="2"/>
      <c r="G1627" s="46"/>
      <c r="H1627" s="2"/>
      <c r="I1627" s="2"/>
      <c r="J1627" s="2"/>
    </row>
    <row r="1628" spans="2:10" x14ac:dyDescent="0.2">
      <c r="B1628" s="2"/>
      <c r="C1628" s="46"/>
      <c r="D1628" s="46"/>
      <c r="E1628" s="46"/>
      <c r="F1628" s="2"/>
      <c r="G1628" s="46"/>
      <c r="H1628" s="2"/>
      <c r="I1628" s="2"/>
      <c r="J1628" s="2"/>
    </row>
    <row r="1629" spans="2:10" x14ac:dyDescent="0.2">
      <c r="B1629" s="2"/>
      <c r="C1629" s="46"/>
      <c r="D1629" s="46"/>
      <c r="E1629" s="46"/>
      <c r="F1629" s="2"/>
      <c r="G1629" s="46"/>
      <c r="H1629" s="2"/>
      <c r="I1629" s="2"/>
      <c r="J1629" s="2"/>
    </row>
    <row r="1630" spans="2:10" x14ac:dyDescent="0.2">
      <c r="B1630" s="2"/>
      <c r="C1630" s="46"/>
      <c r="D1630" s="46"/>
      <c r="E1630" s="46"/>
      <c r="F1630" s="6"/>
      <c r="G1630" s="46"/>
      <c r="H1630" s="2"/>
      <c r="I1630" s="2"/>
      <c r="J1630" s="2"/>
    </row>
    <row r="1631" spans="2:10" x14ac:dyDescent="0.2">
      <c r="B1631" s="2"/>
      <c r="C1631" s="46"/>
      <c r="D1631" s="46"/>
      <c r="E1631" s="46"/>
      <c r="F1631" s="2"/>
      <c r="G1631" s="46"/>
      <c r="H1631" s="2"/>
      <c r="I1631" s="2"/>
      <c r="J1631" s="2"/>
    </row>
    <row r="1632" spans="2:10" x14ac:dyDescent="0.2">
      <c r="B1632" s="2"/>
      <c r="C1632" s="46"/>
      <c r="D1632" s="46"/>
      <c r="E1632" s="46"/>
      <c r="F1632" s="2"/>
      <c r="G1632" s="46"/>
      <c r="H1632" s="2"/>
      <c r="I1632" s="2"/>
      <c r="J1632" s="2"/>
    </row>
    <row r="1633" spans="2:10" x14ac:dyDescent="0.2">
      <c r="B1633" s="2"/>
      <c r="C1633" s="46"/>
      <c r="D1633" s="46"/>
      <c r="E1633" s="46"/>
      <c r="F1633" s="2"/>
      <c r="G1633" s="46"/>
      <c r="H1633" s="2"/>
      <c r="I1633" s="2"/>
      <c r="J1633" s="2"/>
    </row>
    <row r="1634" spans="2:10" x14ac:dyDescent="0.2">
      <c r="B1634" s="2"/>
      <c r="C1634" s="46"/>
      <c r="D1634" s="46"/>
      <c r="E1634" s="46"/>
      <c r="F1634" s="2"/>
      <c r="G1634" s="46"/>
      <c r="H1634" s="2"/>
      <c r="I1634" s="2"/>
      <c r="J1634" s="2"/>
    </row>
    <row r="1635" spans="2:10" x14ac:dyDescent="0.2">
      <c r="B1635" s="2"/>
      <c r="C1635" s="46"/>
      <c r="D1635" s="46"/>
      <c r="E1635" s="46"/>
      <c r="F1635" s="2"/>
      <c r="G1635" s="46"/>
      <c r="H1635" s="2"/>
      <c r="I1635" s="2"/>
      <c r="J1635" s="2"/>
    </row>
    <row r="1636" spans="2:10" x14ac:dyDescent="0.2">
      <c r="B1636" s="2"/>
      <c r="C1636" s="46"/>
      <c r="D1636" s="46"/>
      <c r="E1636" s="46"/>
      <c r="F1636" s="2"/>
      <c r="G1636" s="46"/>
      <c r="H1636" s="2"/>
      <c r="I1636" s="2"/>
      <c r="J1636" s="2"/>
    </row>
    <row r="1637" spans="2:10" x14ac:dyDescent="0.2">
      <c r="B1637" s="2"/>
      <c r="C1637" s="46"/>
      <c r="D1637" s="46"/>
      <c r="E1637" s="46"/>
      <c r="F1637" s="2"/>
      <c r="G1637" s="46"/>
      <c r="H1637" s="2"/>
      <c r="I1637" s="2"/>
      <c r="J1637" s="2"/>
    </row>
    <row r="1638" spans="2:10" x14ac:dyDescent="0.2">
      <c r="B1638" s="2"/>
      <c r="C1638" s="46"/>
      <c r="D1638" s="46"/>
      <c r="E1638" s="46"/>
      <c r="F1638" s="2"/>
      <c r="G1638" s="46"/>
      <c r="H1638" s="2"/>
      <c r="I1638" s="2"/>
      <c r="J1638" s="2"/>
    </row>
    <row r="1639" spans="2:10" x14ac:dyDescent="0.2">
      <c r="B1639" s="2"/>
      <c r="C1639" s="46"/>
      <c r="D1639" s="46"/>
      <c r="E1639" s="46"/>
      <c r="F1639" s="2"/>
      <c r="G1639" s="46"/>
      <c r="H1639" s="2"/>
      <c r="I1639" s="2"/>
      <c r="J1639" s="2"/>
    </row>
    <row r="1640" spans="2:10" x14ac:dyDescent="0.2">
      <c r="B1640" s="2"/>
      <c r="C1640" s="46"/>
      <c r="D1640" s="46"/>
      <c r="E1640" s="46"/>
      <c r="F1640" s="2"/>
      <c r="G1640" s="46"/>
      <c r="H1640" s="2"/>
      <c r="I1640" s="2"/>
      <c r="J1640" s="2"/>
    </row>
    <row r="1641" spans="2:10" x14ac:dyDescent="0.2">
      <c r="B1641" s="2"/>
      <c r="C1641" s="46"/>
      <c r="D1641" s="46"/>
      <c r="E1641" s="46"/>
      <c r="F1641" s="2"/>
      <c r="G1641" s="46"/>
      <c r="H1641" s="2"/>
      <c r="I1641" s="2"/>
      <c r="J1641" s="2"/>
    </row>
    <row r="1642" spans="2:10" x14ac:dyDescent="0.2">
      <c r="B1642" s="2"/>
      <c r="C1642" s="46"/>
      <c r="D1642" s="46"/>
      <c r="E1642" s="46"/>
      <c r="F1642" s="2"/>
      <c r="G1642" s="46"/>
      <c r="H1642" s="2"/>
      <c r="I1642" s="2"/>
      <c r="J1642" s="2"/>
    </row>
    <row r="1643" spans="2:10" x14ac:dyDescent="0.2">
      <c r="B1643" s="2"/>
      <c r="C1643" s="46"/>
      <c r="D1643" s="46"/>
      <c r="E1643" s="46"/>
      <c r="F1643" s="2"/>
      <c r="G1643" s="46"/>
      <c r="H1643" s="2"/>
      <c r="I1643" s="2"/>
      <c r="J1643" s="2"/>
    </row>
    <row r="1644" spans="2:10" x14ac:dyDescent="0.2">
      <c r="B1644" s="2"/>
      <c r="C1644" s="46"/>
      <c r="D1644" s="46"/>
      <c r="E1644" s="46"/>
      <c r="F1644" s="2"/>
      <c r="G1644" s="46"/>
      <c r="H1644" s="2"/>
      <c r="I1644" s="2"/>
      <c r="J1644" s="2"/>
    </row>
    <row r="1645" spans="2:10" x14ac:dyDescent="0.2">
      <c r="B1645" s="2"/>
      <c r="C1645" s="46"/>
      <c r="D1645" s="46"/>
      <c r="E1645" s="46"/>
      <c r="F1645" s="6"/>
      <c r="G1645" s="46"/>
      <c r="H1645" s="2"/>
      <c r="I1645" s="2"/>
      <c r="J1645" s="2"/>
    </row>
    <row r="1646" spans="2:10" x14ac:dyDescent="0.2">
      <c r="B1646" s="2"/>
      <c r="C1646" s="46"/>
      <c r="D1646" s="46"/>
      <c r="E1646" s="46"/>
      <c r="F1646" s="2"/>
      <c r="G1646" s="46"/>
      <c r="H1646" s="2"/>
      <c r="I1646" s="2"/>
      <c r="J1646" s="2"/>
    </row>
    <row r="1647" spans="2:10" x14ac:dyDescent="0.2">
      <c r="B1647" s="2"/>
      <c r="C1647" s="46"/>
      <c r="D1647" s="46"/>
      <c r="E1647" s="46"/>
      <c r="F1647" s="6"/>
      <c r="G1647" s="46"/>
      <c r="H1647" s="2"/>
      <c r="I1647" s="2"/>
      <c r="J1647" s="2"/>
    </row>
    <row r="1648" spans="2:10" x14ac:dyDescent="0.2">
      <c r="B1648" s="2"/>
      <c r="C1648" s="46"/>
      <c r="D1648" s="46"/>
      <c r="E1648" s="46"/>
      <c r="F1648" s="6"/>
      <c r="G1648" s="46"/>
      <c r="H1648" s="2"/>
      <c r="I1648" s="2"/>
      <c r="J1648" s="2"/>
    </row>
    <row r="1649" spans="2:10" x14ac:dyDescent="0.2">
      <c r="B1649" s="2"/>
      <c r="C1649" s="46"/>
      <c r="D1649" s="46"/>
      <c r="E1649" s="46"/>
      <c r="F1649" s="2"/>
      <c r="G1649" s="46"/>
      <c r="H1649" s="2"/>
      <c r="I1649" s="2"/>
      <c r="J1649" s="2"/>
    </row>
    <row r="1650" spans="2:10" x14ac:dyDescent="0.2">
      <c r="B1650" s="2"/>
      <c r="C1650" s="46"/>
      <c r="D1650" s="46"/>
      <c r="E1650" s="46"/>
      <c r="F1650" s="2"/>
      <c r="G1650" s="46"/>
      <c r="H1650" s="2"/>
      <c r="I1650" s="2"/>
      <c r="J1650" s="2"/>
    </row>
    <row r="1651" spans="2:10" x14ac:dyDescent="0.2">
      <c r="B1651" s="2"/>
      <c r="C1651" s="46"/>
      <c r="D1651" s="46"/>
      <c r="E1651" s="46"/>
      <c r="F1651" s="2"/>
      <c r="G1651" s="46"/>
      <c r="H1651" s="2"/>
      <c r="I1651" s="2"/>
      <c r="J1651" s="2"/>
    </row>
    <row r="1652" spans="2:10" x14ac:dyDescent="0.2">
      <c r="B1652" s="2"/>
      <c r="C1652" s="46"/>
      <c r="D1652" s="46"/>
      <c r="E1652" s="46"/>
      <c r="F1652" s="6"/>
      <c r="G1652" s="46"/>
      <c r="H1652" s="2"/>
      <c r="I1652" s="2"/>
      <c r="J1652" s="2"/>
    </row>
    <row r="1653" spans="2:10" x14ac:dyDescent="0.2">
      <c r="B1653" s="2"/>
      <c r="C1653" s="46"/>
      <c r="D1653" s="46"/>
      <c r="E1653" s="46"/>
      <c r="F1653" s="6"/>
      <c r="G1653" s="46"/>
      <c r="H1653" s="2"/>
      <c r="I1653" s="2"/>
      <c r="J1653" s="2"/>
    </row>
    <row r="1654" spans="2:10" x14ac:dyDescent="0.2">
      <c r="B1654" s="2"/>
      <c r="C1654" s="46"/>
      <c r="D1654" s="46"/>
      <c r="E1654" s="46"/>
      <c r="F1654" s="2"/>
      <c r="G1654" s="46"/>
      <c r="H1654" s="2"/>
      <c r="I1654" s="2"/>
      <c r="J1654" s="2"/>
    </row>
    <row r="1655" spans="2:10" x14ac:dyDescent="0.2">
      <c r="B1655" s="2"/>
      <c r="C1655" s="46"/>
      <c r="D1655" s="46"/>
      <c r="E1655" s="46"/>
      <c r="F1655" s="2"/>
      <c r="G1655" s="46"/>
      <c r="H1655" s="2"/>
      <c r="I1655" s="2"/>
      <c r="J1655" s="2"/>
    </row>
    <row r="1656" spans="2:10" x14ac:dyDescent="0.2">
      <c r="B1656" s="2"/>
      <c r="C1656" s="46"/>
      <c r="D1656" s="46"/>
      <c r="E1656" s="46"/>
      <c r="F1656" s="2"/>
      <c r="G1656" s="46"/>
      <c r="H1656" s="2"/>
      <c r="I1656" s="2"/>
      <c r="J1656" s="2"/>
    </row>
    <row r="1657" spans="2:10" x14ac:dyDescent="0.2">
      <c r="B1657" s="2"/>
      <c r="C1657" s="46"/>
      <c r="D1657" s="46"/>
      <c r="E1657" s="46"/>
      <c r="F1657" s="2"/>
      <c r="G1657" s="46"/>
      <c r="H1657" s="2"/>
      <c r="I1657" s="2"/>
      <c r="J1657" s="2"/>
    </row>
    <row r="1658" spans="2:10" x14ac:dyDescent="0.2">
      <c r="B1658" s="2"/>
      <c r="C1658" s="46"/>
      <c r="D1658" s="46"/>
      <c r="E1658" s="46"/>
      <c r="F1658" s="2"/>
      <c r="G1658" s="46"/>
      <c r="H1658" s="2"/>
      <c r="I1658" s="2"/>
      <c r="J1658" s="2"/>
    </row>
    <row r="1659" spans="2:10" x14ac:dyDescent="0.2">
      <c r="B1659" s="2"/>
      <c r="C1659" s="46"/>
      <c r="D1659" s="46"/>
      <c r="E1659" s="46"/>
      <c r="F1659" s="2"/>
      <c r="G1659" s="46"/>
      <c r="H1659" s="2"/>
      <c r="I1659" s="2"/>
      <c r="J1659" s="2"/>
    </row>
    <row r="1660" spans="2:10" x14ac:dyDescent="0.2">
      <c r="B1660" s="2"/>
      <c r="C1660" s="46"/>
      <c r="D1660" s="46"/>
      <c r="E1660" s="46"/>
      <c r="F1660" s="2"/>
      <c r="G1660" s="46"/>
      <c r="H1660" s="2"/>
      <c r="I1660" s="2"/>
      <c r="J1660" s="2"/>
    </row>
    <row r="1661" spans="2:10" x14ac:dyDescent="0.2">
      <c r="B1661" s="2"/>
      <c r="C1661" s="46"/>
      <c r="D1661" s="46"/>
      <c r="E1661" s="46"/>
      <c r="F1661" s="6"/>
      <c r="G1661" s="46"/>
      <c r="H1661" s="2"/>
      <c r="I1661" s="2"/>
      <c r="J1661" s="2"/>
    </row>
    <row r="1662" spans="2:10" x14ac:dyDescent="0.2">
      <c r="B1662" s="2"/>
      <c r="C1662" s="46"/>
      <c r="D1662" s="46"/>
      <c r="E1662" s="46"/>
      <c r="F1662" s="6"/>
      <c r="G1662" s="46"/>
      <c r="H1662" s="2"/>
      <c r="I1662" s="2"/>
      <c r="J1662" s="2"/>
    </row>
    <row r="1663" spans="2:10" x14ac:dyDescent="0.2">
      <c r="B1663" s="2"/>
      <c r="C1663" s="46"/>
      <c r="D1663" s="46"/>
      <c r="E1663" s="46"/>
      <c r="F1663" s="2"/>
      <c r="G1663" s="46"/>
      <c r="H1663" s="2"/>
      <c r="I1663" s="2"/>
      <c r="J1663" s="2"/>
    </row>
    <row r="1664" spans="2:10" x14ac:dyDescent="0.2">
      <c r="B1664" s="2"/>
      <c r="C1664" s="46"/>
      <c r="D1664" s="46"/>
      <c r="E1664" s="46"/>
      <c r="F1664" s="2"/>
      <c r="G1664" s="46"/>
      <c r="H1664" s="2"/>
      <c r="I1664" s="2"/>
      <c r="J1664" s="2"/>
    </row>
    <row r="1665" spans="2:10" x14ac:dyDescent="0.2">
      <c r="B1665" s="2"/>
      <c r="C1665" s="46"/>
      <c r="D1665" s="46"/>
      <c r="E1665" s="46"/>
      <c r="F1665" s="2"/>
      <c r="G1665" s="46"/>
      <c r="H1665" s="2"/>
      <c r="I1665" s="2"/>
      <c r="J1665" s="2"/>
    </row>
    <row r="1666" spans="2:10" x14ac:dyDescent="0.2">
      <c r="B1666" s="2"/>
      <c r="C1666" s="46"/>
      <c r="D1666" s="46"/>
      <c r="E1666" s="46"/>
      <c r="F1666" s="2"/>
      <c r="G1666" s="46"/>
      <c r="H1666" s="2"/>
      <c r="I1666" s="2"/>
      <c r="J1666" s="2"/>
    </row>
    <row r="1667" spans="2:10" x14ac:dyDescent="0.2">
      <c r="B1667" s="2"/>
      <c r="C1667" s="46"/>
      <c r="D1667" s="46"/>
      <c r="E1667" s="46"/>
      <c r="F1667" s="2"/>
      <c r="G1667" s="46"/>
      <c r="H1667" s="2"/>
      <c r="I1667" s="2"/>
      <c r="J1667" s="2"/>
    </row>
    <row r="1668" spans="2:10" x14ac:dyDescent="0.2">
      <c r="B1668" s="2"/>
      <c r="C1668" s="46"/>
      <c r="D1668" s="46"/>
      <c r="E1668" s="46"/>
      <c r="F1668" s="2"/>
      <c r="G1668" s="46"/>
      <c r="H1668" s="2"/>
      <c r="I1668" s="2"/>
      <c r="J1668" s="2"/>
    </row>
    <row r="1669" spans="2:10" x14ac:dyDescent="0.2">
      <c r="B1669" s="2"/>
      <c r="C1669" s="46"/>
      <c r="D1669" s="46"/>
      <c r="E1669" s="46"/>
      <c r="F1669" s="2"/>
      <c r="G1669" s="46"/>
      <c r="H1669" s="2"/>
      <c r="I1669" s="2"/>
      <c r="J1669" s="2"/>
    </row>
    <row r="1670" spans="2:10" x14ac:dyDescent="0.2">
      <c r="B1670" s="2"/>
      <c r="C1670" s="46"/>
      <c r="D1670" s="46"/>
      <c r="E1670" s="46"/>
      <c r="F1670" s="2"/>
      <c r="G1670" s="46"/>
      <c r="H1670" s="2"/>
      <c r="I1670" s="2"/>
      <c r="J1670" s="2"/>
    </row>
    <row r="1671" spans="2:10" x14ac:dyDescent="0.2">
      <c r="B1671" s="2"/>
      <c r="C1671" s="46"/>
      <c r="D1671" s="46"/>
      <c r="E1671" s="46"/>
      <c r="F1671" s="2"/>
      <c r="G1671" s="46"/>
      <c r="H1671" s="2"/>
      <c r="I1671" s="2"/>
      <c r="J1671" s="2"/>
    </row>
    <row r="1672" spans="2:10" x14ac:dyDescent="0.2">
      <c r="B1672" s="2"/>
      <c r="C1672" s="46"/>
      <c r="D1672" s="46"/>
      <c r="E1672" s="46"/>
      <c r="F1672" s="2"/>
      <c r="G1672" s="46"/>
      <c r="H1672" s="2"/>
      <c r="I1672" s="2"/>
      <c r="J1672" s="2"/>
    </row>
    <row r="1673" spans="2:10" x14ac:dyDescent="0.2">
      <c r="B1673" s="2"/>
      <c r="C1673" s="46"/>
      <c r="D1673" s="46"/>
      <c r="E1673" s="46"/>
      <c r="F1673" s="2"/>
      <c r="G1673" s="46"/>
      <c r="H1673" s="2"/>
      <c r="I1673" s="2"/>
      <c r="J1673" s="2"/>
    </row>
    <row r="1674" spans="2:10" x14ac:dyDescent="0.2">
      <c r="B1674" s="2"/>
      <c r="C1674" s="46"/>
      <c r="D1674" s="46"/>
      <c r="E1674" s="46"/>
      <c r="F1674" s="2"/>
      <c r="G1674" s="46"/>
      <c r="H1674" s="2"/>
      <c r="I1674" s="2"/>
      <c r="J1674" s="2"/>
    </row>
    <row r="1675" spans="2:10" x14ac:dyDescent="0.2">
      <c r="B1675" s="2"/>
      <c r="C1675" s="46"/>
      <c r="D1675" s="46"/>
      <c r="E1675" s="46"/>
      <c r="F1675" s="2"/>
      <c r="G1675" s="46"/>
      <c r="H1675" s="2"/>
      <c r="I1675" s="2"/>
      <c r="J1675" s="2"/>
    </row>
    <row r="1676" spans="2:10" x14ac:dyDescent="0.2">
      <c r="B1676" s="2"/>
      <c r="C1676" s="46"/>
      <c r="D1676" s="46"/>
      <c r="E1676" s="46"/>
      <c r="F1676" s="2"/>
      <c r="G1676" s="46"/>
      <c r="H1676" s="2"/>
      <c r="I1676" s="2"/>
      <c r="J1676" s="2"/>
    </row>
    <row r="1677" spans="2:10" x14ac:dyDescent="0.2">
      <c r="B1677" s="2"/>
      <c r="C1677" s="46"/>
      <c r="D1677" s="46"/>
      <c r="E1677" s="46"/>
      <c r="F1677" s="2"/>
      <c r="G1677" s="46"/>
      <c r="H1677" s="2"/>
      <c r="I1677" s="2"/>
      <c r="J1677" s="2"/>
    </row>
    <row r="1678" spans="2:10" x14ac:dyDescent="0.2">
      <c r="B1678" s="2"/>
      <c r="C1678" s="46"/>
      <c r="D1678" s="46"/>
      <c r="E1678" s="46"/>
      <c r="F1678" s="2"/>
      <c r="G1678" s="46"/>
      <c r="H1678" s="2"/>
      <c r="I1678" s="2"/>
      <c r="J1678" s="2"/>
    </row>
    <row r="1679" spans="2:10" x14ac:dyDescent="0.2">
      <c r="B1679" s="2"/>
      <c r="C1679" s="46"/>
      <c r="D1679" s="46"/>
      <c r="E1679" s="46"/>
      <c r="F1679" s="2"/>
      <c r="G1679" s="46"/>
      <c r="H1679" s="2"/>
      <c r="I1679" s="2"/>
      <c r="J1679" s="2"/>
    </row>
    <row r="1680" spans="2:10" x14ac:dyDescent="0.2">
      <c r="B1680" s="2"/>
      <c r="C1680" s="46"/>
      <c r="D1680" s="46"/>
      <c r="E1680" s="46"/>
      <c r="F1680" s="2"/>
      <c r="G1680" s="46"/>
      <c r="H1680" s="2"/>
      <c r="I1680" s="2"/>
      <c r="J1680" s="2"/>
    </row>
    <row r="1681" spans="2:10" x14ac:dyDescent="0.2">
      <c r="B1681" s="2"/>
      <c r="C1681" s="46"/>
      <c r="D1681" s="46"/>
      <c r="E1681" s="46"/>
      <c r="F1681" s="2"/>
      <c r="G1681" s="46"/>
      <c r="H1681" s="2"/>
      <c r="I1681" s="2"/>
      <c r="J1681" s="2"/>
    </row>
    <row r="1682" spans="2:10" x14ac:dyDescent="0.2">
      <c r="B1682" s="2"/>
      <c r="C1682" s="46"/>
      <c r="D1682" s="46"/>
      <c r="E1682" s="46"/>
      <c r="F1682" s="2"/>
      <c r="G1682" s="46"/>
      <c r="H1682" s="2"/>
      <c r="I1682" s="2"/>
      <c r="J1682" s="2"/>
    </row>
    <row r="1683" spans="2:10" x14ac:dyDescent="0.2">
      <c r="B1683" s="2"/>
      <c r="C1683" s="46"/>
      <c r="D1683" s="46"/>
      <c r="E1683" s="46"/>
      <c r="F1683" s="6"/>
      <c r="G1683" s="46"/>
      <c r="H1683" s="2"/>
      <c r="I1683" s="2"/>
      <c r="J1683" s="2"/>
    </row>
    <row r="1684" spans="2:10" x14ac:dyDescent="0.2">
      <c r="B1684" s="2"/>
      <c r="C1684" s="46"/>
      <c r="D1684" s="46"/>
      <c r="E1684" s="46"/>
      <c r="F1684" s="2"/>
      <c r="G1684" s="46"/>
      <c r="H1684" s="2"/>
      <c r="I1684" s="2"/>
      <c r="J1684" s="2"/>
    </row>
    <row r="1685" spans="2:10" x14ac:dyDescent="0.2">
      <c r="B1685" s="2"/>
      <c r="C1685" s="46"/>
      <c r="D1685" s="46"/>
      <c r="E1685" s="46"/>
      <c r="F1685" s="2"/>
      <c r="G1685" s="46"/>
      <c r="H1685" s="2"/>
      <c r="I1685" s="2"/>
      <c r="J1685" s="2"/>
    </row>
    <row r="1686" spans="2:10" x14ac:dyDescent="0.2">
      <c r="B1686" s="2"/>
      <c r="C1686" s="46"/>
      <c r="D1686" s="46"/>
      <c r="E1686" s="46"/>
      <c r="F1686" s="2"/>
      <c r="G1686" s="46"/>
      <c r="H1686" s="2"/>
      <c r="I1686" s="2"/>
      <c r="J1686" s="2"/>
    </row>
    <row r="1687" spans="2:10" x14ac:dyDescent="0.2">
      <c r="B1687" s="2"/>
      <c r="C1687" s="46"/>
      <c r="D1687" s="46"/>
      <c r="E1687" s="46"/>
      <c r="F1687" s="6"/>
      <c r="G1687" s="46"/>
      <c r="H1687" s="2"/>
      <c r="I1687" s="2"/>
      <c r="J1687" s="2"/>
    </row>
    <row r="1688" spans="2:10" x14ac:dyDescent="0.2">
      <c r="B1688" s="2"/>
      <c r="C1688" s="46"/>
      <c r="D1688" s="46"/>
      <c r="E1688" s="46"/>
      <c r="F1688" s="2"/>
      <c r="G1688" s="46"/>
      <c r="H1688" s="2"/>
      <c r="I1688" s="2"/>
      <c r="J1688" s="2"/>
    </row>
    <row r="1689" spans="2:10" x14ac:dyDescent="0.2">
      <c r="B1689" s="2"/>
      <c r="C1689" s="46"/>
      <c r="D1689" s="46"/>
      <c r="E1689" s="46"/>
      <c r="F1689" s="2"/>
      <c r="G1689" s="46"/>
      <c r="H1689" s="2"/>
      <c r="I1689" s="2"/>
      <c r="J1689" s="2"/>
    </row>
    <row r="1690" spans="2:10" x14ac:dyDescent="0.2">
      <c r="B1690" s="2"/>
      <c r="C1690" s="46"/>
      <c r="D1690" s="46"/>
      <c r="E1690" s="46"/>
      <c r="F1690" s="2"/>
      <c r="G1690" s="46"/>
      <c r="H1690" s="2"/>
      <c r="I1690" s="2"/>
      <c r="J1690" s="2"/>
    </row>
    <row r="1691" spans="2:10" x14ac:dyDescent="0.2">
      <c r="B1691" s="2"/>
      <c r="C1691" s="46"/>
      <c r="D1691" s="46"/>
      <c r="E1691" s="46"/>
      <c r="F1691" s="2"/>
      <c r="G1691" s="46"/>
      <c r="H1691" s="2"/>
      <c r="I1691" s="2"/>
      <c r="J1691" s="2"/>
    </row>
    <row r="1692" spans="2:10" x14ac:dyDescent="0.2">
      <c r="B1692" s="2"/>
      <c r="C1692" s="46"/>
      <c r="D1692" s="46"/>
      <c r="E1692" s="46"/>
      <c r="F1692" s="2"/>
      <c r="G1692" s="46"/>
      <c r="H1692" s="2"/>
      <c r="I1692" s="2"/>
      <c r="J1692" s="2"/>
    </row>
    <row r="1693" spans="2:10" x14ac:dyDescent="0.2">
      <c r="B1693" s="2"/>
      <c r="C1693" s="46"/>
      <c r="D1693" s="46"/>
      <c r="E1693" s="46"/>
      <c r="F1693" s="6"/>
      <c r="G1693" s="46"/>
      <c r="H1693" s="2"/>
      <c r="I1693" s="2"/>
      <c r="J1693" s="2"/>
    </row>
    <row r="1694" spans="2:10" x14ac:dyDescent="0.2">
      <c r="B1694" s="2"/>
      <c r="C1694" s="46"/>
      <c r="D1694" s="46"/>
      <c r="E1694" s="46"/>
      <c r="F1694" s="2"/>
      <c r="G1694" s="46"/>
      <c r="H1694" s="2"/>
      <c r="I1694" s="2"/>
      <c r="J1694" s="2"/>
    </row>
    <row r="1695" spans="2:10" x14ac:dyDescent="0.2">
      <c r="B1695" s="2"/>
      <c r="C1695" s="46"/>
      <c r="D1695" s="46"/>
      <c r="E1695" s="46"/>
      <c r="F1695" s="2"/>
      <c r="G1695" s="46"/>
      <c r="H1695" s="2"/>
      <c r="I1695" s="2"/>
      <c r="J1695" s="2"/>
    </row>
    <row r="1696" spans="2:10" x14ac:dyDescent="0.2">
      <c r="B1696" s="2"/>
      <c r="C1696" s="46"/>
      <c r="D1696" s="46"/>
      <c r="E1696" s="46"/>
      <c r="F1696" s="2"/>
      <c r="G1696" s="46"/>
      <c r="H1696" s="2"/>
      <c r="I1696" s="2"/>
      <c r="J1696" s="2"/>
    </row>
    <row r="1697" spans="2:10" x14ac:dyDescent="0.2">
      <c r="B1697" s="2"/>
      <c r="C1697" s="46"/>
      <c r="D1697" s="46"/>
      <c r="E1697" s="46"/>
      <c r="F1697" s="2"/>
      <c r="G1697" s="46"/>
      <c r="H1697" s="2"/>
      <c r="I1697" s="2"/>
      <c r="J1697" s="2"/>
    </row>
    <row r="1698" spans="2:10" x14ac:dyDescent="0.2">
      <c r="B1698" s="2"/>
      <c r="C1698" s="46"/>
      <c r="D1698" s="46"/>
      <c r="E1698" s="46"/>
      <c r="F1698" s="2"/>
      <c r="G1698" s="46"/>
      <c r="H1698" s="2"/>
      <c r="I1698" s="2"/>
      <c r="J1698" s="2"/>
    </row>
    <row r="1699" spans="2:10" x14ac:dyDescent="0.2">
      <c r="B1699" s="2"/>
      <c r="C1699" s="46"/>
      <c r="D1699" s="46"/>
      <c r="E1699" s="46"/>
      <c r="F1699" s="2"/>
      <c r="G1699" s="46"/>
      <c r="H1699" s="2"/>
      <c r="I1699" s="2"/>
      <c r="J1699" s="2"/>
    </row>
    <row r="1700" spans="2:10" x14ac:dyDescent="0.2">
      <c r="B1700" s="2"/>
      <c r="C1700" s="46"/>
      <c r="D1700" s="46"/>
      <c r="E1700" s="46"/>
      <c r="F1700" s="2"/>
      <c r="G1700" s="46"/>
      <c r="H1700" s="2"/>
      <c r="I1700" s="2"/>
      <c r="J1700" s="2"/>
    </row>
    <row r="1701" spans="2:10" x14ac:dyDescent="0.2">
      <c r="B1701" s="2"/>
      <c r="C1701" s="46"/>
      <c r="D1701" s="46"/>
      <c r="E1701" s="46"/>
      <c r="F1701" s="2"/>
      <c r="G1701" s="46"/>
      <c r="H1701" s="2"/>
      <c r="I1701" s="2"/>
      <c r="J1701" s="2"/>
    </row>
    <row r="1702" spans="2:10" x14ac:dyDescent="0.2">
      <c r="B1702" s="2"/>
      <c r="C1702" s="46"/>
      <c r="D1702" s="46"/>
      <c r="E1702" s="46"/>
      <c r="F1702" s="2"/>
      <c r="G1702" s="46"/>
      <c r="H1702" s="2"/>
      <c r="I1702" s="2"/>
      <c r="J1702" s="2"/>
    </row>
    <row r="1703" spans="2:10" x14ac:dyDescent="0.2">
      <c r="B1703" s="2"/>
      <c r="C1703" s="46"/>
      <c r="D1703" s="46"/>
      <c r="E1703" s="46"/>
      <c r="F1703" s="2"/>
      <c r="G1703" s="46"/>
      <c r="H1703" s="2"/>
      <c r="I1703" s="2"/>
      <c r="J1703" s="2"/>
    </row>
    <row r="1704" spans="2:10" x14ac:dyDescent="0.2">
      <c r="B1704" s="2"/>
      <c r="C1704" s="46"/>
      <c r="D1704" s="46"/>
      <c r="E1704" s="46"/>
      <c r="F1704" s="2"/>
      <c r="G1704" s="46"/>
      <c r="H1704" s="2"/>
      <c r="I1704" s="2"/>
      <c r="J1704" s="2"/>
    </row>
    <row r="1705" spans="2:10" x14ac:dyDescent="0.2">
      <c r="B1705" s="2"/>
      <c r="C1705" s="46"/>
      <c r="D1705" s="46"/>
      <c r="E1705" s="46"/>
      <c r="F1705" s="2"/>
      <c r="G1705" s="46"/>
      <c r="H1705" s="2"/>
      <c r="I1705" s="2"/>
      <c r="J1705" s="2"/>
    </row>
    <row r="1706" spans="2:10" x14ac:dyDescent="0.2">
      <c r="B1706" s="2"/>
      <c r="C1706" s="46"/>
      <c r="D1706" s="46"/>
      <c r="E1706" s="46"/>
      <c r="F1706" s="2"/>
      <c r="G1706" s="46"/>
      <c r="H1706" s="2"/>
      <c r="I1706" s="2"/>
      <c r="J1706" s="2"/>
    </row>
    <row r="1707" spans="2:10" x14ac:dyDescent="0.2">
      <c r="B1707" s="2"/>
      <c r="C1707" s="46"/>
      <c r="D1707" s="46"/>
      <c r="E1707" s="46"/>
      <c r="F1707" s="2"/>
      <c r="G1707" s="46"/>
      <c r="H1707" s="2"/>
      <c r="I1707" s="2"/>
      <c r="J1707" s="2"/>
    </row>
    <row r="1708" spans="2:10" x14ac:dyDescent="0.2">
      <c r="B1708" s="2"/>
      <c r="C1708" s="46"/>
      <c r="D1708" s="46"/>
      <c r="E1708" s="46"/>
      <c r="F1708" s="2"/>
      <c r="G1708" s="46"/>
      <c r="H1708" s="2"/>
      <c r="I1708" s="2"/>
      <c r="J1708" s="2"/>
    </row>
    <row r="1709" spans="2:10" x14ac:dyDescent="0.2">
      <c r="B1709" s="2"/>
      <c r="C1709" s="46"/>
      <c r="D1709" s="46"/>
      <c r="E1709" s="46"/>
      <c r="F1709" s="2"/>
      <c r="G1709" s="46"/>
      <c r="H1709" s="2"/>
      <c r="I1709" s="2"/>
      <c r="J1709" s="2"/>
    </row>
    <row r="1710" spans="2:10" x14ac:dyDescent="0.2">
      <c r="B1710" s="2"/>
      <c r="C1710" s="46"/>
      <c r="D1710" s="46"/>
      <c r="E1710" s="46"/>
      <c r="F1710" s="2"/>
      <c r="G1710" s="46"/>
      <c r="H1710" s="2"/>
      <c r="I1710" s="2"/>
      <c r="J1710" s="2"/>
    </row>
    <row r="1711" spans="2:10" x14ac:dyDescent="0.2">
      <c r="B1711" s="2"/>
      <c r="C1711" s="46"/>
      <c r="D1711" s="46"/>
      <c r="E1711" s="46"/>
      <c r="F1711" s="2"/>
      <c r="G1711" s="46"/>
      <c r="H1711" s="2"/>
      <c r="I1711" s="2"/>
      <c r="J1711" s="2"/>
    </row>
    <row r="1712" spans="2:10" x14ac:dyDescent="0.2">
      <c r="B1712" s="2"/>
      <c r="C1712" s="46"/>
      <c r="D1712" s="46"/>
      <c r="E1712" s="46"/>
      <c r="F1712" s="2"/>
      <c r="G1712" s="46"/>
      <c r="H1712" s="2"/>
      <c r="I1712" s="2"/>
      <c r="J1712" s="2"/>
    </row>
    <row r="1713" spans="2:10" x14ac:dyDescent="0.2">
      <c r="B1713" s="2"/>
      <c r="C1713" s="46"/>
      <c r="D1713" s="46"/>
      <c r="E1713" s="46"/>
      <c r="F1713" s="2"/>
      <c r="G1713" s="46"/>
      <c r="H1713" s="2"/>
      <c r="I1713" s="2"/>
      <c r="J1713" s="2"/>
    </row>
    <row r="1714" spans="2:10" x14ac:dyDescent="0.2">
      <c r="B1714" s="2"/>
      <c r="C1714" s="46"/>
      <c r="D1714" s="46"/>
      <c r="E1714" s="46"/>
      <c r="F1714" s="2"/>
      <c r="G1714" s="46"/>
      <c r="H1714" s="2"/>
      <c r="I1714" s="2"/>
      <c r="J1714" s="2"/>
    </row>
    <row r="1715" spans="2:10" x14ac:dyDescent="0.2">
      <c r="B1715" s="2"/>
      <c r="C1715" s="46"/>
      <c r="D1715" s="46"/>
      <c r="E1715" s="46"/>
      <c r="F1715" s="2"/>
      <c r="G1715" s="46"/>
      <c r="H1715" s="2"/>
      <c r="I1715" s="2"/>
      <c r="J1715" s="2"/>
    </row>
    <row r="1716" spans="2:10" x14ac:dyDescent="0.2">
      <c r="B1716" s="2"/>
      <c r="C1716" s="46"/>
      <c r="D1716" s="46"/>
      <c r="E1716" s="46"/>
      <c r="F1716" s="2"/>
      <c r="G1716" s="46"/>
      <c r="H1716" s="2"/>
      <c r="I1716" s="2"/>
      <c r="J1716" s="2"/>
    </row>
    <row r="1717" spans="2:10" x14ac:dyDescent="0.2">
      <c r="B1717" s="2"/>
      <c r="C1717" s="46"/>
      <c r="D1717" s="46"/>
      <c r="E1717" s="46"/>
      <c r="F1717" s="2"/>
      <c r="G1717" s="46"/>
      <c r="H1717" s="2"/>
      <c r="I1717" s="2"/>
      <c r="J1717" s="2"/>
    </row>
    <row r="1718" spans="2:10" x14ac:dyDescent="0.2">
      <c r="B1718" s="2"/>
      <c r="C1718" s="46"/>
      <c r="D1718" s="46"/>
      <c r="E1718" s="46"/>
      <c r="F1718" s="2"/>
      <c r="G1718" s="46"/>
      <c r="H1718" s="2"/>
      <c r="I1718" s="2"/>
      <c r="J1718" s="2"/>
    </row>
    <row r="1719" spans="2:10" x14ac:dyDescent="0.2">
      <c r="B1719" s="2"/>
      <c r="C1719" s="46"/>
      <c r="D1719" s="46"/>
      <c r="E1719" s="46"/>
      <c r="F1719" s="2"/>
      <c r="G1719" s="46"/>
      <c r="H1719" s="2"/>
      <c r="I1719" s="2"/>
      <c r="J1719" s="2"/>
    </row>
    <row r="1720" spans="2:10" x14ac:dyDescent="0.2">
      <c r="B1720" s="2"/>
      <c r="C1720" s="46"/>
      <c r="D1720" s="46"/>
      <c r="E1720" s="46"/>
      <c r="F1720" s="2"/>
      <c r="G1720" s="46"/>
      <c r="H1720" s="2"/>
      <c r="I1720" s="2"/>
      <c r="J1720" s="2"/>
    </row>
    <row r="1721" spans="2:10" x14ac:dyDescent="0.2">
      <c r="B1721" s="2"/>
      <c r="C1721" s="46"/>
      <c r="D1721" s="46"/>
      <c r="E1721" s="46"/>
      <c r="F1721" s="2"/>
      <c r="G1721" s="46"/>
      <c r="H1721" s="2"/>
      <c r="I1721" s="2"/>
      <c r="J1721" s="2"/>
    </row>
    <row r="1722" spans="2:10" x14ac:dyDescent="0.2">
      <c r="B1722" s="2"/>
      <c r="C1722" s="46"/>
      <c r="D1722" s="46"/>
      <c r="E1722" s="46"/>
      <c r="F1722" s="2"/>
      <c r="G1722" s="46"/>
      <c r="H1722" s="2"/>
      <c r="I1722" s="2"/>
      <c r="J1722" s="2"/>
    </row>
    <row r="1723" spans="2:10" x14ac:dyDescent="0.2">
      <c r="B1723" s="2"/>
      <c r="C1723" s="46"/>
      <c r="D1723" s="46"/>
      <c r="E1723" s="46"/>
      <c r="F1723" s="2"/>
      <c r="G1723" s="46"/>
      <c r="H1723" s="2"/>
      <c r="I1723" s="2"/>
      <c r="J1723" s="2"/>
    </row>
    <row r="1724" spans="2:10" x14ac:dyDescent="0.2">
      <c r="B1724" s="2"/>
      <c r="C1724" s="46"/>
      <c r="D1724" s="46"/>
      <c r="E1724" s="46"/>
      <c r="F1724" s="2"/>
      <c r="G1724" s="46"/>
      <c r="H1724" s="2"/>
      <c r="I1724" s="2"/>
      <c r="J1724" s="2"/>
    </row>
    <row r="1725" spans="2:10" x14ac:dyDescent="0.2">
      <c r="B1725" s="2"/>
      <c r="C1725" s="46"/>
      <c r="D1725" s="46"/>
      <c r="E1725" s="46"/>
      <c r="F1725" s="2"/>
      <c r="G1725" s="46"/>
      <c r="H1725" s="2"/>
      <c r="I1725" s="2"/>
      <c r="J1725" s="2"/>
    </row>
    <row r="1726" spans="2:10" x14ac:dyDescent="0.2">
      <c r="B1726" s="2"/>
      <c r="C1726" s="46"/>
      <c r="D1726" s="46"/>
      <c r="E1726" s="46"/>
      <c r="F1726" s="2"/>
      <c r="G1726" s="46"/>
      <c r="H1726" s="2"/>
      <c r="I1726" s="2"/>
      <c r="J1726" s="2"/>
    </row>
    <row r="1727" spans="2:10" x14ac:dyDescent="0.2">
      <c r="B1727" s="2"/>
      <c r="C1727" s="46"/>
      <c r="D1727" s="46"/>
      <c r="E1727" s="46"/>
      <c r="F1727" s="2"/>
      <c r="G1727" s="46"/>
      <c r="H1727" s="2"/>
      <c r="I1727" s="2"/>
      <c r="J1727" s="2"/>
    </row>
    <row r="1728" spans="2:10" x14ac:dyDescent="0.2">
      <c r="B1728" s="2"/>
      <c r="C1728" s="46"/>
      <c r="D1728" s="46"/>
      <c r="E1728" s="46"/>
      <c r="F1728" s="2"/>
      <c r="G1728" s="46"/>
      <c r="H1728" s="2"/>
      <c r="I1728" s="2"/>
      <c r="J1728" s="2"/>
    </row>
    <row r="1729" spans="2:10" x14ac:dyDescent="0.2">
      <c r="B1729" s="2"/>
      <c r="C1729" s="46"/>
      <c r="D1729" s="46"/>
      <c r="E1729" s="46"/>
      <c r="F1729" s="2"/>
      <c r="G1729" s="46"/>
      <c r="H1729" s="2"/>
      <c r="I1729" s="2"/>
      <c r="J1729" s="2"/>
    </row>
    <row r="1730" spans="2:10" x14ac:dyDescent="0.2">
      <c r="B1730" s="2"/>
      <c r="C1730" s="46"/>
      <c r="D1730" s="46"/>
      <c r="E1730" s="46"/>
      <c r="F1730" s="2"/>
      <c r="G1730" s="46"/>
      <c r="H1730" s="2"/>
      <c r="I1730" s="2"/>
      <c r="J1730" s="2"/>
    </row>
    <row r="1731" spans="2:10" x14ac:dyDescent="0.2">
      <c r="B1731" s="2"/>
      <c r="C1731" s="46"/>
      <c r="D1731" s="46"/>
      <c r="E1731" s="46"/>
      <c r="F1731" s="2"/>
      <c r="G1731" s="46"/>
      <c r="H1731" s="2"/>
      <c r="I1731" s="2"/>
      <c r="J1731" s="2"/>
    </row>
    <row r="1732" spans="2:10" x14ac:dyDescent="0.2">
      <c r="B1732" s="2"/>
      <c r="C1732" s="46"/>
      <c r="D1732" s="46"/>
      <c r="E1732" s="46"/>
      <c r="F1732" s="2"/>
      <c r="G1732" s="46"/>
      <c r="H1732" s="2"/>
      <c r="I1732" s="2"/>
      <c r="J1732" s="2"/>
    </row>
    <row r="1733" spans="2:10" x14ac:dyDescent="0.2">
      <c r="B1733" s="2"/>
      <c r="C1733" s="46"/>
      <c r="D1733" s="46"/>
      <c r="E1733" s="46"/>
      <c r="F1733" s="2"/>
      <c r="G1733" s="46"/>
      <c r="H1733" s="2"/>
      <c r="I1733" s="2"/>
      <c r="J1733" s="2"/>
    </row>
    <row r="1734" spans="2:10" x14ac:dyDescent="0.2">
      <c r="B1734" s="2"/>
      <c r="C1734" s="46"/>
      <c r="D1734" s="46"/>
      <c r="E1734" s="46"/>
      <c r="F1734" s="2"/>
      <c r="G1734" s="46"/>
      <c r="H1734" s="2"/>
      <c r="I1734" s="2"/>
      <c r="J1734" s="2"/>
    </row>
    <row r="1735" spans="2:10" x14ac:dyDescent="0.2">
      <c r="B1735" s="2"/>
      <c r="C1735" s="46"/>
      <c r="D1735" s="46"/>
      <c r="E1735" s="46"/>
      <c r="F1735" s="2"/>
      <c r="G1735" s="46"/>
      <c r="H1735" s="2"/>
      <c r="I1735" s="2"/>
      <c r="J1735" s="2"/>
    </row>
    <row r="1736" spans="2:10" x14ac:dyDescent="0.2">
      <c r="B1736" s="2"/>
      <c r="C1736" s="46"/>
      <c r="D1736" s="46"/>
      <c r="E1736" s="46"/>
      <c r="F1736" s="2"/>
      <c r="G1736" s="46"/>
      <c r="H1736" s="2"/>
      <c r="I1736" s="2"/>
      <c r="J1736" s="2"/>
    </row>
    <row r="1737" spans="2:10" x14ac:dyDescent="0.2">
      <c r="B1737" s="2"/>
      <c r="C1737" s="46"/>
      <c r="D1737" s="46"/>
      <c r="E1737" s="46"/>
      <c r="F1737" s="2"/>
      <c r="G1737" s="46"/>
      <c r="H1737" s="2"/>
      <c r="I1737" s="2"/>
      <c r="J1737" s="2"/>
    </row>
    <row r="1738" spans="2:10" x14ac:dyDescent="0.2">
      <c r="B1738" s="2"/>
      <c r="C1738" s="46"/>
      <c r="D1738" s="46"/>
      <c r="E1738" s="46"/>
      <c r="F1738" s="2"/>
      <c r="G1738" s="46"/>
      <c r="H1738" s="2"/>
      <c r="I1738" s="2"/>
      <c r="J1738" s="2"/>
    </row>
    <row r="1739" spans="2:10" x14ac:dyDescent="0.2">
      <c r="B1739" s="2"/>
      <c r="C1739" s="46"/>
      <c r="D1739" s="46"/>
      <c r="E1739" s="46"/>
      <c r="F1739" s="2"/>
      <c r="G1739" s="46"/>
      <c r="H1739" s="2"/>
      <c r="I1739" s="2"/>
      <c r="J1739" s="2"/>
    </row>
    <row r="1740" spans="2:10" x14ac:dyDescent="0.2">
      <c r="B1740" s="2"/>
      <c r="C1740" s="46"/>
      <c r="D1740" s="46"/>
      <c r="E1740" s="46"/>
      <c r="F1740" s="2"/>
      <c r="G1740" s="46"/>
      <c r="H1740" s="2"/>
      <c r="I1740" s="2"/>
      <c r="J1740" s="2"/>
    </row>
    <row r="1741" spans="2:10" x14ac:dyDescent="0.2">
      <c r="B1741" s="2"/>
      <c r="C1741" s="46"/>
      <c r="D1741" s="46"/>
      <c r="E1741" s="46"/>
      <c r="F1741" s="2"/>
      <c r="G1741" s="46"/>
      <c r="H1741" s="2"/>
      <c r="I1741" s="2"/>
      <c r="J1741" s="2"/>
    </row>
    <row r="1742" spans="2:10" x14ac:dyDescent="0.2">
      <c r="B1742" s="2"/>
      <c r="C1742" s="46"/>
      <c r="D1742" s="46"/>
      <c r="E1742" s="46"/>
      <c r="F1742" s="2"/>
      <c r="G1742" s="46"/>
      <c r="H1742" s="2"/>
      <c r="I1742" s="2"/>
      <c r="J1742" s="2"/>
    </row>
    <row r="1743" spans="2:10" x14ac:dyDescent="0.2">
      <c r="B1743" s="2"/>
      <c r="C1743" s="46"/>
      <c r="D1743" s="46"/>
      <c r="E1743" s="46"/>
      <c r="F1743" s="2"/>
      <c r="G1743" s="46"/>
      <c r="H1743" s="2"/>
      <c r="I1743" s="2"/>
      <c r="J1743" s="2"/>
    </row>
    <row r="1744" spans="2:10" x14ac:dyDescent="0.2">
      <c r="B1744" s="2"/>
      <c r="C1744" s="46"/>
      <c r="D1744" s="46"/>
      <c r="E1744" s="46"/>
      <c r="F1744" s="2"/>
      <c r="G1744" s="46"/>
      <c r="H1744" s="2"/>
      <c r="I1744" s="2"/>
      <c r="J1744" s="2"/>
    </row>
    <row r="1745" spans="2:10" x14ac:dyDescent="0.2">
      <c r="B1745" s="2"/>
      <c r="C1745" s="46"/>
      <c r="D1745" s="46"/>
      <c r="E1745" s="46"/>
      <c r="F1745" s="2"/>
      <c r="G1745" s="46"/>
      <c r="H1745" s="2"/>
      <c r="I1745" s="2"/>
      <c r="J1745" s="2"/>
    </row>
    <row r="1746" spans="2:10" x14ac:dyDescent="0.2">
      <c r="B1746" s="2"/>
      <c r="C1746" s="46"/>
      <c r="D1746" s="46"/>
      <c r="E1746" s="46"/>
      <c r="F1746" s="2"/>
      <c r="G1746" s="46"/>
      <c r="H1746" s="2"/>
      <c r="I1746" s="2"/>
      <c r="J1746" s="2"/>
    </row>
    <row r="1747" spans="2:10" x14ac:dyDescent="0.2">
      <c r="B1747" s="2"/>
      <c r="C1747" s="46"/>
      <c r="D1747" s="46"/>
      <c r="E1747" s="46"/>
      <c r="F1747" s="2"/>
      <c r="G1747" s="46"/>
      <c r="H1747" s="2"/>
      <c r="I1747" s="2"/>
      <c r="J1747" s="2"/>
    </row>
    <row r="1748" spans="2:10" x14ac:dyDescent="0.2">
      <c r="B1748" s="2"/>
      <c r="C1748" s="46"/>
      <c r="D1748" s="46"/>
      <c r="E1748" s="46"/>
      <c r="F1748" s="6"/>
      <c r="G1748" s="46"/>
      <c r="H1748" s="2"/>
      <c r="I1748" s="2"/>
      <c r="J1748" s="2"/>
    </row>
    <row r="1749" spans="2:10" x14ac:dyDescent="0.2">
      <c r="B1749" s="2"/>
      <c r="C1749" s="46"/>
      <c r="D1749" s="46"/>
      <c r="E1749" s="46"/>
      <c r="F1749" s="2"/>
      <c r="G1749" s="46"/>
      <c r="H1749" s="2"/>
      <c r="I1749" s="2"/>
      <c r="J1749" s="2"/>
    </row>
    <row r="1750" spans="2:10" x14ac:dyDescent="0.2">
      <c r="B1750" s="2"/>
      <c r="C1750" s="46"/>
      <c r="D1750" s="46"/>
      <c r="E1750" s="46"/>
      <c r="F1750" s="2"/>
      <c r="G1750" s="46"/>
      <c r="H1750" s="2"/>
      <c r="I1750" s="2"/>
      <c r="J1750" s="2"/>
    </row>
    <row r="1751" spans="2:10" x14ac:dyDescent="0.2">
      <c r="B1751" s="2"/>
      <c r="C1751" s="46"/>
      <c r="D1751" s="46"/>
      <c r="E1751" s="46"/>
      <c r="F1751" s="2"/>
      <c r="G1751" s="46"/>
      <c r="H1751" s="2"/>
      <c r="I1751" s="2"/>
      <c r="J1751" s="2"/>
    </row>
    <row r="1752" spans="2:10" x14ac:dyDescent="0.2">
      <c r="B1752" s="2"/>
      <c r="C1752" s="46"/>
      <c r="D1752" s="46"/>
      <c r="E1752" s="46"/>
      <c r="F1752" s="2"/>
      <c r="G1752" s="46"/>
      <c r="H1752" s="2"/>
      <c r="I1752" s="2"/>
      <c r="J1752" s="2"/>
    </row>
    <row r="1753" spans="2:10" x14ac:dyDescent="0.2">
      <c r="B1753" s="2"/>
      <c r="C1753" s="46"/>
      <c r="D1753" s="46"/>
      <c r="E1753" s="46"/>
      <c r="F1753" s="2"/>
      <c r="G1753" s="46"/>
      <c r="H1753" s="2"/>
      <c r="I1753" s="2"/>
      <c r="J1753" s="2"/>
    </row>
    <row r="1754" spans="2:10" x14ac:dyDescent="0.2">
      <c r="B1754" s="2"/>
      <c r="C1754" s="46"/>
      <c r="D1754" s="46"/>
      <c r="E1754" s="46"/>
      <c r="F1754" s="2"/>
      <c r="G1754" s="46"/>
      <c r="H1754" s="2"/>
      <c r="I1754" s="2"/>
      <c r="J1754" s="2"/>
    </row>
    <row r="1755" spans="2:10" x14ac:dyDescent="0.2">
      <c r="B1755" s="2"/>
      <c r="C1755" s="46"/>
      <c r="D1755" s="46"/>
      <c r="E1755" s="46"/>
      <c r="F1755" s="2"/>
      <c r="G1755" s="46"/>
      <c r="H1755" s="2"/>
      <c r="I1755" s="2"/>
      <c r="J1755" s="2"/>
    </row>
    <row r="1756" spans="2:10" x14ac:dyDescent="0.2">
      <c r="B1756" s="2"/>
      <c r="C1756" s="46"/>
      <c r="D1756" s="46"/>
      <c r="E1756" s="46"/>
      <c r="F1756" s="2"/>
      <c r="G1756" s="46"/>
      <c r="H1756" s="2"/>
      <c r="I1756" s="2"/>
      <c r="J1756" s="2"/>
    </row>
    <row r="1757" spans="2:10" x14ac:dyDescent="0.2">
      <c r="B1757" s="2"/>
      <c r="C1757" s="46"/>
      <c r="D1757" s="46"/>
      <c r="E1757" s="46"/>
      <c r="F1757" s="2"/>
      <c r="G1757" s="46"/>
      <c r="H1757" s="2"/>
      <c r="I1757" s="2"/>
      <c r="J1757" s="2"/>
    </row>
    <row r="1758" spans="2:10" x14ac:dyDescent="0.2">
      <c r="B1758" s="2"/>
      <c r="C1758" s="46"/>
      <c r="D1758" s="46"/>
      <c r="E1758" s="46"/>
      <c r="F1758" s="2"/>
      <c r="G1758" s="46"/>
      <c r="H1758" s="2"/>
      <c r="I1758" s="2"/>
      <c r="J1758" s="2"/>
    </row>
    <row r="1759" spans="2:10" x14ac:dyDescent="0.2">
      <c r="B1759" s="2"/>
      <c r="C1759" s="46"/>
      <c r="D1759" s="46"/>
      <c r="E1759" s="46"/>
      <c r="F1759" s="2"/>
      <c r="G1759" s="46"/>
      <c r="H1759" s="2"/>
      <c r="I1759" s="2"/>
      <c r="J1759" s="2"/>
    </row>
    <row r="1760" spans="2:10" x14ac:dyDescent="0.2">
      <c r="B1760" s="2"/>
      <c r="C1760" s="46"/>
      <c r="D1760" s="46"/>
      <c r="E1760" s="46"/>
      <c r="F1760" s="2"/>
      <c r="G1760" s="46"/>
      <c r="H1760" s="2"/>
      <c r="I1760" s="2"/>
      <c r="J1760" s="2"/>
    </row>
    <row r="1761" spans="2:10" x14ac:dyDescent="0.2">
      <c r="B1761" s="2"/>
      <c r="C1761" s="46"/>
      <c r="D1761" s="46"/>
      <c r="E1761" s="46"/>
      <c r="F1761" s="2"/>
      <c r="G1761" s="46"/>
      <c r="H1761" s="2"/>
      <c r="I1761" s="2"/>
      <c r="J1761" s="2"/>
    </row>
    <row r="1762" spans="2:10" x14ac:dyDescent="0.2">
      <c r="B1762" s="2"/>
      <c r="C1762" s="46"/>
      <c r="D1762" s="46"/>
      <c r="E1762" s="46"/>
      <c r="F1762" s="6"/>
      <c r="G1762" s="46"/>
      <c r="H1762" s="2"/>
      <c r="I1762" s="2"/>
      <c r="J1762" s="2"/>
    </row>
    <row r="1763" spans="2:10" x14ac:dyDescent="0.2">
      <c r="B1763" s="2"/>
      <c r="C1763" s="46"/>
      <c r="D1763" s="46"/>
      <c r="E1763" s="46"/>
      <c r="F1763" s="2"/>
      <c r="G1763" s="46"/>
      <c r="H1763" s="2"/>
      <c r="I1763" s="2"/>
      <c r="J1763" s="2"/>
    </row>
    <row r="1764" spans="2:10" x14ac:dyDescent="0.2">
      <c r="B1764" s="2"/>
      <c r="C1764" s="46"/>
      <c r="D1764" s="46"/>
      <c r="E1764" s="46"/>
      <c r="F1764" s="2"/>
      <c r="G1764" s="46"/>
      <c r="H1764" s="2"/>
      <c r="I1764" s="2"/>
      <c r="J1764" s="2"/>
    </row>
    <row r="1765" spans="2:10" x14ac:dyDescent="0.2">
      <c r="B1765" s="2"/>
      <c r="C1765" s="46"/>
      <c r="D1765" s="46"/>
      <c r="E1765" s="46"/>
      <c r="F1765" s="6"/>
      <c r="G1765" s="46"/>
      <c r="H1765" s="2"/>
      <c r="I1765" s="2"/>
      <c r="J1765" s="2"/>
    </row>
    <row r="1766" spans="2:10" x14ac:dyDescent="0.2">
      <c r="B1766" s="2"/>
      <c r="C1766" s="46"/>
      <c r="D1766" s="46"/>
      <c r="E1766" s="46"/>
      <c r="F1766" s="2"/>
      <c r="G1766" s="46"/>
      <c r="H1766" s="2"/>
      <c r="I1766" s="2"/>
      <c r="J1766" s="2"/>
    </row>
    <row r="1767" spans="2:10" x14ac:dyDescent="0.2">
      <c r="B1767" s="2"/>
      <c r="C1767" s="46"/>
      <c r="D1767" s="46"/>
      <c r="E1767" s="46"/>
      <c r="F1767" s="2"/>
      <c r="G1767" s="46"/>
      <c r="H1767" s="2"/>
      <c r="I1767" s="2"/>
      <c r="J1767" s="2"/>
    </row>
    <row r="1768" spans="2:10" x14ac:dyDescent="0.2">
      <c r="B1768" s="2"/>
      <c r="C1768" s="46"/>
      <c r="D1768" s="46"/>
      <c r="E1768" s="46"/>
      <c r="F1768" s="2"/>
      <c r="G1768" s="46"/>
      <c r="H1768" s="2"/>
      <c r="I1768" s="2"/>
      <c r="J1768" s="2"/>
    </row>
    <row r="1769" spans="2:10" x14ac:dyDescent="0.2">
      <c r="B1769" s="2"/>
      <c r="C1769" s="46"/>
      <c r="D1769" s="46"/>
      <c r="E1769" s="46"/>
      <c r="F1769" s="2"/>
      <c r="G1769" s="46"/>
      <c r="H1769" s="2"/>
      <c r="I1769" s="2"/>
      <c r="J1769" s="2"/>
    </row>
    <row r="1770" spans="2:10" x14ac:dyDescent="0.2">
      <c r="B1770" s="2"/>
      <c r="C1770" s="46"/>
      <c r="D1770" s="46"/>
      <c r="E1770" s="46"/>
      <c r="F1770" s="2"/>
      <c r="G1770" s="46"/>
      <c r="H1770" s="2"/>
      <c r="I1770" s="2"/>
      <c r="J1770" s="2"/>
    </row>
    <row r="1771" spans="2:10" x14ac:dyDescent="0.2">
      <c r="B1771" s="2"/>
      <c r="C1771" s="46"/>
      <c r="D1771" s="46"/>
      <c r="E1771" s="46"/>
      <c r="F1771" s="2"/>
      <c r="G1771" s="46"/>
      <c r="H1771" s="2"/>
      <c r="I1771" s="2"/>
      <c r="J1771" s="2"/>
    </row>
    <row r="1772" spans="2:10" x14ac:dyDescent="0.2">
      <c r="B1772" s="2"/>
      <c r="C1772" s="46"/>
      <c r="D1772" s="46"/>
      <c r="E1772" s="46"/>
      <c r="F1772" s="2"/>
      <c r="G1772" s="46"/>
      <c r="H1772" s="2"/>
      <c r="I1772" s="2"/>
      <c r="J1772" s="2"/>
    </row>
    <row r="1773" spans="2:10" x14ac:dyDescent="0.2">
      <c r="B1773" s="2"/>
      <c r="C1773" s="46"/>
      <c r="D1773" s="46"/>
      <c r="E1773" s="46"/>
      <c r="F1773" s="2"/>
      <c r="G1773" s="46"/>
      <c r="H1773" s="2"/>
      <c r="I1773" s="2"/>
      <c r="J1773" s="2"/>
    </row>
    <row r="1774" spans="2:10" x14ac:dyDescent="0.2">
      <c r="B1774" s="2"/>
      <c r="C1774" s="46"/>
      <c r="D1774" s="46"/>
      <c r="E1774" s="46"/>
      <c r="F1774" s="2"/>
      <c r="G1774" s="46"/>
      <c r="H1774" s="2"/>
      <c r="I1774" s="2"/>
      <c r="J1774" s="2"/>
    </row>
    <row r="1775" spans="2:10" x14ac:dyDescent="0.2">
      <c r="B1775" s="2"/>
      <c r="C1775" s="46"/>
      <c r="D1775" s="46"/>
      <c r="E1775" s="46"/>
      <c r="F1775" s="2"/>
      <c r="G1775" s="46"/>
      <c r="H1775" s="2"/>
      <c r="I1775" s="2"/>
      <c r="J1775" s="2"/>
    </row>
    <row r="1776" spans="2:10" x14ac:dyDescent="0.2">
      <c r="B1776" s="2"/>
      <c r="C1776" s="46"/>
      <c r="D1776" s="46"/>
      <c r="E1776" s="46"/>
      <c r="F1776" s="2"/>
      <c r="G1776" s="46"/>
      <c r="H1776" s="2"/>
      <c r="I1776" s="2"/>
      <c r="J1776" s="2"/>
    </row>
    <row r="1777" spans="2:10" x14ac:dyDescent="0.2">
      <c r="B1777" s="2"/>
      <c r="C1777" s="46"/>
      <c r="D1777" s="46"/>
      <c r="E1777" s="46"/>
      <c r="F1777" s="2"/>
      <c r="G1777" s="46"/>
      <c r="H1777" s="2"/>
      <c r="I1777" s="2"/>
      <c r="J1777" s="2"/>
    </row>
    <row r="1778" spans="2:10" x14ac:dyDescent="0.2">
      <c r="B1778" s="2"/>
      <c r="C1778" s="46"/>
      <c r="D1778" s="46"/>
      <c r="E1778" s="46"/>
      <c r="F1778" s="2"/>
      <c r="G1778" s="46"/>
      <c r="H1778" s="2"/>
      <c r="I1778" s="2"/>
      <c r="J1778" s="2"/>
    </row>
    <row r="1779" spans="2:10" x14ac:dyDescent="0.2">
      <c r="B1779" s="2"/>
      <c r="C1779" s="46"/>
      <c r="D1779" s="46"/>
      <c r="E1779" s="46"/>
      <c r="F1779" s="2"/>
      <c r="G1779" s="46"/>
      <c r="H1779" s="2"/>
      <c r="I1779" s="2"/>
      <c r="J1779" s="2"/>
    </row>
    <row r="1780" spans="2:10" x14ac:dyDescent="0.2">
      <c r="B1780" s="2"/>
      <c r="C1780" s="46"/>
      <c r="D1780" s="46"/>
      <c r="E1780" s="46"/>
      <c r="F1780" s="2"/>
      <c r="G1780" s="46"/>
      <c r="H1780" s="2"/>
      <c r="I1780" s="2"/>
      <c r="J1780" s="2"/>
    </row>
    <row r="1781" spans="2:10" x14ac:dyDescent="0.2">
      <c r="B1781" s="2"/>
      <c r="C1781" s="46"/>
      <c r="D1781" s="46"/>
      <c r="E1781" s="46"/>
      <c r="F1781" s="2"/>
      <c r="G1781" s="46"/>
      <c r="H1781" s="2"/>
      <c r="I1781" s="2"/>
      <c r="J1781" s="2"/>
    </row>
    <row r="1782" spans="2:10" x14ac:dyDescent="0.2">
      <c r="B1782" s="2"/>
      <c r="C1782" s="46"/>
      <c r="D1782" s="46"/>
      <c r="E1782" s="46"/>
      <c r="F1782" s="2"/>
      <c r="G1782" s="46"/>
      <c r="H1782" s="2"/>
      <c r="I1782" s="2"/>
      <c r="J1782" s="2"/>
    </row>
    <row r="1783" spans="2:10" x14ac:dyDescent="0.2">
      <c r="B1783" s="2"/>
      <c r="C1783" s="46"/>
      <c r="D1783" s="46"/>
      <c r="E1783" s="46"/>
      <c r="F1783" s="2"/>
      <c r="G1783" s="46"/>
      <c r="H1783" s="2"/>
      <c r="I1783" s="2"/>
      <c r="J1783" s="2"/>
    </row>
    <row r="1784" spans="2:10" x14ac:dyDescent="0.2">
      <c r="B1784" s="2"/>
      <c r="C1784" s="46"/>
      <c r="D1784" s="46"/>
      <c r="E1784" s="46"/>
      <c r="F1784" s="2"/>
      <c r="G1784" s="46"/>
      <c r="H1784" s="2"/>
      <c r="I1784" s="2"/>
      <c r="J1784" s="2"/>
    </row>
    <row r="1785" spans="2:10" x14ac:dyDescent="0.2">
      <c r="B1785" s="2"/>
      <c r="C1785" s="46"/>
      <c r="D1785" s="46"/>
      <c r="E1785" s="46"/>
      <c r="F1785" s="2"/>
      <c r="G1785" s="46"/>
      <c r="H1785" s="2"/>
      <c r="I1785" s="2"/>
      <c r="J1785" s="2"/>
    </row>
    <row r="1786" spans="2:10" x14ac:dyDescent="0.2">
      <c r="B1786" s="2"/>
      <c r="C1786" s="46"/>
      <c r="D1786" s="46"/>
      <c r="E1786" s="46"/>
      <c r="F1786" s="2"/>
      <c r="G1786" s="46"/>
      <c r="H1786" s="2"/>
      <c r="I1786" s="2"/>
      <c r="J1786" s="2"/>
    </row>
    <row r="1787" spans="2:10" x14ac:dyDescent="0.2">
      <c r="B1787" s="2"/>
      <c r="C1787" s="46"/>
      <c r="D1787" s="46"/>
      <c r="E1787" s="46"/>
      <c r="F1787" s="2"/>
      <c r="G1787" s="46"/>
      <c r="H1787" s="2"/>
      <c r="I1787" s="2"/>
      <c r="J1787" s="2"/>
    </row>
    <row r="1788" spans="2:10" x14ac:dyDescent="0.2">
      <c r="B1788" s="2"/>
      <c r="C1788" s="46"/>
      <c r="D1788" s="46"/>
      <c r="E1788" s="46"/>
      <c r="F1788" s="2"/>
      <c r="G1788" s="46"/>
      <c r="H1788" s="2"/>
      <c r="I1788" s="2"/>
      <c r="J1788" s="2"/>
    </row>
    <row r="1789" spans="2:10" x14ac:dyDescent="0.2">
      <c r="B1789" s="2"/>
      <c r="C1789" s="46"/>
      <c r="D1789" s="46"/>
      <c r="E1789" s="46"/>
      <c r="F1789" s="2"/>
      <c r="G1789" s="46"/>
      <c r="H1789" s="2"/>
      <c r="I1789" s="2"/>
      <c r="J1789" s="2"/>
    </row>
    <row r="1790" spans="2:10" x14ac:dyDescent="0.2">
      <c r="B1790" s="2"/>
      <c r="C1790" s="46"/>
      <c r="D1790" s="46"/>
      <c r="E1790" s="46"/>
      <c r="F1790" s="2"/>
      <c r="G1790" s="46"/>
      <c r="H1790" s="2"/>
      <c r="I1790" s="2"/>
      <c r="J1790" s="2"/>
    </row>
    <row r="1791" spans="2:10" x14ac:dyDescent="0.2">
      <c r="B1791" s="2"/>
      <c r="C1791" s="46"/>
      <c r="D1791" s="46"/>
      <c r="E1791" s="46"/>
      <c r="F1791" s="6"/>
      <c r="G1791" s="46"/>
      <c r="H1791" s="2"/>
      <c r="I1791" s="2"/>
      <c r="J1791" s="2"/>
    </row>
    <row r="1792" spans="2:10" x14ac:dyDescent="0.2">
      <c r="B1792" s="2"/>
      <c r="C1792" s="46"/>
      <c r="D1792" s="46"/>
      <c r="E1792" s="46"/>
      <c r="F1792" s="2"/>
      <c r="G1792" s="46"/>
      <c r="H1792" s="2"/>
      <c r="I1792" s="2"/>
      <c r="J1792" s="2"/>
    </row>
    <row r="1793" spans="2:10" x14ac:dyDescent="0.2">
      <c r="B1793" s="2"/>
      <c r="C1793" s="46"/>
      <c r="D1793" s="46"/>
      <c r="E1793" s="46"/>
      <c r="F1793" s="2"/>
      <c r="G1793" s="46"/>
      <c r="H1793" s="2"/>
      <c r="I1793" s="2"/>
      <c r="J1793" s="2"/>
    </row>
    <row r="1794" spans="2:10" x14ac:dyDescent="0.2">
      <c r="B1794" s="2"/>
      <c r="C1794" s="46"/>
      <c r="D1794" s="46"/>
      <c r="E1794" s="46"/>
      <c r="F1794" s="2"/>
      <c r="G1794" s="46"/>
      <c r="H1794" s="2"/>
      <c r="I1794" s="2"/>
      <c r="J1794" s="2"/>
    </row>
    <row r="1795" spans="2:10" x14ac:dyDescent="0.2">
      <c r="B1795" s="2"/>
      <c r="C1795" s="46"/>
      <c r="D1795" s="46"/>
      <c r="E1795" s="46"/>
      <c r="F1795" s="2"/>
      <c r="G1795" s="46"/>
      <c r="H1795" s="2"/>
      <c r="I1795" s="2"/>
      <c r="J1795" s="2"/>
    </row>
    <row r="1796" spans="2:10" x14ac:dyDescent="0.2">
      <c r="B1796" s="2"/>
      <c r="C1796" s="46"/>
      <c r="D1796" s="46"/>
      <c r="E1796" s="46"/>
      <c r="F1796" s="2"/>
      <c r="G1796" s="46"/>
      <c r="H1796" s="2"/>
      <c r="I1796" s="2"/>
      <c r="J1796" s="2"/>
    </row>
    <row r="1797" spans="2:10" x14ac:dyDescent="0.2">
      <c r="B1797" s="2"/>
      <c r="C1797" s="46"/>
      <c r="D1797" s="46"/>
      <c r="E1797" s="46"/>
      <c r="F1797" s="2"/>
      <c r="G1797" s="46"/>
      <c r="H1797" s="2"/>
      <c r="I1797" s="2"/>
      <c r="J1797" s="2"/>
    </row>
    <row r="1798" spans="2:10" x14ac:dyDescent="0.2">
      <c r="B1798" s="2"/>
      <c r="C1798" s="46"/>
      <c r="D1798" s="46"/>
      <c r="E1798" s="46"/>
      <c r="F1798" s="2"/>
      <c r="G1798" s="46"/>
      <c r="H1798" s="2"/>
      <c r="I1798" s="2"/>
      <c r="J1798" s="2"/>
    </row>
    <row r="1799" spans="2:10" x14ac:dyDescent="0.2">
      <c r="B1799" s="2"/>
      <c r="C1799" s="46"/>
      <c r="D1799" s="46"/>
      <c r="E1799" s="46"/>
      <c r="F1799" s="2"/>
      <c r="G1799" s="46"/>
      <c r="H1799" s="2"/>
      <c r="I1799" s="2"/>
      <c r="J1799" s="2"/>
    </row>
    <row r="1800" spans="2:10" x14ac:dyDescent="0.2">
      <c r="B1800" s="2"/>
      <c r="C1800" s="46"/>
      <c r="D1800" s="46"/>
      <c r="E1800" s="46"/>
      <c r="F1800" s="2"/>
      <c r="G1800" s="46"/>
      <c r="H1800" s="2"/>
      <c r="I1800" s="2"/>
      <c r="J1800" s="2"/>
    </row>
    <row r="1801" spans="2:10" x14ac:dyDescent="0.2">
      <c r="B1801" s="2"/>
      <c r="C1801" s="46"/>
      <c r="D1801" s="46"/>
      <c r="E1801" s="46"/>
      <c r="F1801" s="2"/>
      <c r="G1801" s="46"/>
      <c r="H1801" s="2"/>
      <c r="I1801" s="2"/>
      <c r="J1801" s="2"/>
    </row>
    <row r="1802" spans="2:10" x14ac:dyDescent="0.2">
      <c r="B1802" s="2"/>
      <c r="C1802" s="46"/>
      <c r="D1802" s="46"/>
      <c r="E1802" s="46"/>
      <c r="F1802" s="2"/>
      <c r="G1802" s="46"/>
      <c r="H1802" s="2"/>
      <c r="I1802" s="2"/>
      <c r="J1802" s="2"/>
    </row>
    <row r="1803" spans="2:10" x14ac:dyDescent="0.2">
      <c r="B1803" s="2"/>
      <c r="C1803" s="46"/>
      <c r="D1803" s="46"/>
      <c r="E1803" s="46"/>
      <c r="F1803" s="2"/>
      <c r="G1803" s="46"/>
      <c r="H1803" s="2"/>
      <c r="I1803" s="2"/>
      <c r="J1803" s="2"/>
    </row>
    <row r="1804" spans="2:10" x14ac:dyDescent="0.2">
      <c r="B1804" s="2"/>
      <c r="C1804" s="46"/>
      <c r="D1804" s="46"/>
      <c r="E1804" s="46"/>
      <c r="F1804" s="2"/>
      <c r="G1804" s="46"/>
      <c r="H1804" s="2"/>
      <c r="I1804" s="2"/>
      <c r="J1804" s="2"/>
    </row>
    <row r="1805" spans="2:10" x14ac:dyDescent="0.2">
      <c r="B1805" s="2"/>
      <c r="C1805" s="46"/>
      <c r="D1805" s="46"/>
      <c r="E1805" s="46"/>
      <c r="F1805" s="2"/>
      <c r="G1805" s="46"/>
      <c r="H1805" s="2"/>
      <c r="I1805" s="2"/>
      <c r="J1805" s="2"/>
    </row>
    <row r="1806" spans="2:10" x14ac:dyDescent="0.2">
      <c r="B1806" s="2"/>
      <c r="C1806" s="46"/>
      <c r="D1806" s="46"/>
      <c r="E1806" s="46"/>
      <c r="F1806" s="2"/>
      <c r="G1806" s="46"/>
      <c r="H1806" s="2"/>
      <c r="I1806" s="2"/>
      <c r="J1806" s="2"/>
    </row>
    <row r="1807" spans="2:10" x14ac:dyDescent="0.2">
      <c r="B1807" s="2"/>
      <c r="C1807" s="46"/>
      <c r="D1807" s="46"/>
      <c r="E1807" s="46"/>
      <c r="F1807" s="2"/>
      <c r="G1807" s="46"/>
      <c r="H1807" s="2"/>
      <c r="I1807" s="2"/>
      <c r="J1807" s="2"/>
    </row>
    <row r="1808" spans="2:10" x14ac:dyDescent="0.2">
      <c r="B1808" s="2"/>
      <c r="C1808" s="46"/>
      <c r="D1808" s="46"/>
      <c r="E1808" s="46"/>
      <c r="F1808" s="2"/>
      <c r="G1808" s="46"/>
      <c r="H1808" s="2"/>
      <c r="I1808" s="2"/>
      <c r="J1808" s="2"/>
    </row>
    <row r="1809" spans="2:10" x14ac:dyDescent="0.2">
      <c r="B1809" s="2"/>
      <c r="C1809" s="46"/>
      <c r="D1809" s="46"/>
      <c r="E1809" s="46"/>
      <c r="F1809" s="2"/>
      <c r="G1809" s="46"/>
      <c r="H1809" s="2"/>
      <c r="I1809" s="2"/>
      <c r="J1809" s="2"/>
    </row>
    <row r="1810" spans="2:10" x14ac:dyDescent="0.2">
      <c r="B1810" s="2"/>
      <c r="C1810" s="46"/>
      <c r="D1810" s="46"/>
      <c r="E1810" s="46"/>
      <c r="F1810" s="2"/>
      <c r="G1810" s="46"/>
      <c r="H1810" s="2"/>
      <c r="I1810" s="2"/>
      <c r="J1810" s="2"/>
    </row>
    <row r="1811" spans="2:10" x14ac:dyDescent="0.2">
      <c r="B1811" s="2"/>
      <c r="C1811" s="46"/>
      <c r="D1811" s="46"/>
      <c r="E1811" s="46"/>
      <c r="F1811" s="6"/>
      <c r="G1811" s="46"/>
      <c r="H1811" s="2"/>
      <c r="I1811" s="2"/>
      <c r="J1811" s="2"/>
    </row>
    <row r="1812" spans="2:10" x14ac:dyDescent="0.2">
      <c r="B1812" s="2"/>
      <c r="C1812" s="46"/>
      <c r="D1812" s="46"/>
      <c r="E1812" s="46"/>
      <c r="F1812" s="2"/>
      <c r="G1812" s="46"/>
      <c r="H1812" s="2"/>
      <c r="I1812" s="2"/>
      <c r="J1812" s="2"/>
    </row>
    <row r="1813" spans="2:10" x14ac:dyDescent="0.2">
      <c r="B1813" s="2"/>
      <c r="C1813" s="46"/>
      <c r="D1813" s="46"/>
      <c r="E1813" s="46"/>
      <c r="F1813" s="2"/>
      <c r="G1813" s="46"/>
      <c r="H1813" s="2"/>
      <c r="I1813" s="2"/>
      <c r="J1813" s="2"/>
    </row>
    <row r="1814" spans="2:10" x14ac:dyDescent="0.2">
      <c r="B1814" s="2"/>
      <c r="C1814" s="46"/>
      <c r="D1814" s="46"/>
      <c r="E1814" s="46"/>
      <c r="F1814" s="6"/>
      <c r="G1814" s="46"/>
      <c r="H1814" s="2"/>
      <c r="I1814" s="2"/>
      <c r="J1814" s="2"/>
    </row>
    <row r="1815" spans="2:10" x14ac:dyDescent="0.2">
      <c r="B1815" s="2"/>
      <c r="C1815" s="46"/>
      <c r="D1815" s="46"/>
      <c r="E1815" s="46"/>
      <c r="F1815" s="6"/>
      <c r="G1815" s="46"/>
      <c r="H1815" s="2"/>
      <c r="I1815" s="2"/>
      <c r="J1815" s="2"/>
    </row>
    <row r="1816" spans="2:10" x14ac:dyDescent="0.2">
      <c r="B1816" s="2"/>
      <c r="C1816" s="46"/>
      <c r="D1816" s="46"/>
      <c r="E1816" s="46"/>
      <c r="F1816" s="6"/>
      <c r="G1816" s="46"/>
      <c r="H1816" s="2"/>
      <c r="I1816" s="2"/>
      <c r="J1816" s="2"/>
    </row>
    <row r="1817" spans="2:10" x14ac:dyDescent="0.2">
      <c r="B1817" s="2"/>
      <c r="C1817" s="46"/>
      <c r="D1817" s="46"/>
      <c r="E1817" s="46"/>
      <c r="F1817" s="2"/>
      <c r="G1817" s="46"/>
      <c r="H1817" s="2"/>
      <c r="I1817" s="2"/>
      <c r="J1817" s="2"/>
    </row>
    <row r="1818" spans="2:10" x14ac:dyDescent="0.2">
      <c r="B1818" s="2"/>
      <c r="C1818" s="46"/>
      <c r="D1818" s="46"/>
      <c r="E1818" s="46"/>
      <c r="F1818" s="2"/>
      <c r="G1818" s="46"/>
      <c r="H1818" s="2"/>
      <c r="I1818" s="2"/>
      <c r="J1818" s="2"/>
    </row>
    <row r="1819" spans="2:10" x14ac:dyDescent="0.2">
      <c r="B1819" s="2"/>
      <c r="C1819" s="46"/>
      <c r="D1819" s="46"/>
      <c r="E1819" s="46"/>
      <c r="F1819" s="2"/>
      <c r="G1819" s="46"/>
      <c r="H1819" s="2"/>
      <c r="I1819" s="2"/>
      <c r="J1819" s="2"/>
    </row>
    <row r="1820" spans="2:10" x14ac:dyDescent="0.2">
      <c r="B1820" s="2"/>
      <c r="C1820" s="46"/>
      <c r="D1820" s="46"/>
      <c r="E1820" s="46"/>
      <c r="F1820" s="2"/>
      <c r="G1820" s="46"/>
      <c r="H1820" s="2"/>
      <c r="I1820" s="2"/>
      <c r="J1820" s="2"/>
    </row>
    <row r="1821" spans="2:10" x14ac:dyDescent="0.2">
      <c r="B1821" s="2"/>
      <c r="C1821" s="46"/>
      <c r="D1821" s="46"/>
      <c r="E1821" s="46"/>
      <c r="F1821" s="2"/>
      <c r="G1821" s="46"/>
      <c r="H1821" s="2"/>
      <c r="I1821" s="2"/>
      <c r="J1821" s="2"/>
    </row>
    <row r="1822" spans="2:10" x14ac:dyDescent="0.2">
      <c r="B1822" s="2"/>
      <c r="C1822" s="46"/>
      <c r="D1822" s="46"/>
      <c r="E1822" s="46"/>
      <c r="F1822" s="2"/>
      <c r="G1822" s="46"/>
      <c r="H1822" s="2"/>
      <c r="I1822" s="2"/>
      <c r="J1822" s="2"/>
    </row>
    <row r="1823" spans="2:10" x14ac:dyDescent="0.2">
      <c r="B1823" s="2"/>
      <c r="C1823" s="46"/>
      <c r="D1823" s="46"/>
      <c r="E1823" s="46"/>
      <c r="F1823" s="2"/>
      <c r="G1823" s="46"/>
      <c r="H1823" s="2"/>
      <c r="I1823" s="2"/>
      <c r="J1823" s="2"/>
    </row>
    <row r="1824" spans="2:10" x14ac:dyDescent="0.2">
      <c r="B1824" s="2"/>
      <c r="C1824" s="46"/>
      <c r="D1824" s="46"/>
      <c r="E1824" s="46"/>
      <c r="F1824" s="2"/>
      <c r="G1824" s="46"/>
      <c r="H1824" s="2"/>
      <c r="I1824" s="2"/>
      <c r="J1824" s="2"/>
    </row>
    <row r="1825" spans="2:10" x14ac:dyDescent="0.2">
      <c r="B1825" s="2"/>
      <c r="C1825" s="46"/>
      <c r="D1825" s="46"/>
      <c r="E1825" s="46"/>
      <c r="F1825" s="2"/>
      <c r="G1825" s="46"/>
      <c r="H1825" s="2"/>
      <c r="I1825" s="2"/>
      <c r="J1825" s="2"/>
    </row>
    <row r="1826" spans="2:10" x14ac:dyDescent="0.2">
      <c r="B1826" s="2"/>
      <c r="C1826" s="46"/>
      <c r="D1826" s="46"/>
      <c r="E1826" s="46"/>
      <c r="F1826" s="6"/>
      <c r="G1826" s="46"/>
      <c r="H1826" s="2"/>
      <c r="I1826" s="2"/>
      <c r="J1826" s="2"/>
    </row>
    <row r="1827" spans="2:10" x14ac:dyDescent="0.2">
      <c r="B1827" s="2"/>
      <c r="C1827" s="46"/>
      <c r="D1827" s="46"/>
      <c r="E1827" s="46"/>
      <c r="F1827" s="2"/>
      <c r="G1827" s="46"/>
      <c r="H1827" s="2"/>
      <c r="I1827" s="2"/>
      <c r="J1827" s="2"/>
    </row>
    <row r="1828" spans="2:10" x14ac:dyDescent="0.2">
      <c r="B1828" s="2"/>
      <c r="C1828" s="46"/>
      <c r="D1828" s="46"/>
      <c r="E1828" s="46"/>
      <c r="F1828" s="2"/>
      <c r="G1828" s="46"/>
      <c r="H1828" s="2"/>
      <c r="I1828" s="2"/>
      <c r="J1828" s="2"/>
    </row>
    <row r="1829" spans="2:10" x14ac:dyDescent="0.2">
      <c r="B1829" s="2"/>
      <c r="C1829" s="46"/>
      <c r="D1829" s="46"/>
      <c r="E1829" s="46"/>
      <c r="F1829" s="2"/>
      <c r="G1829" s="46"/>
      <c r="H1829" s="2"/>
      <c r="I1829" s="2"/>
      <c r="J1829" s="2"/>
    </row>
    <row r="1830" spans="2:10" x14ac:dyDescent="0.2">
      <c r="B1830" s="2"/>
      <c r="C1830" s="46"/>
      <c r="D1830" s="46"/>
      <c r="E1830" s="46"/>
      <c r="F1830" s="2"/>
      <c r="G1830" s="46"/>
      <c r="H1830" s="2"/>
      <c r="I1830" s="2"/>
      <c r="J1830" s="2"/>
    </row>
    <row r="1831" spans="2:10" x14ac:dyDescent="0.2">
      <c r="B1831" s="2"/>
      <c r="C1831" s="46"/>
      <c r="D1831" s="46"/>
      <c r="E1831" s="46"/>
      <c r="F1831" s="2"/>
      <c r="G1831" s="46"/>
      <c r="H1831" s="2"/>
      <c r="I1831" s="2"/>
      <c r="J1831" s="2"/>
    </row>
    <row r="1832" spans="2:10" x14ac:dyDescent="0.2">
      <c r="B1832" s="2"/>
      <c r="C1832" s="46"/>
      <c r="D1832" s="46"/>
      <c r="E1832" s="46"/>
      <c r="F1832" s="2"/>
      <c r="G1832" s="46"/>
      <c r="H1832" s="2"/>
      <c r="I1832" s="2"/>
      <c r="J1832" s="2"/>
    </row>
    <row r="1833" spans="2:10" x14ac:dyDescent="0.2">
      <c r="B1833" s="2"/>
      <c r="C1833" s="46"/>
      <c r="D1833" s="46"/>
      <c r="E1833" s="46"/>
      <c r="F1833" s="2"/>
      <c r="G1833" s="46"/>
      <c r="H1833" s="2"/>
      <c r="I1833" s="2"/>
      <c r="J1833" s="2"/>
    </row>
    <row r="1834" spans="2:10" x14ac:dyDescent="0.2">
      <c r="B1834" s="2"/>
      <c r="C1834" s="46"/>
      <c r="D1834" s="46"/>
      <c r="E1834" s="46"/>
      <c r="F1834" s="2"/>
      <c r="G1834" s="46"/>
      <c r="H1834" s="2"/>
      <c r="I1834" s="2"/>
      <c r="J1834" s="2"/>
    </row>
    <row r="1835" spans="2:10" x14ac:dyDescent="0.2">
      <c r="B1835" s="2"/>
      <c r="C1835" s="46"/>
      <c r="D1835" s="46"/>
      <c r="E1835" s="46"/>
      <c r="F1835" s="2"/>
      <c r="G1835" s="46"/>
      <c r="H1835" s="2"/>
      <c r="I1835" s="2"/>
      <c r="J1835" s="2"/>
    </row>
    <row r="1836" spans="2:10" x14ac:dyDescent="0.2">
      <c r="B1836" s="2"/>
      <c r="C1836" s="46"/>
      <c r="D1836" s="46"/>
      <c r="E1836" s="46"/>
      <c r="F1836" s="2"/>
      <c r="G1836" s="46"/>
      <c r="H1836" s="2"/>
      <c r="I1836" s="2"/>
      <c r="J1836" s="2"/>
    </row>
    <row r="1837" spans="2:10" x14ac:dyDescent="0.2">
      <c r="B1837" s="2"/>
      <c r="C1837" s="46"/>
      <c r="D1837" s="46"/>
      <c r="E1837" s="46"/>
      <c r="F1837" s="2"/>
      <c r="G1837" s="46"/>
      <c r="H1837" s="2"/>
      <c r="I1837" s="2"/>
      <c r="J1837" s="2"/>
    </row>
    <row r="1838" spans="2:10" x14ac:dyDescent="0.2">
      <c r="B1838" s="2"/>
      <c r="C1838" s="46"/>
      <c r="D1838" s="46"/>
      <c r="E1838" s="46"/>
      <c r="F1838" s="2"/>
      <c r="G1838" s="46"/>
      <c r="H1838" s="2"/>
      <c r="I1838" s="2"/>
      <c r="J1838" s="2"/>
    </row>
    <row r="1839" spans="2:10" x14ac:dyDescent="0.2">
      <c r="B1839" s="2"/>
      <c r="C1839" s="46"/>
      <c r="D1839" s="46"/>
      <c r="E1839" s="46"/>
      <c r="F1839" s="2"/>
      <c r="G1839" s="46"/>
      <c r="H1839" s="2"/>
      <c r="I1839" s="2"/>
      <c r="J1839" s="2"/>
    </row>
    <row r="1840" spans="2:10" x14ac:dyDescent="0.2">
      <c r="B1840" s="2"/>
      <c r="C1840" s="46"/>
      <c r="D1840" s="46"/>
      <c r="E1840" s="46"/>
      <c r="F1840" s="2"/>
      <c r="G1840" s="46"/>
      <c r="H1840" s="2"/>
      <c r="I1840" s="2"/>
      <c r="J1840" s="2"/>
    </row>
    <row r="1841" spans="2:10" x14ac:dyDescent="0.2">
      <c r="B1841" s="2"/>
      <c r="C1841" s="46"/>
      <c r="D1841" s="46"/>
      <c r="E1841" s="46"/>
      <c r="F1841" s="2"/>
      <c r="G1841" s="46"/>
      <c r="H1841" s="2"/>
      <c r="I1841" s="2"/>
      <c r="J1841" s="2"/>
    </row>
    <row r="1842" spans="2:10" x14ac:dyDescent="0.2">
      <c r="B1842" s="2"/>
      <c r="C1842" s="46"/>
      <c r="D1842" s="46"/>
      <c r="E1842" s="46"/>
      <c r="F1842" s="2"/>
      <c r="G1842" s="46"/>
      <c r="H1842" s="2"/>
      <c r="I1842" s="2"/>
      <c r="J1842" s="2"/>
    </row>
    <row r="1843" spans="2:10" x14ac:dyDescent="0.2">
      <c r="B1843" s="2"/>
      <c r="C1843" s="46"/>
      <c r="D1843" s="46"/>
      <c r="E1843" s="46"/>
      <c r="F1843" s="2"/>
      <c r="G1843" s="46"/>
      <c r="H1843" s="2"/>
      <c r="I1843" s="2"/>
      <c r="J1843" s="2"/>
    </row>
    <row r="1844" spans="2:10" x14ac:dyDescent="0.2">
      <c r="B1844" s="2"/>
      <c r="C1844" s="46"/>
      <c r="D1844" s="46"/>
      <c r="E1844" s="46"/>
      <c r="F1844" s="2"/>
      <c r="G1844" s="46"/>
      <c r="H1844" s="2"/>
      <c r="I1844" s="2"/>
      <c r="J1844" s="2"/>
    </row>
    <row r="1845" spans="2:10" x14ac:dyDescent="0.2">
      <c r="B1845" s="2"/>
      <c r="C1845" s="46"/>
      <c r="D1845" s="46"/>
      <c r="E1845" s="46"/>
      <c r="F1845" s="6"/>
      <c r="G1845" s="46"/>
      <c r="H1845" s="2"/>
      <c r="I1845" s="2"/>
      <c r="J1845" s="2"/>
    </row>
    <row r="1846" spans="2:10" x14ac:dyDescent="0.2">
      <c r="B1846" s="2"/>
      <c r="C1846" s="46"/>
      <c r="D1846" s="46"/>
      <c r="E1846" s="46"/>
      <c r="F1846" s="6"/>
      <c r="G1846" s="46"/>
      <c r="H1846" s="2"/>
      <c r="I1846" s="2"/>
      <c r="J1846" s="2"/>
    </row>
    <row r="1847" spans="2:10" x14ac:dyDescent="0.2">
      <c r="B1847" s="2"/>
      <c r="C1847" s="46"/>
      <c r="D1847" s="46"/>
      <c r="E1847" s="46"/>
      <c r="F1847" s="2"/>
      <c r="G1847" s="46"/>
      <c r="H1847" s="2"/>
      <c r="I1847" s="2"/>
      <c r="J1847" s="2"/>
    </row>
    <row r="1848" spans="2:10" x14ac:dyDescent="0.2">
      <c r="B1848" s="2"/>
      <c r="C1848" s="46"/>
      <c r="D1848" s="46"/>
      <c r="E1848" s="46"/>
      <c r="F1848" s="2"/>
      <c r="G1848" s="46"/>
      <c r="H1848" s="2"/>
      <c r="I1848" s="2"/>
      <c r="J1848" s="2"/>
    </row>
    <row r="1849" spans="2:10" x14ac:dyDescent="0.2">
      <c r="B1849" s="2"/>
      <c r="C1849" s="46"/>
      <c r="D1849" s="46"/>
      <c r="E1849" s="46"/>
      <c r="F1849" s="2"/>
      <c r="G1849" s="46"/>
      <c r="H1849" s="2"/>
      <c r="I1849" s="2"/>
      <c r="J1849" s="2"/>
    </row>
    <row r="1850" spans="2:10" x14ac:dyDescent="0.2">
      <c r="B1850" s="2"/>
      <c r="C1850" s="46"/>
      <c r="D1850" s="46"/>
      <c r="E1850" s="46"/>
      <c r="F1850" s="2"/>
      <c r="G1850" s="46"/>
      <c r="H1850" s="2"/>
      <c r="I1850" s="2"/>
      <c r="J1850" s="2"/>
    </row>
    <row r="1851" spans="2:10" x14ac:dyDescent="0.2">
      <c r="B1851" s="2"/>
      <c r="C1851" s="46"/>
      <c r="D1851" s="46"/>
      <c r="E1851" s="46"/>
      <c r="F1851" s="2"/>
      <c r="G1851" s="46"/>
      <c r="H1851" s="2"/>
      <c r="I1851" s="2"/>
      <c r="J1851" s="2"/>
    </row>
    <row r="1852" spans="2:10" x14ac:dyDescent="0.2">
      <c r="B1852" s="2"/>
      <c r="C1852" s="46"/>
      <c r="D1852" s="46"/>
      <c r="E1852" s="46"/>
      <c r="F1852" s="6"/>
      <c r="G1852" s="46"/>
      <c r="H1852" s="2"/>
      <c r="I1852" s="2"/>
      <c r="J1852" s="2"/>
    </row>
    <row r="1853" spans="2:10" x14ac:dyDescent="0.2">
      <c r="B1853" s="2"/>
      <c r="C1853" s="46"/>
      <c r="D1853" s="46"/>
      <c r="E1853" s="46"/>
      <c r="F1853" s="2"/>
      <c r="G1853" s="46"/>
      <c r="H1853" s="2"/>
      <c r="I1853" s="2"/>
      <c r="J1853" s="2"/>
    </row>
    <row r="1854" spans="2:10" x14ac:dyDescent="0.2">
      <c r="B1854" s="2"/>
      <c r="C1854" s="46"/>
      <c r="D1854" s="46"/>
      <c r="E1854" s="46"/>
      <c r="F1854" s="2"/>
      <c r="G1854" s="46"/>
      <c r="H1854" s="2"/>
      <c r="I1854" s="2"/>
      <c r="J1854" s="2"/>
    </row>
    <row r="1855" spans="2:10" x14ac:dyDescent="0.2">
      <c r="B1855" s="2"/>
      <c r="C1855" s="46"/>
      <c r="D1855" s="46"/>
      <c r="E1855" s="46"/>
      <c r="F1855" s="2"/>
      <c r="G1855" s="46"/>
      <c r="H1855" s="2"/>
      <c r="I1855" s="2"/>
      <c r="J1855" s="2"/>
    </row>
    <row r="1856" spans="2:10" x14ac:dyDescent="0.2">
      <c r="B1856" s="2"/>
      <c r="C1856" s="46"/>
      <c r="D1856" s="46"/>
      <c r="E1856" s="46"/>
      <c r="F1856" s="2"/>
      <c r="G1856" s="46"/>
      <c r="H1856" s="2"/>
      <c r="I1856" s="2"/>
      <c r="J1856" s="2"/>
    </row>
    <row r="1857" spans="2:10" x14ac:dyDescent="0.2">
      <c r="B1857" s="2"/>
      <c r="C1857" s="46"/>
      <c r="D1857" s="46"/>
      <c r="E1857" s="46"/>
      <c r="F1857" s="6"/>
      <c r="G1857" s="46"/>
      <c r="H1857" s="2"/>
      <c r="I1857" s="2"/>
      <c r="J1857" s="2"/>
    </row>
    <row r="1858" spans="2:10" x14ac:dyDescent="0.2">
      <c r="B1858" s="2"/>
      <c r="C1858" s="46"/>
      <c r="D1858" s="46"/>
      <c r="E1858" s="46"/>
      <c r="F1858" s="2"/>
      <c r="G1858" s="46"/>
      <c r="H1858" s="2"/>
      <c r="I1858" s="2"/>
      <c r="J1858" s="2"/>
    </row>
    <row r="1859" spans="2:10" x14ac:dyDescent="0.2">
      <c r="B1859" s="2"/>
      <c r="C1859" s="46"/>
      <c r="D1859" s="46"/>
      <c r="E1859" s="46"/>
      <c r="F1859" s="6"/>
      <c r="G1859" s="46"/>
      <c r="H1859" s="2"/>
      <c r="I1859" s="2"/>
      <c r="J1859" s="2"/>
    </row>
    <row r="1860" spans="2:10" x14ac:dyDescent="0.2">
      <c r="B1860" s="2"/>
      <c r="C1860" s="46"/>
      <c r="D1860" s="46"/>
      <c r="E1860" s="46"/>
      <c r="F1860" s="2"/>
      <c r="G1860" s="46"/>
      <c r="H1860" s="2"/>
      <c r="I1860" s="2"/>
      <c r="J1860" s="2"/>
    </row>
    <row r="1861" spans="2:10" x14ac:dyDescent="0.2">
      <c r="B1861" s="2"/>
      <c r="C1861" s="46"/>
      <c r="D1861" s="46"/>
      <c r="E1861" s="46"/>
      <c r="F1861" s="2"/>
      <c r="G1861" s="46"/>
      <c r="H1861" s="2"/>
      <c r="I1861" s="2"/>
      <c r="J1861" s="2"/>
    </row>
    <row r="1862" spans="2:10" x14ac:dyDescent="0.2">
      <c r="B1862" s="2"/>
      <c r="C1862" s="46"/>
      <c r="D1862" s="46"/>
      <c r="E1862" s="46"/>
      <c r="F1862" s="2"/>
      <c r="G1862" s="46"/>
      <c r="H1862" s="2"/>
      <c r="I1862" s="2"/>
      <c r="J1862" s="2"/>
    </row>
    <row r="1863" spans="2:10" x14ac:dyDescent="0.2">
      <c r="B1863" s="2"/>
      <c r="C1863" s="46"/>
      <c r="D1863" s="46"/>
      <c r="E1863" s="46"/>
      <c r="F1863" s="2"/>
      <c r="G1863" s="46"/>
      <c r="H1863" s="2"/>
      <c r="I1863" s="2"/>
      <c r="J1863" s="2"/>
    </row>
    <row r="1864" spans="2:10" x14ac:dyDescent="0.2">
      <c r="B1864" s="2"/>
      <c r="C1864" s="46"/>
      <c r="D1864" s="46"/>
      <c r="E1864" s="46"/>
      <c r="F1864" s="2"/>
      <c r="G1864" s="46"/>
      <c r="H1864" s="2"/>
      <c r="I1864" s="2"/>
      <c r="J1864" s="2"/>
    </row>
    <row r="1865" spans="2:10" x14ac:dyDescent="0.2">
      <c r="B1865" s="2"/>
      <c r="C1865" s="46"/>
      <c r="D1865" s="46"/>
      <c r="E1865" s="46"/>
      <c r="F1865" s="2"/>
      <c r="G1865" s="46"/>
      <c r="H1865" s="2"/>
      <c r="I1865" s="2"/>
      <c r="J1865" s="2"/>
    </row>
    <row r="1866" spans="2:10" x14ac:dyDescent="0.2">
      <c r="B1866" s="2"/>
      <c r="C1866" s="46"/>
      <c r="D1866" s="46"/>
      <c r="E1866" s="46"/>
      <c r="F1866" s="2"/>
      <c r="G1866" s="46"/>
      <c r="H1866" s="2"/>
      <c r="I1866" s="2"/>
      <c r="J1866" s="2"/>
    </row>
    <row r="1867" spans="2:10" x14ac:dyDescent="0.2">
      <c r="B1867" s="2"/>
      <c r="C1867" s="46"/>
      <c r="D1867" s="46"/>
      <c r="E1867" s="46"/>
      <c r="F1867" s="6"/>
      <c r="G1867" s="46"/>
      <c r="H1867" s="2"/>
      <c r="I1867" s="2"/>
      <c r="J1867" s="2"/>
    </row>
    <row r="1868" spans="2:10" x14ac:dyDescent="0.2">
      <c r="B1868" s="2"/>
      <c r="C1868" s="46"/>
      <c r="D1868" s="46"/>
      <c r="E1868" s="46"/>
      <c r="F1868" s="2"/>
      <c r="G1868" s="46"/>
      <c r="H1868" s="2"/>
      <c r="I1868" s="2"/>
      <c r="J1868" s="2"/>
    </row>
    <row r="1869" spans="2:10" x14ac:dyDescent="0.2">
      <c r="B1869" s="2"/>
      <c r="C1869" s="46"/>
      <c r="D1869" s="46"/>
      <c r="E1869" s="46"/>
      <c r="F1869" s="2"/>
      <c r="G1869" s="46"/>
      <c r="H1869" s="2"/>
      <c r="I1869" s="2"/>
      <c r="J1869" s="2"/>
    </row>
    <row r="1870" spans="2:10" x14ac:dyDescent="0.2">
      <c r="B1870" s="2"/>
      <c r="C1870" s="46"/>
      <c r="D1870" s="46"/>
      <c r="E1870" s="46"/>
      <c r="F1870" s="2"/>
      <c r="G1870" s="46"/>
      <c r="H1870" s="2"/>
      <c r="I1870" s="2"/>
      <c r="J1870" s="2"/>
    </row>
    <row r="1871" spans="2:10" x14ac:dyDescent="0.2">
      <c r="B1871" s="2"/>
      <c r="C1871" s="46"/>
      <c r="D1871" s="46"/>
      <c r="E1871" s="46"/>
      <c r="F1871" s="2"/>
      <c r="G1871" s="46"/>
      <c r="H1871" s="2"/>
      <c r="I1871" s="2"/>
      <c r="J1871" s="2"/>
    </row>
    <row r="1872" spans="2:10" x14ac:dyDescent="0.2">
      <c r="B1872" s="2"/>
      <c r="C1872" s="46"/>
      <c r="D1872" s="46"/>
      <c r="E1872" s="46"/>
      <c r="F1872" s="2"/>
      <c r="G1872" s="46"/>
      <c r="H1872" s="2"/>
      <c r="I1872" s="2"/>
      <c r="J1872" s="2"/>
    </row>
    <row r="1873" spans="2:10" x14ac:dyDescent="0.2">
      <c r="B1873" s="2"/>
      <c r="C1873" s="46"/>
      <c r="D1873" s="46"/>
      <c r="E1873" s="46"/>
      <c r="F1873" s="6"/>
      <c r="G1873" s="46"/>
      <c r="H1873" s="2"/>
      <c r="I1873" s="2"/>
      <c r="J1873" s="2"/>
    </row>
    <row r="1874" spans="2:10" x14ac:dyDescent="0.2">
      <c r="B1874" s="2"/>
      <c r="C1874" s="46"/>
      <c r="D1874" s="46"/>
      <c r="E1874" s="46"/>
      <c r="F1874" s="2"/>
      <c r="G1874" s="46"/>
      <c r="H1874" s="2"/>
      <c r="I1874" s="2"/>
      <c r="J1874" s="2"/>
    </row>
    <row r="1875" spans="2:10" x14ac:dyDescent="0.2">
      <c r="B1875" s="2"/>
      <c r="C1875" s="46"/>
      <c r="D1875" s="46"/>
      <c r="E1875" s="46"/>
      <c r="F1875" s="2"/>
      <c r="G1875" s="46"/>
      <c r="H1875" s="2"/>
      <c r="I1875" s="2"/>
      <c r="J1875" s="2"/>
    </row>
    <row r="1876" spans="2:10" x14ac:dyDescent="0.2">
      <c r="B1876" s="2"/>
      <c r="C1876" s="46"/>
      <c r="D1876" s="46"/>
      <c r="E1876" s="46"/>
      <c r="F1876" s="2"/>
      <c r="G1876" s="46"/>
      <c r="H1876" s="2"/>
      <c r="I1876" s="2"/>
      <c r="J1876" s="2"/>
    </row>
    <row r="1877" spans="2:10" x14ac:dyDescent="0.2">
      <c r="B1877" s="2"/>
      <c r="C1877" s="46"/>
      <c r="D1877" s="46"/>
      <c r="E1877" s="46"/>
      <c r="F1877" s="2"/>
      <c r="G1877" s="46"/>
      <c r="H1877" s="2"/>
      <c r="I1877" s="2"/>
      <c r="J1877" s="2"/>
    </row>
    <row r="1878" spans="2:10" x14ac:dyDescent="0.2">
      <c r="B1878" s="2"/>
      <c r="C1878" s="46"/>
      <c r="D1878" s="46"/>
      <c r="E1878" s="46"/>
      <c r="F1878" s="2"/>
      <c r="G1878" s="46"/>
      <c r="H1878" s="2"/>
      <c r="I1878" s="2"/>
      <c r="J1878" s="2"/>
    </row>
    <row r="1879" spans="2:10" x14ac:dyDescent="0.2">
      <c r="B1879" s="2"/>
      <c r="C1879" s="46"/>
      <c r="D1879" s="46"/>
      <c r="E1879" s="46"/>
      <c r="F1879" s="2"/>
      <c r="G1879" s="46"/>
      <c r="H1879" s="2"/>
      <c r="I1879" s="2"/>
      <c r="J1879" s="2"/>
    </row>
    <row r="1880" spans="2:10" x14ac:dyDescent="0.2">
      <c r="B1880" s="2"/>
      <c r="C1880" s="46"/>
      <c r="D1880" s="46"/>
      <c r="E1880" s="46"/>
      <c r="F1880" s="2"/>
      <c r="G1880" s="46"/>
      <c r="H1880" s="2"/>
      <c r="I1880" s="2"/>
      <c r="J1880" s="2"/>
    </row>
    <row r="1881" spans="2:10" x14ac:dyDescent="0.2">
      <c r="B1881" s="2"/>
      <c r="C1881" s="46"/>
      <c r="D1881" s="46"/>
      <c r="E1881" s="46"/>
      <c r="F1881" s="6"/>
      <c r="G1881" s="46"/>
      <c r="H1881" s="2"/>
      <c r="I1881" s="2"/>
      <c r="J1881" s="2"/>
    </row>
    <row r="1882" spans="2:10" x14ac:dyDescent="0.2">
      <c r="B1882" s="2"/>
      <c r="C1882" s="46"/>
      <c r="D1882" s="46"/>
      <c r="E1882" s="46"/>
      <c r="F1882" s="2"/>
      <c r="G1882" s="46"/>
      <c r="H1882" s="2"/>
      <c r="I1882" s="2"/>
      <c r="J1882" s="2"/>
    </row>
    <row r="1883" spans="2:10" x14ac:dyDescent="0.2">
      <c r="B1883" s="2"/>
      <c r="C1883" s="46"/>
      <c r="D1883" s="46"/>
      <c r="E1883" s="46"/>
      <c r="F1883" s="6"/>
      <c r="G1883" s="46"/>
      <c r="H1883" s="2"/>
      <c r="I1883" s="2"/>
      <c r="J1883" s="2"/>
    </row>
    <row r="1884" spans="2:10" x14ac:dyDescent="0.2">
      <c r="B1884" s="2"/>
      <c r="C1884" s="46"/>
      <c r="D1884" s="46"/>
      <c r="E1884" s="46"/>
      <c r="F1884" s="2"/>
      <c r="G1884" s="46"/>
      <c r="H1884" s="2"/>
      <c r="I1884" s="2"/>
      <c r="J1884" s="2"/>
    </row>
    <row r="1885" spans="2:10" x14ac:dyDescent="0.2">
      <c r="B1885" s="2"/>
      <c r="C1885" s="46"/>
      <c r="D1885" s="46"/>
      <c r="E1885" s="46"/>
      <c r="F1885" s="6"/>
      <c r="G1885" s="46"/>
      <c r="H1885" s="2"/>
      <c r="I1885" s="2"/>
      <c r="J1885" s="2"/>
    </row>
    <row r="1886" spans="2:10" x14ac:dyDescent="0.2">
      <c r="B1886" s="2"/>
      <c r="C1886" s="46"/>
      <c r="D1886" s="46"/>
      <c r="E1886" s="46"/>
      <c r="F1886" s="2"/>
      <c r="G1886" s="46"/>
      <c r="H1886" s="2"/>
      <c r="I1886" s="2"/>
      <c r="J1886" s="2"/>
    </row>
    <row r="1887" spans="2:10" x14ac:dyDescent="0.2">
      <c r="B1887" s="2"/>
      <c r="C1887" s="46"/>
      <c r="D1887" s="46"/>
      <c r="E1887" s="46"/>
      <c r="F1887" s="2"/>
      <c r="G1887" s="46"/>
      <c r="H1887" s="2"/>
      <c r="I1887" s="2"/>
      <c r="J1887" s="2"/>
    </row>
    <row r="1888" spans="2:10" x14ac:dyDescent="0.2">
      <c r="B1888" s="2"/>
      <c r="C1888" s="46"/>
      <c r="D1888" s="46"/>
      <c r="E1888" s="46"/>
      <c r="F1888" s="2"/>
      <c r="G1888" s="46"/>
      <c r="H1888" s="2"/>
      <c r="I1888" s="2"/>
      <c r="J1888" s="2"/>
    </row>
    <row r="1889" spans="2:10" x14ac:dyDescent="0.2">
      <c r="B1889" s="2"/>
      <c r="C1889" s="46"/>
      <c r="D1889" s="46"/>
      <c r="E1889" s="46"/>
      <c r="F1889" s="2"/>
      <c r="G1889" s="46"/>
      <c r="H1889" s="2"/>
      <c r="I1889" s="2"/>
      <c r="J1889" s="2"/>
    </row>
    <row r="1890" spans="2:10" x14ac:dyDescent="0.2">
      <c r="B1890" s="2"/>
      <c r="C1890" s="46"/>
      <c r="D1890" s="46"/>
      <c r="E1890" s="46"/>
      <c r="F1890" s="6"/>
      <c r="G1890" s="46"/>
      <c r="H1890" s="2"/>
      <c r="I1890" s="2"/>
      <c r="J1890" s="2"/>
    </row>
    <row r="1891" spans="2:10" x14ac:dyDescent="0.2">
      <c r="B1891" s="2"/>
      <c r="C1891" s="46"/>
      <c r="D1891" s="46"/>
      <c r="E1891" s="46"/>
      <c r="F1891" s="2"/>
      <c r="G1891" s="46"/>
      <c r="H1891" s="2"/>
      <c r="I1891" s="2"/>
      <c r="J1891" s="2"/>
    </row>
    <row r="1892" spans="2:10" x14ac:dyDescent="0.2">
      <c r="B1892" s="2"/>
      <c r="C1892" s="46"/>
      <c r="D1892" s="46"/>
      <c r="E1892" s="46"/>
      <c r="F1892" s="2"/>
      <c r="G1892" s="46"/>
      <c r="H1892" s="2"/>
      <c r="I1892" s="2"/>
      <c r="J1892" s="2"/>
    </row>
    <row r="1893" spans="2:10" x14ac:dyDescent="0.2">
      <c r="B1893" s="2"/>
      <c r="C1893" s="46"/>
      <c r="D1893" s="46"/>
      <c r="E1893" s="46"/>
      <c r="F1893" s="2"/>
      <c r="G1893" s="46"/>
      <c r="H1893" s="2"/>
      <c r="I1893" s="2"/>
      <c r="J1893" s="2"/>
    </row>
    <row r="1894" spans="2:10" x14ac:dyDescent="0.2">
      <c r="B1894" s="2"/>
      <c r="C1894" s="46"/>
      <c r="D1894" s="46"/>
      <c r="E1894" s="46"/>
      <c r="F1894" s="6"/>
      <c r="G1894" s="46"/>
      <c r="H1894" s="2"/>
      <c r="I1894" s="2"/>
      <c r="J1894" s="2"/>
    </row>
    <row r="1895" spans="2:10" x14ac:dyDescent="0.2">
      <c r="B1895" s="2"/>
      <c r="C1895" s="46"/>
      <c r="D1895" s="46"/>
      <c r="E1895" s="46"/>
      <c r="F1895" s="2"/>
      <c r="G1895" s="46"/>
      <c r="H1895" s="2"/>
      <c r="I1895" s="2"/>
      <c r="J1895" s="2"/>
    </row>
    <row r="1896" spans="2:10" x14ac:dyDescent="0.2">
      <c r="B1896" s="2"/>
      <c r="C1896" s="46"/>
      <c r="D1896" s="46"/>
      <c r="E1896" s="46"/>
      <c r="F1896" s="2"/>
      <c r="G1896" s="46"/>
      <c r="H1896" s="2"/>
      <c r="I1896" s="2"/>
      <c r="J1896" s="2"/>
    </row>
    <row r="1897" spans="2:10" x14ac:dyDescent="0.2">
      <c r="B1897" s="2"/>
      <c r="C1897" s="46"/>
      <c r="D1897" s="46"/>
      <c r="E1897" s="46"/>
      <c r="F1897" s="2"/>
      <c r="G1897" s="46"/>
      <c r="H1897" s="2"/>
      <c r="I1897" s="2"/>
      <c r="J1897" s="2"/>
    </row>
    <row r="1898" spans="2:10" x14ac:dyDescent="0.2">
      <c r="B1898" s="2"/>
      <c r="C1898" s="46"/>
      <c r="D1898" s="46"/>
      <c r="E1898" s="46"/>
      <c r="F1898" s="2"/>
      <c r="G1898" s="46"/>
      <c r="H1898" s="2"/>
      <c r="I1898" s="2"/>
      <c r="J1898" s="2"/>
    </row>
    <row r="1899" spans="2:10" x14ac:dyDescent="0.2">
      <c r="B1899" s="2"/>
      <c r="C1899" s="46"/>
      <c r="D1899" s="46"/>
      <c r="E1899" s="46"/>
      <c r="F1899" s="6"/>
      <c r="G1899" s="46"/>
      <c r="H1899" s="2"/>
      <c r="I1899" s="2"/>
      <c r="J1899" s="2"/>
    </row>
    <row r="1900" spans="2:10" x14ac:dyDescent="0.2">
      <c r="B1900" s="2"/>
      <c r="C1900" s="46"/>
      <c r="D1900" s="46"/>
      <c r="E1900" s="46"/>
      <c r="F1900" s="2"/>
      <c r="G1900" s="46"/>
      <c r="H1900" s="2"/>
      <c r="I1900" s="2"/>
      <c r="J1900" s="2"/>
    </row>
    <row r="1901" spans="2:10" x14ac:dyDescent="0.2">
      <c r="B1901" s="2"/>
      <c r="C1901" s="46"/>
      <c r="D1901" s="46"/>
      <c r="E1901" s="46"/>
      <c r="F1901" s="2"/>
      <c r="G1901" s="46"/>
      <c r="H1901" s="2"/>
      <c r="I1901" s="2"/>
      <c r="J1901" s="2"/>
    </row>
    <row r="1902" spans="2:10" x14ac:dyDescent="0.2">
      <c r="B1902" s="2"/>
      <c r="C1902" s="46"/>
      <c r="D1902" s="46"/>
      <c r="E1902" s="46"/>
      <c r="F1902" s="2"/>
      <c r="G1902" s="46"/>
      <c r="H1902" s="2"/>
      <c r="I1902" s="2"/>
      <c r="J1902" s="2"/>
    </row>
    <row r="1903" spans="2:10" x14ac:dyDescent="0.2">
      <c r="B1903" s="2"/>
      <c r="C1903" s="46"/>
      <c r="D1903" s="46"/>
      <c r="E1903" s="46"/>
      <c r="F1903" s="6"/>
      <c r="G1903" s="46"/>
      <c r="H1903" s="2"/>
      <c r="I1903" s="2"/>
      <c r="J1903" s="2"/>
    </row>
    <row r="1904" spans="2:10" x14ac:dyDescent="0.2">
      <c r="B1904" s="2"/>
      <c r="C1904" s="46"/>
      <c r="D1904" s="46"/>
      <c r="E1904" s="46"/>
      <c r="F1904" s="6"/>
      <c r="G1904" s="46"/>
      <c r="H1904" s="2"/>
      <c r="I1904" s="2"/>
      <c r="J1904" s="2"/>
    </row>
    <row r="1905" spans="2:10" x14ac:dyDescent="0.2">
      <c r="B1905" s="2"/>
      <c r="C1905" s="46"/>
      <c r="D1905" s="46"/>
      <c r="E1905" s="46"/>
      <c r="F1905" s="2"/>
      <c r="G1905" s="46"/>
      <c r="H1905" s="2"/>
      <c r="I1905" s="2"/>
      <c r="J1905" s="2"/>
    </row>
    <row r="1906" spans="2:10" x14ac:dyDescent="0.2">
      <c r="B1906" s="2"/>
      <c r="C1906" s="46"/>
      <c r="D1906" s="46"/>
      <c r="E1906" s="46"/>
      <c r="F1906" s="6"/>
      <c r="G1906" s="46"/>
      <c r="H1906" s="2"/>
      <c r="I1906" s="2"/>
      <c r="J1906" s="2"/>
    </row>
    <row r="1907" spans="2:10" x14ac:dyDescent="0.2">
      <c r="B1907" s="2"/>
      <c r="C1907" s="46"/>
      <c r="D1907" s="46"/>
      <c r="E1907" s="46"/>
      <c r="F1907" s="2"/>
      <c r="G1907" s="46"/>
      <c r="H1907" s="2"/>
      <c r="I1907" s="2"/>
      <c r="J1907" s="2"/>
    </row>
    <row r="1908" spans="2:10" x14ac:dyDescent="0.2">
      <c r="B1908" s="2"/>
      <c r="C1908" s="46"/>
      <c r="D1908" s="46"/>
      <c r="E1908" s="46"/>
      <c r="F1908" s="2"/>
      <c r="G1908" s="46"/>
      <c r="H1908" s="2"/>
      <c r="I1908" s="2"/>
      <c r="J1908" s="2"/>
    </row>
    <row r="1909" spans="2:10" x14ac:dyDescent="0.2">
      <c r="B1909" s="2"/>
      <c r="C1909" s="46"/>
      <c r="D1909" s="46"/>
      <c r="E1909" s="46"/>
      <c r="F1909" s="6"/>
      <c r="G1909" s="46"/>
      <c r="H1909" s="2"/>
      <c r="I1909" s="2"/>
      <c r="J1909" s="2"/>
    </row>
    <row r="1910" spans="2:10" x14ac:dyDescent="0.2">
      <c r="B1910" s="2"/>
      <c r="C1910" s="46"/>
      <c r="D1910" s="46"/>
      <c r="E1910" s="46"/>
      <c r="F1910" s="2"/>
      <c r="G1910" s="46"/>
      <c r="H1910" s="2"/>
      <c r="I1910" s="2"/>
      <c r="J1910" s="2"/>
    </row>
    <row r="1911" spans="2:10" x14ac:dyDescent="0.2">
      <c r="B1911" s="2"/>
      <c r="C1911" s="46"/>
      <c r="D1911" s="46"/>
      <c r="E1911" s="46"/>
      <c r="F1911" s="2"/>
      <c r="G1911" s="46"/>
      <c r="H1911" s="2"/>
      <c r="I1911" s="2"/>
      <c r="J1911" s="2"/>
    </row>
    <row r="1912" spans="2:10" x14ac:dyDescent="0.2">
      <c r="B1912" s="2"/>
      <c r="C1912" s="46"/>
      <c r="D1912" s="46"/>
      <c r="E1912" s="46"/>
      <c r="F1912" s="2"/>
      <c r="G1912" s="46"/>
      <c r="H1912" s="2"/>
      <c r="I1912" s="2"/>
      <c r="J1912" s="2"/>
    </row>
    <row r="1913" spans="2:10" x14ac:dyDescent="0.2">
      <c r="B1913" s="2"/>
      <c r="C1913" s="46"/>
      <c r="D1913" s="46"/>
      <c r="E1913" s="46"/>
      <c r="F1913" s="6"/>
      <c r="G1913" s="46"/>
      <c r="H1913" s="2"/>
      <c r="I1913" s="2"/>
      <c r="J1913" s="2"/>
    </row>
    <row r="1914" spans="2:10" x14ac:dyDescent="0.2">
      <c r="B1914" s="2"/>
      <c r="C1914" s="46"/>
      <c r="D1914" s="46"/>
      <c r="E1914" s="46"/>
      <c r="F1914" s="2"/>
      <c r="G1914" s="46"/>
      <c r="H1914" s="2"/>
      <c r="I1914" s="2"/>
      <c r="J1914" s="2"/>
    </row>
    <row r="1915" spans="2:10" x14ac:dyDescent="0.2">
      <c r="B1915" s="2"/>
      <c r="C1915" s="46"/>
      <c r="D1915" s="46"/>
      <c r="E1915" s="46"/>
      <c r="F1915" s="6"/>
      <c r="G1915" s="46"/>
      <c r="H1915" s="2"/>
      <c r="I1915" s="2"/>
      <c r="J1915" s="2"/>
    </row>
    <row r="1916" spans="2:10" x14ac:dyDescent="0.2">
      <c r="B1916" s="2"/>
      <c r="C1916" s="46"/>
      <c r="D1916" s="46"/>
      <c r="E1916" s="46"/>
      <c r="F1916" s="6"/>
      <c r="G1916" s="46"/>
      <c r="H1916" s="2"/>
      <c r="I1916" s="2"/>
      <c r="J1916" s="2"/>
    </row>
    <row r="1917" spans="2:10" x14ac:dyDescent="0.2">
      <c r="B1917" s="2"/>
      <c r="C1917" s="46"/>
      <c r="D1917" s="46"/>
      <c r="E1917" s="46"/>
      <c r="F1917" s="6"/>
      <c r="G1917" s="46"/>
      <c r="H1917" s="2"/>
      <c r="I1917" s="2"/>
      <c r="J1917" s="2"/>
    </row>
    <row r="1918" spans="2:10" x14ac:dyDescent="0.2">
      <c r="B1918" s="2"/>
      <c r="C1918" s="46"/>
      <c r="D1918" s="46"/>
      <c r="E1918" s="46"/>
      <c r="F1918" s="2"/>
      <c r="G1918" s="46"/>
      <c r="H1918" s="2"/>
      <c r="I1918" s="2"/>
      <c r="J1918" s="2"/>
    </row>
    <row r="1919" spans="2:10" x14ac:dyDescent="0.2">
      <c r="B1919" s="2"/>
      <c r="C1919" s="46"/>
      <c r="D1919" s="46"/>
      <c r="E1919" s="46"/>
      <c r="F1919" s="2"/>
      <c r="G1919" s="46"/>
      <c r="H1919" s="2"/>
      <c r="I1919" s="2"/>
      <c r="J1919" s="2"/>
    </row>
    <row r="1920" spans="2:10" x14ac:dyDescent="0.2">
      <c r="B1920" s="2"/>
      <c r="C1920" s="46"/>
      <c r="D1920" s="46"/>
      <c r="E1920" s="46"/>
      <c r="F1920" s="6"/>
      <c r="G1920" s="46"/>
      <c r="H1920" s="2"/>
      <c r="I1920" s="2"/>
      <c r="J1920" s="2"/>
    </row>
    <row r="1921" spans="2:10" x14ac:dyDescent="0.2">
      <c r="B1921" s="2"/>
      <c r="C1921" s="46"/>
      <c r="D1921" s="46"/>
      <c r="E1921" s="46"/>
      <c r="F1921" s="6"/>
      <c r="G1921" s="46"/>
      <c r="H1921" s="2"/>
      <c r="I1921" s="2"/>
      <c r="J1921" s="2"/>
    </row>
    <row r="1922" spans="2:10" x14ac:dyDescent="0.2">
      <c r="B1922" s="2"/>
      <c r="C1922" s="46"/>
      <c r="D1922" s="46"/>
      <c r="E1922" s="46"/>
      <c r="F1922" s="6"/>
      <c r="G1922" s="46"/>
      <c r="H1922" s="2"/>
      <c r="I1922" s="2"/>
      <c r="J1922" s="2"/>
    </row>
    <row r="1923" spans="2:10" x14ac:dyDescent="0.2">
      <c r="B1923" s="2"/>
      <c r="C1923" s="46"/>
      <c r="D1923" s="46"/>
      <c r="E1923" s="46"/>
      <c r="F1923" s="6"/>
      <c r="G1923" s="46"/>
      <c r="H1923" s="2"/>
      <c r="I1923" s="2"/>
      <c r="J1923" s="2"/>
    </row>
    <row r="1924" spans="2:10" x14ac:dyDescent="0.2">
      <c r="B1924" s="2"/>
      <c r="C1924" s="46"/>
      <c r="D1924" s="46"/>
      <c r="E1924" s="46"/>
      <c r="F1924" s="2"/>
      <c r="G1924" s="46"/>
      <c r="H1924" s="2"/>
      <c r="I1924" s="2"/>
      <c r="J1924" s="2"/>
    </row>
    <row r="1925" spans="2:10" x14ac:dyDescent="0.2">
      <c r="B1925" s="2"/>
      <c r="C1925" s="46"/>
      <c r="D1925" s="46"/>
      <c r="E1925" s="46"/>
      <c r="F1925" s="6"/>
      <c r="G1925" s="46"/>
      <c r="H1925" s="2"/>
      <c r="I1925" s="2"/>
      <c r="J1925" s="2"/>
    </row>
    <row r="1926" spans="2:10" x14ac:dyDescent="0.2">
      <c r="B1926" s="2"/>
      <c r="C1926" s="46"/>
      <c r="D1926" s="46"/>
      <c r="E1926" s="46"/>
      <c r="F1926" s="6"/>
      <c r="G1926" s="46"/>
      <c r="H1926" s="2"/>
      <c r="I1926" s="2"/>
      <c r="J1926" s="2"/>
    </row>
    <row r="1927" spans="2:10" x14ac:dyDescent="0.2">
      <c r="B1927" s="2"/>
      <c r="C1927" s="46"/>
      <c r="D1927" s="46"/>
      <c r="E1927" s="46"/>
      <c r="F1927" s="6"/>
      <c r="G1927" s="46"/>
      <c r="H1927" s="2"/>
      <c r="I1927" s="2"/>
      <c r="J1927" s="2"/>
    </row>
    <row r="1928" spans="2:10" x14ac:dyDescent="0.2">
      <c r="B1928" s="2"/>
      <c r="C1928" s="46"/>
      <c r="D1928" s="46"/>
      <c r="E1928" s="46"/>
      <c r="F1928" s="6"/>
      <c r="G1928" s="46"/>
      <c r="H1928" s="2"/>
      <c r="I1928" s="2"/>
      <c r="J1928" s="2"/>
    </row>
    <row r="1929" spans="2:10" x14ac:dyDescent="0.2">
      <c r="B1929" s="2"/>
      <c r="C1929" s="46"/>
      <c r="D1929" s="46"/>
      <c r="E1929" s="46"/>
      <c r="F1929" s="2"/>
      <c r="G1929" s="46"/>
      <c r="H1929" s="2"/>
      <c r="I1929" s="2"/>
      <c r="J1929" s="2"/>
    </row>
    <row r="1930" spans="2:10" x14ac:dyDescent="0.2">
      <c r="B1930" s="2"/>
      <c r="C1930" s="46"/>
      <c r="D1930" s="46"/>
      <c r="E1930" s="46"/>
      <c r="F1930" s="2"/>
      <c r="G1930" s="46"/>
      <c r="H1930" s="2"/>
      <c r="I1930" s="2"/>
      <c r="J1930" s="2"/>
    </row>
    <row r="1931" spans="2:10" x14ac:dyDescent="0.2">
      <c r="B1931" s="2"/>
      <c r="C1931" s="46"/>
      <c r="D1931" s="46"/>
      <c r="E1931" s="46"/>
      <c r="F1931" s="6"/>
      <c r="G1931" s="46"/>
      <c r="H1931" s="2"/>
      <c r="I1931" s="2"/>
      <c r="J1931" s="2"/>
    </row>
    <row r="1932" spans="2:10" x14ac:dyDescent="0.2">
      <c r="B1932" s="2"/>
      <c r="C1932" s="46"/>
      <c r="D1932" s="46"/>
      <c r="E1932" s="46"/>
      <c r="F1932" s="2"/>
      <c r="G1932" s="46"/>
      <c r="H1932" s="2"/>
      <c r="I1932" s="2"/>
      <c r="J1932" s="2"/>
    </row>
    <row r="1933" spans="2:10" x14ac:dyDescent="0.2">
      <c r="B1933" s="2"/>
      <c r="C1933" s="46"/>
      <c r="D1933" s="46"/>
      <c r="E1933" s="46"/>
      <c r="F1933" s="2"/>
      <c r="G1933" s="46"/>
      <c r="H1933" s="2"/>
      <c r="I1933" s="2"/>
      <c r="J1933" s="2"/>
    </row>
    <row r="1934" spans="2:10" x14ac:dyDescent="0.2">
      <c r="B1934" s="2"/>
      <c r="C1934" s="46"/>
      <c r="D1934" s="46"/>
      <c r="E1934" s="46"/>
      <c r="F1934" s="6"/>
      <c r="G1934" s="46"/>
      <c r="H1934" s="2"/>
      <c r="I1934" s="2"/>
      <c r="J1934" s="2"/>
    </row>
    <row r="1935" spans="2:10" x14ac:dyDescent="0.2">
      <c r="B1935" s="2"/>
      <c r="C1935" s="46"/>
      <c r="D1935" s="46"/>
      <c r="E1935" s="46"/>
      <c r="F1935" s="2"/>
      <c r="G1935" s="46"/>
      <c r="H1935" s="2"/>
      <c r="I1935" s="2"/>
      <c r="J1935" s="2"/>
    </row>
    <row r="1936" spans="2:10" x14ac:dyDescent="0.2">
      <c r="B1936" s="2"/>
      <c r="C1936" s="46"/>
      <c r="D1936" s="46"/>
      <c r="E1936" s="46"/>
      <c r="F1936" s="6"/>
      <c r="G1936" s="46"/>
      <c r="H1936" s="2"/>
      <c r="I1936" s="2"/>
      <c r="J1936" s="2"/>
    </row>
    <row r="1937" spans="2:10" x14ac:dyDescent="0.2">
      <c r="B1937" s="2"/>
      <c r="C1937" s="46"/>
      <c r="D1937" s="46"/>
      <c r="E1937" s="46"/>
      <c r="F1937" s="2"/>
      <c r="G1937" s="46"/>
      <c r="H1937" s="2"/>
      <c r="I1937" s="2"/>
      <c r="J1937" s="2"/>
    </row>
    <row r="1938" spans="2:10" x14ac:dyDescent="0.2">
      <c r="B1938" s="2"/>
      <c r="C1938" s="46"/>
      <c r="D1938" s="46"/>
      <c r="E1938" s="46"/>
      <c r="F1938" s="6"/>
      <c r="G1938" s="46"/>
      <c r="H1938" s="2"/>
      <c r="I1938" s="2"/>
      <c r="J1938" s="2"/>
    </row>
    <row r="1939" spans="2:10" x14ac:dyDescent="0.2">
      <c r="B1939" s="2"/>
      <c r="C1939" s="46"/>
      <c r="D1939" s="46"/>
      <c r="E1939" s="46"/>
      <c r="F1939" s="2"/>
      <c r="G1939" s="46"/>
      <c r="H1939" s="2"/>
      <c r="I1939" s="2"/>
      <c r="J1939" s="2"/>
    </row>
    <row r="1940" spans="2:10" x14ac:dyDescent="0.2">
      <c r="B1940" s="2"/>
      <c r="C1940" s="46"/>
      <c r="D1940" s="46"/>
      <c r="E1940" s="46"/>
      <c r="F1940" s="2"/>
      <c r="G1940" s="46"/>
      <c r="H1940" s="2"/>
      <c r="I1940" s="2"/>
      <c r="J1940" s="2"/>
    </row>
    <row r="1941" spans="2:10" x14ac:dyDescent="0.2">
      <c r="B1941" s="2"/>
      <c r="C1941" s="46"/>
      <c r="D1941" s="46"/>
      <c r="E1941" s="46"/>
      <c r="F1941" s="2"/>
      <c r="G1941" s="46"/>
      <c r="H1941" s="2"/>
      <c r="I1941" s="2"/>
      <c r="J1941" s="2"/>
    </row>
    <row r="1942" spans="2:10" x14ac:dyDescent="0.2">
      <c r="B1942" s="2"/>
      <c r="C1942" s="46"/>
      <c r="D1942" s="46"/>
      <c r="E1942" s="46"/>
      <c r="F1942" s="2"/>
      <c r="G1942" s="46"/>
      <c r="H1942" s="2"/>
      <c r="I1942" s="2"/>
      <c r="J1942" s="2"/>
    </row>
    <row r="1943" spans="2:10" x14ac:dyDescent="0.2">
      <c r="B1943" s="2"/>
      <c r="C1943" s="46"/>
      <c r="D1943" s="46"/>
      <c r="E1943" s="46"/>
      <c r="F1943" s="2"/>
      <c r="G1943" s="46"/>
      <c r="H1943" s="2"/>
      <c r="I1943" s="2"/>
      <c r="J1943" s="2"/>
    </row>
    <row r="1944" spans="2:10" x14ac:dyDescent="0.2">
      <c r="B1944" s="2"/>
      <c r="C1944" s="46"/>
      <c r="D1944" s="46"/>
      <c r="E1944" s="46"/>
      <c r="F1944" s="2"/>
      <c r="G1944" s="46"/>
      <c r="H1944" s="2"/>
      <c r="I1944" s="2"/>
      <c r="J1944" s="2"/>
    </row>
    <row r="1945" spans="2:10" x14ac:dyDescent="0.2">
      <c r="B1945" s="2"/>
      <c r="C1945" s="46"/>
      <c r="D1945" s="46"/>
      <c r="E1945" s="46"/>
      <c r="F1945" s="2"/>
      <c r="G1945" s="46"/>
      <c r="H1945" s="2"/>
      <c r="I1945" s="2"/>
      <c r="J1945" s="2"/>
    </row>
    <row r="1946" spans="2:10" x14ac:dyDescent="0.2">
      <c r="B1946" s="2"/>
      <c r="C1946" s="46"/>
      <c r="D1946" s="46"/>
      <c r="E1946" s="46"/>
      <c r="F1946" s="2"/>
      <c r="G1946" s="46"/>
      <c r="H1946" s="2"/>
      <c r="I1946" s="2"/>
      <c r="J1946" s="2"/>
    </row>
    <row r="1947" spans="2:10" x14ac:dyDescent="0.2">
      <c r="B1947" s="2"/>
      <c r="C1947" s="46"/>
      <c r="D1947" s="46"/>
      <c r="E1947" s="46"/>
      <c r="F1947" s="2"/>
      <c r="G1947" s="46"/>
      <c r="H1947" s="2"/>
      <c r="I1947" s="2"/>
      <c r="J1947" s="2"/>
    </row>
    <row r="1948" spans="2:10" x14ac:dyDescent="0.2">
      <c r="B1948" s="2"/>
      <c r="C1948" s="46"/>
      <c r="D1948" s="46"/>
      <c r="E1948" s="46"/>
      <c r="F1948" s="6"/>
      <c r="G1948" s="46"/>
      <c r="H1948" s="2"/>
      <c r="I1948" s="2"/>
      <c r="J1948" s="2"/>
    </row>
    <row r="1949" spans="2:10" x14ac:dyDescent="0.2">
      <c r="B1949" s="2"/>
      <c r="C1949" s="46"/>
      <c r="D1949" s="46"/>
      <c r="E1949" s="46"/>
      <c r="F1949" s="6"/>
      <c r="G1949" s="46"/>
      <c r="H1949" s="2"/>
      <c r="I1949" s="2"/>
      <c r="J1949" s="2"/>
    </row>
    <row r="1950" spans="2:10" x14ac:dyDescent="0.2">
      <c r="B1950" s="2"/>
      <c r="C1950" s="46"/>
      <c r="D1950" s="46"/>
      <c r="E1950" s="46"/>
      <c r="F1950" s="6"/>
      <c r="G1950" s="46"/>
      <c r="H1950" s="2"/>
      <c r="I1950" s="2"/>
      <c r="J1950" s="2"/>
    </row>
    <row r="1951" spans="2:10" x14ac:dyDescent="0.2">
      <c r="B1951" s="2"/>
      <c r="C1951" s="46"/>
      <c r="D1951" s="46"/>
      <c r="E1951" s="46"/>
      <c r="F1951" s="6"/>
      <c r="G1951" s="46"/>
      <c r="H1951" s="2"/>
      <c r="I1951" s="2"/>
      <c r="J1951" s="2"/>
    </row>
    <row r="1952" spans="2:10" x14ac:dyDescent="0.2">
      <c r="B1952" s="2"/>
      <c r="C1952" s="46"/>
      <c r="D1952" s="46"/>
      <c r="E1952" s="46"/>
      <c r="F1952" s="2"/>
      <c r="G1952" s="46"/>
      <c r="H1952" s="2"/>
      <c r="I1952" s="2"/>
      <c r="J1952" s="2"/>
    </row>
    <row r="1953" spans="2:10" x14ac:dyDescent="0.2">
      <c r="B1953" s="2"/>
      <c r="C1953" s="46"/>
      <c r="D1953" s="46"/>
      <c r="E1953" s="46"/>
      <c r="F1953" s="2"/>
      <c r="G1953" s="46"/>
      <c r="H1953" s="2"/>
      <c r="I1953" s="2"/>
      <c r="J1953" s="2"/>
    </row>
    <row r="1954" spans="2:10" x14ac:dyDescent="0.2">
      <c r="B1954" s="2"/>
      <c r="C1954" s="46"/>
      <c r="D1954" s="46"/>
      <c r="E1954" s="46"/>
      <c r="F1954" s="6"/>
      <c r="G1954" s="46"/>
      <c r="H1954" s="2"/>
      <c r="I1954" s="2"/>
      <c r="J1954" s="2"/>
    </row>
    <row r="1955" spans="2:10" x14ac:dyDescent="0.2">
      <c r="B1955" s="2"/>
      <c r="C1955" s="46"/>
      <c r="D1955" s="46"/>
      <c r="E1955" s="46"/>
      <c r="F1955" s="2"/>
      <c r="G1955" s="46"/>
      <c r="H1955" s="2"/>
      <c r="I1955" s="2"/>
      <c r="J1955" s="2"/>
    </row>
    <row r="1956" spans="2:10" x14ac:dyDescent="0.2">
      <c r="B1956" s="2"/>
      <c r="C1956" s="46"/>
      <c r="D1956" s="46"/>
      <c r="E1956" s="46"/>
      <c r="F1956" s="2"/>
      <c r="G1956" s="46"/>
      <c r="H1956" s="2"/>
      <c r="I1956" s="2"/>
      <c r="J1956" s="2"/>
    </row>
    <row r="1957" spans="2:10" x14ac:dyDescent="0.2">
      <c r="B1957" s="2"/>
      <c r="C1957" s="46"/>
      <c r="D1957" s="46"/>
      <c r="E1957" s="46"/>
      <c r="F1957" s="2"/>
      <c r="G1957" s="46"/>
      <c r="H1957" s="2"/>
      <c r="I1957" s="2"/>
      <c r="J1957" s="2"/>
    </row>
    <row r="1958" spans="2:10" x14ac:dyDescent="0.2">
      <c r="B1958" s="2"/>
      <c r="C1958" s="46"/>
      <c r="D1958" s="46"/>
      <c r="E1958" s="46"/>
      <c r="F1958" s="2"/>
      <c r="G1958" s="46"/>
      <c r="H1958" s="2"/>
      <c r="I1958" s="2"/>
      <c r="J1958" s="2"/>
    </row>
    <row r="1959" spans="2:10" x14ac:dyDescent="0.2">
      <c r="B1959" s="2"/>
      <c r="C1959" s="46"/>
      <c r="D1959" s="46"/>
      <c r="E1959" s="46"/>
      <c r="F1959" s="2"/>
      <c r="G1959" s="46"/>
      <c r="H1959" s="2"/>
      <c r="I1959" s="2"/>
      <c r="J1959" s="2"/>
    </row>
    <row r="1960" spans="2:10" x14ac:dyDescent="0.2">
      <c r="B1960" s="2"/>
      <c r="C1960" s="46"/>
      <c r="D1960" s="46"/>
      <c r="E1960" s="46"/>
      <c r="F1960" s="2"/>
      <c r="G1960" s="46"/>
      <c r="H1960" s="2"/>
      <c r="I1960" s="2"/>
      <c r="J1960" s="2"/>
    </row>
    <row r="1961" spans="2:10" x14ac:dyDescent="0.2">
      <c r="B1961" s="2"/>
      <c r="C1961" s="46"/>
      <c r="D1961" s="46"/>
      <c r="E1961" s="46"/>
      <c r="F1961" s="6"/>
      <c r="G1961" s="46"/>
      <c r="H1961" s="2"/>
      <c r="I1961" s="2"/>
      <c r="J1961" s="2"/>
    </row>
    <row r="1962" spans="2:10" x14ac:dyDescent="0.2">
      <c r="B1962" s="2"/>
      <c r="C1962" s="46"/>
      <c r="D1962" s="46"/>
      <c r="E1962" s="46"/>
      <c r="F1962" s="6"/>
      <c r="G1962" s="46"/>
      <c r="H1962" s="2"/>
      <c r="I1962" s="2"/>
      <c r="J1962" s="2"/>
    </row>
    <row r="1963" spans="2:10" x14ac:dyDescent="0.2">
      <c r="B1963" s="2"/>
      <c r="C1963" s="46"/>
      <c r="D1963" s="46"/>
      <c r="E1963" s="46"/>
      <c r="F1963" s="2"/>
      <c r="G1963" s="46"/>
      <c r="H1963" s="2"/>
      <c r="I1963" s="2"/>
      <c r="J1963" s="2"/>
    </row>
    <row r="1964" spans="2:10" x14ac:dyDescent="0.2">
      <c r="B1964" s="2"/>
      <c r="C1964" s="46"/>
      <c r="D1964" s="46"/>
      <c r="E1964" s="46"/>
      <c r="F1964" s="2"/>
      <c r="G1964" s="46"/>
      <c r="H1964" s="2"/>
      <c r="I1964" s="2"/>
      <c r="J1964" s="2"/>
    </row>
    <row r="1965" spans="2:10" x14ac:dyDescent="0.2">
      <c r="B1965" s="2"/>
      <c r="C1965" s="46"/>
      <c r="D1965" s="46"/>
      <c r="E1965" s="46"/>
      <c r="F1965" s="6"/>
      <c r="G1965" s="46"/>
      <c r="H1965" s="2"/>
      <c r="I1965" s="2"/>
      <c r="J1965" s="2"/>
    </row>
    <row r="1966" spans="2:10" x14ac:dyDescent="0.2">
      <c r="B1966" s="2"/>
      <c r="C1966" s="46"/>
      <c r="D1966" s="46"/>
      <c r="E1966" s="46"/>
      <c r="F1966" s="2"/>
      <c r="G1966" s="46"/>
      <c r="H1966" s="2"/>
      <c r="I1966" s="2"/>
      <c r="J1966" s="2"/>
    </row>
    <row r="1967" spans="2:10" x14ac:dyDescent="0.2">
      <c r="B1967" s="2"/>
      <c r="C1967" s="46"/>
      <c r="D1967" s="46"/>
      <c r="E1967" s="46"/>
      <c r="F1967" s="2"/>
      <c r="G1967" s="46"/>
      <c r="H1967" s="2"/>
      <c r="I1967" s="2"/>
      <c r="J1967" s="2"/>
    </row>
    <row r="1968" spans="2:10" x14ac:dyDescent="0.2">
      <c r="B1968" s="2"/>
      <c r="C1968" s="46"/>
      <c r="D1968" s="46"/>
      <c r="E1968" s="46"/>
      <c r="F1968" s="2"/>
      <c r="G1968" s="46"/>
      <c r="H1968" s="2"/>
      <c r="I1968" s="2"/>
      <c r="J1968" s="2"/>
    </row>
    <row r="1969" spans="2:10" x14ac:dyDescent="0.2">
      <c r="B1969" s="2"/>
      <c r="C1969" s="46"/>
      <c r="D1969" s="46"/>
      <c r="E1969" s="46"/>
      <c r="F1969" s="6"/>
      <c r="G1969" s="46"/>
      <c r="H1969" s="2"/>
      <c r="I1969" s="2"/>
      <c r="J1969" s="2"/>
    </row>
    <row r="1970" spans="2:10" x14ac:dyDescent="0.2">
      <c r="B1970" s="2"/>
      <c r="C1970" s="46"/>
      <c r="D1970" s="46"/>
      <c r="E1970" s="46"/>
      <c r="F1970" s="6"/>
      <c r="G1970" s="46"/>
      <c r="H1970" s="2"/>
      <c r="I1970" s="2"/>
      <c r="J1970" s="2"/>
    </row>
    <row r="1971" spans="2:10" x14ac:dyDescent="0.2">
      <c r="B1971" s="2"/>
      <c r="C1971" s="46"/>
      <c r="D1971" s="46"/>
      <c r="E1971" s="46"/>
      <c r="F1971" s="2"/>
      <c r="G1971" s="46"/>
      <c r="H1971" s="2"/>
      <c r="I1971" s="2"/>
      <c r="J1971" s="2"/>
    </row>
    <row r="1972" spans="2:10" x14ac:dyDescent="0.2">
      <c r="B1972" s="2"/>
      <c r="C1972" s="46"/>
      <c r="D1972" s="46"/>
      <c r="E1972" s="46"/>
      <c r="F1972" s="6"/>
      <c r="G1972" s="46"/>
      <c r="H1972" s="2"/>
      <c r="I1972" s="2"/>
      <c r="J1972" s="2"/>
    </row>
    <row r="1973" spans="2:10" x14ac:dyDescent="0.2">
      <c r="B1973" s="2"/>
      <c r="C1973" s="46"/>
      <c r="D1973" s="46"/>
      <c r="E1973" s="46"/>
      <c r="F1973" s="2"/>
      <c r="G1973" s="46"/>
      <c r="H1973" s="2"/>
      <c r="I1973" s="2"/>
      <c r="J1973" s="2"/>
    </row>
    <row r="1974" spans="2:10" x14ac:dyDescent="0.2">
      <c r="B1974" s="2"/>
      <c r="C1974" s="46"/>
      <c r="D1974" s="46"/>
      <c r="E1974" s="46"/>
      <c r="F1974" s="2"/>
      <c r="G1974" s="46"/>
      <c r="H1974" s="2"/>
      <c r="I1974" s="2"/>
      <c r="J1974" s="2"/>
    </row>
    <row r="1975" spans="2:10" x14ac:dyDescent="0.2">
      <c r="B1975" s="2"/>
      <c r="C1975" s="46"/>
      <c r="D1975" s="46"/>
      <c r="E1975" s="46"/>
      <c r="F1975" s="2"/>
      <c r="G1975" s="46"/>
      <c r="H1975" s="2"/>
      <c r="I1975" s="2"/>
      <c r="J1975" s="2"/>
    </row>
    <row r="1976" spans="2:10" x14ac:dyDescent="0.2">
      <c r="B1976" s="2"/>
      <c r="C1976" s="46"/>
      <c r="D1976" s="46"/>
      <c r="E1976" s="46"/>
      <c r="F1976" s="2"/>
      <c r="G1976" s="46"/>
      <c r="H1976" s="2"/>
      <c r="I1976" s="2"/>
      <c r="J1976" s="2"/>
    </row>
    <row r="1977" spans="2:10" x14ac:dyDescent="0.2">
      <c r="B1977" s="2"/>
      <c r="C1977" s="46"/>
      <c r="D1977" s="46"/>
      <c r="E1977" s="46"/>
      <c r="F1977" s="6"/>
      <c r="G1977" s="46"/>
      <c r="H1977" s="2"/>
      <c r="I1977" s="2"/>
      <c r="J1977" s="2"/>
    </row>
    <row r="1978" spans="2:10" x14ac:dyDescent="0.2">
      <c r="B1978" s="2"/>
      <c r="C1978" s="46"/>
      <c r="D1978" s="46"/>
      <c r="E1978" s="46"/>
      <c r="F1978" s="6"/>
      <c r="G1978" s="46"/>
      <c r="H1978" s="2"/>
      <c r="I1978" s="2"/>
      <c r="J1978" s="2"/>
    </row>
    <row r="1979" spans="2:10" x14ac:dyDescent="0.2">
      <c r="B1979" s="2"/>
      <c r="C1979" s="46"/>
      <c r="D1979" s="46"/>
      <c r="E1979" s="46"/>
      <c r="F1979" s="2"/>
      <c r="G1979" s="46"/>
      <c r="H1979" s="2"/>
      <c r="I1979" s="2"/>
      <c r="J1979" s="2"/>
    </row>
    <row r="1980" spans="2:10" x14ac:dyDescent="0.2">
      <c r="B1980" s="2"/>
      <c r="C1980" s="46"/>
      <c r="D1980" s="46"/>
      <c r="E1980" s="46"/>
      <c r="F1980" s="6"/>
      <c r="G1980" s="46"/>
      <c r="H1980" s="2"/>
      <c r="I1980" s="2"/>
      <c r="J1980" s="2"/>
    </row>
    <row r="1981" spans="2:10" x14ac:dyDescent="0.2">
      <c r="B1981" s="2"/>
      <c r="C1981" s="46"/>
      <c r="D1981" s="46"/>
      <c r="E1981" s="46"/>
      <c r="F1981" s="6"/>
      <c r="G1981" s="46"/>
      <c r="H1981" s="2"/>
      <c r="I1981" s="2"/>
      <c r="J1981" s="2"/>
    </row>
    <row r="1982" spans="2:10" x14ac:dyDescent="0.2">
      <c r="B1982" s="2"/>
      <c r="C1982" s="46"/>
      <c r="D1982" s="46"/>
      <c r="E1982" s="46"/>
      <c r="F1982" s="6"/>
      <c r="G1982" s="46"/>
      <c r="H1982" s="2"/>
      <c r="I1982" s="2"/>
      <c r="J1982" s="2"/>
    </row>
    <row r="1983" spans="2:10" x14ac:dyDescent="0.2">
      <c r="B1983" s="2"/>
      <c r="C1983" s="46"/>
      <c r="D1983" s="46"/>
      <c r="E1983" s="46"/>
      <c r="F1983" s="2"/>
      <c r="G1983" s="46"/>
      <c r="H1983" s="2"/>
      <c r="I1983" s="2"/>
      <c r="J1983" s="2"/>
    </row>
    <row r="1984" spans="2:10" x14ac:dyDescent="0.2">
      <c r="B1984" s="2"/>
      <c r="C1984" s="46"/>
      <c r="D1984" s="46"/>
      <c r="E1984" s="46"/>
      <c r="F1984" s="2"/>
      <c r="G1984" s="46"/>
      <c r="H1984" s="2"/>
      <c r="I1984" s="2"/>
      <c r="J1984" s="2"/>
    </row>
    <row r="1985" spans="2:10" x14ac:dyDescent="0.2">
      <c r="B1985" s="2"/>
      <c r="C1985" s="46"/>
      <c r="D1985" s="46"/>
      <c r="E1985" s="46"/>
      <c r="F1985" s="2"/>
      <c r="G1985" s="46"/>
      <c r="H1985" s="2"/>
      <c r="I1985" s="2"/>
      <c r="J1985" s="2"/>
    </row>
    <row r="1986" spans="2:10" x14ac:dyDescent="0.2">
      <c r="B1986" s="2"/>
      <c r="C1986" s="46"/>
      <c r="D1986" s="46"/>
      <c r="E1986" s="46"/>
      <c r="F1986" s="2"/>
      <c r="G1986" s="46"/>
      <c r="H1986" s="2"/>
      <c r="I1986" s="2"/>
      <c r="J1986" s="2"/>
    </row>
    <row r="1987" spans="2:10" x14ac:dyDescent="0.2">
      <c r="B1987" s="2"/>
      <c r="C1987" s="46"/>
      <c r="D1987" s="46"/>
      <c r="E1987" s="46"/>
      <c r="F1987" s="2"/>
      <c r="G1987" s="46"/>
      <c r="H1987" s="2"/>
      <c r="I1987" s="2"/>
      <c r="J1987" s="2"/>
    </row>
    <row r="1988" spans="2:10" x14ac:dyDescent="0.2">
      <c r="B1988" s="2"/>
      <c r="C1988" s="46"/>
      <c r="D1988" s="46"/>
      <c r="E1988" s="46"/>
      <c r="F1988" s="6"/>
      <c r="G1988" s="46"/>
      <c r="H1988" s="2"/>
      <c r="I1988" s="2"/>
      <c r="J1988" s="2"/>
    </row>
    <row r="1989" spans="2:10" x14ac:dyDescent="0.2">
      <c r="B1989" s="2"/>
      <c r="C1989" s="46"/>
      <c r="D1989" s="46"/>
      <c r="E1989" s="46"/>
      <c r="F1989" s="6"/>
      <c r="G1989" s="46"/>
      <c r="H1989" s="2"/>
      <c r="I1989" s="2"/>
      <c r="J1989" s="2"/>
    </row>
    <row r="1990" spans="2:10" x14ac:dyDescent="0.2">
      <c r="B1990" s="2"/>
      <c r="C1990" s="46"/>
      <c r="D1990" s="46"/>
      <c r="E1990" s="46"/>
      <c r="F1990" s="2"/>
      <c r="G1990" s="46"/>
      <c r="H1990" s="2"/>
      <c r="I1990" s="2"/>
      <c r="J1990" s="2"/>
    </row>
    <row r="1991" spans="2:10" x14ac:dyDescent="0.2">
      <c r="B1991" s="2"/>
      <c r="C1991" s="46"/>
      <c r="D1991" s="46"/>
      <c r="E1991" s="46"/>
      <c r="F1991" s="2"/>
      <c r="G1991" s="46"/>
      <c r="H1991" s="2"/>
      <c r="I1991" s="2"/>
      <c r="J1991" s="2"/>
    </row>
    <row r="1992" spans="2:10" x14ac:dyDescent="0.2">
      <c r="B1992" s="2"/>
      <c r="C1992" s="46"/>
      <c r="D1992" s="46"/>
      <c r="E1992" s="46"/>
      <c r="F1992" s="2"/>
      <c r="G1992" s="46"/>
      <c r="H1992" s="2"/>
      <c r="I1992" s="2"/>
      <c r="J1992" s="2"/>
    </row>
    <row r="1993" spans="2:10" x14ac:dyDescent="0.2">
      <c r="B1993" s="2"/>
      <c r="C1993" s="46"/>
      <c r="D1993" s="46"/>
      <c r="E1993" s="46"/>
      <c r="F1993" s="2"/>
      <c r="G1993" s="46"/>
      <c r="H1993" s="2"/>
      <c r="I1993" s="2"/>
      <c r="J1993" s="2"/>
    </row>
    <row r="1994" spans="2:10" x14ac:dyDescent="0.2">
      <c r="B1994" s="2"/>
      <c r="C1994" s="46"/>
      <c r="D1994" s="46"/>
      <c r="E1994" s="46"/>
      <c r="F1994" s="6"/>
      <c r="G1994" s="46"/>
      <c r="H1994" s="2"/>
      <c r="I1994" s="2"/>
      <c r="J1994" s="2"/>
    </row>
    <row r="1995" spans="2:10" x14ac:dyDescent="0.2">
      <c r="B1995" s="2"/>
      <c r="C1995" s="46"/>
      <c r="D1995" s="46"/>
      <c r="E1995" s="46"/>
      <c r="F1995" s="2"/>
      <c r="G1995" s="46"/>
      <c r="H1995" s="2"/>
      <c r="I1995" s="2"/>
      <c r="J1995" s="2"/>
    </row>
    <row r="1996" spans="2:10" x14ac:dyDescent="0.2">
      <c r="B1996" s="2"/>
      <c r="C1996" s="46"/>
      <c r="D1996" s="46"/>
      <c r="E1996" s="46"/>
      <c r="F1996" s="2"/>
      <c r="G1996" s="46"/>
      <c r="H1996" s="2"/>
      <c r="I1996" s="2"/>
      <c r="J1996" s="2"/>
    </row>
    <row r="1997" spans="2:10" x14ac:dyDescent="0.2">
      <c r="B1997" s="2"/>
      <c r="C1997" s="46"/>
      <c r="D1997" s="46"/>
      <c r="E1997" s="46"/>
      <c r="F1997" s="2"/>
      <c r="G1997" s="46"/>
      <c r="H1997" s="2"/>
      <c r="I1997" s="2"/>
      <c r="J1997" s="2"/>
    </row>
    <row r="1998" spans="2:10" x14ac:dyDescent="0.2">
      <c r="B1998" s="2"/>
      <c r="C1998" s="46"/>
      <c r="D1998" s="46"/>
      <c r="E1998" s="46"/>
      <c r="F1998" s="2"/>
      <c r="G1998" s="46"/>
      <c r="H1998" s="2"/>
      <c r="I1998" s="2"/>
      <c r="J1998" s="2"/>
    </row>
    <row r="1999" spans="2:10" x14ac:dyDescent="0.2">
      <c r="B1999" s="2"/>
      <c r="C1999" s="46"/>
      <c r="D1999" s="46"/>
      <c r="E1999" s="46"/>
      <c r="F1999" s="2"/>
      <c r="G1999" s="46"/>
      <c r="H1999" s="2"/>
      <c r="I1999" s="2"/>
      <c r="J1999" s="2"/>
    </row>
    <row r="2000" spans="2:10" x14ac:dyDescent="0.2">
      <c r="B2000" s="2"/>
      <c r="C2000" s="46"/>
      <c r="D2000" s="46"/>
      <c r="E2000" s="46"/>
      <c r="F2000" s="2"/>
      <c r="G2000" s="46"/>
      <c r="H2000" s="2"/>
      <c r="I2000" s="2"/>
      <c r="J2000" s="2"/>
    </row>
    <row r="2001" spans="2:10" x14ac:dyDescent="0.2">
      <c r="B2001" s="2"/>
      <c r="C2001" s="46"/>
      <c r="D2001" s="46"/>
      <c r="E2001" s="46"/>
      <c r="F2001" s="2"/>
      <c r="G2001" s="46"/>
      <c r="H2001" s="2"/>
      <c r="I2001" s="2"/>
      <c r="J2001" s="2"/>
    </row>
    <row r="2002" spans="2:10" x14ac:dyDescent="0.2">
      <c r="B2002" s="2"/>
      <c r="C2002" s="46"/>
      <c r="D2002" s="46"/>
      <c r="E2002" s="46"/>
      <c r="F2002" s="6"/>
      <c r="G2002" s="46"/>
      <c r="H2002" s="2"/>
      <c r="I2002" s="2"/>
      <c r="J2002" s="2"/>
    </row>
    <row r="2003" spans="2:10" x14ac:dyDescent="0.2">
      <c r="B2003" s="2"/>
      <c r="C2003" s="46"/>
      <c r="D2003" s="46"/>
      <c r="E2003" s="46"/>
      <c r="F2003" s="2"/>
      <c r="G2003" s="46"/>
      <c r="H2003" s="2"/>
      <c r="I2003" s="2"/>
      <c r="J2003" s="2"/>
    </row>
    <row r="2004" spans="2:10" x14ac:dyDescent="0.2">
      <c r="B2004" s="2"/>
      <c r="C2004" s="46"/>
      <c r="D2004" s="46"/>
      <c r="E2004" s="46"/>
      <c r="F2004" s="2"/>
      <c r="G2004" s="46"/>
      <c r="H2004" s="2"/>
      <c r="I2004" s="2"/>
      <c r="J2004" s="2"/>
    </row>
    <row r="2005" spans="2:10" x14ac:dyDescent="0.2">
      <c r="B2005" s="2"/>
      <c r="C2005" s="46"/>
      <c r="D2005" s="46"/>
      <c r="E2005" s="46"/>
      <c r="F2005" s="2"/>
      <c r="G2005" s="46"/>
      <c r="H2005" s="2"/>
      <c r="I2005" s="2"/>
      <c r="J2005" s="2"/>
    </row>
    <row r="2006" spans="2:10" x14ac:dyDescent="0.2">
      <c r="B2006" s="2"/>
      <c r="C2006" s="46"/>
      <c r="D2006" s="46"/>
      <c r="E2006" s="46"/>
      <c r="F2006" s="2"/>
      <c r="G2006" s="46"/>
      <c r="H2006" s="2"/>
      <c r="I2006" s="2"/>
      <c r="J2006" s="2"/>
    </row>
    <row r="2007" spans="2:10" x14ac:dyDescent="0.2">
      <c r="B2007" s="2"/>
      <c r="C2007" s="46"/>
      <c r="D2007" s="46"/>
      <c r="E2007" s="46"/>
      <c r="F2007" s="2"/>
      <c r="G2007" s="46"/>
      <c r="H2007" s="2"/>
      <c r="I2007" s="2"/>
      <c r="J2007" s="2"/>
    </row>
    <row r="2008" spans="2:10" x14ac:dyDescent="0.2">
      <c r="B2008" s="2"/>
      <c r="C2008" s="46"/>
      <c r="D2008" s="46"/>
      <c r="E2008" s="46"/>
      <c r="F2008" s="2"/>
      <c r="G2008" s="46"/>
      <c r="H2008" s="2"/>
      <c r="I2008" s="2"/>
      <c r="J2008" s="2"/>
    </row>
    <row r="2009" spans="2:10" x14ac:dyDescent="0.2">
      <c r="B2009" s="2"/>
      <c r="C2009" s="46"/>
      <c r="D2009" s="46"/>
      <c r="E2009" s="46"/>
      <c r="F2009" s="2"/>
      <c r="G2009" s="46"/>
      <c r="H2009" s="2"/>
      <c r="I2009" s="2"/>
      <c r="J2009" s="2"/>
    </row>
    <row r="2010" spans="2:10" x14ac:dyDescent="0.2">
      <c r="B2010" s="2"/>
      <c r="C2010" s="46"/>
      <c r="D2010" s="46"/>
      <c r="E2010" s="46"/>
      <c r="F2010" s="2"/>
      <c r="G2010" s="46"/>
      <c r="H2010" s="2"/>
      <c r="I2010" s="2"/>
      <c r="J2010" s="2"/>
    </row>
    <row r="2011" spans="2:10" x14ac:dyDescent="0.2">
      <c r="B2011" s="2"/>
      <c r="C2011" s="46"/>
      <c r="D2011" s="46"/>
      <c r="E2011" s="46"/>
      <c r="F2011" s="2"/>
      <c r="G2011" s="46"/>
      <c r="H2011" s="2"/>
      <c r="I2011" s="2"/>
      <c r="J2011" s="2"/>
    </row>
    <row r="2012" spans="2:10" x14ac:dyDescent="0.2">
      <c r="B2012" s="2"/>
      <c r="C2012" s="46"/>
      <c r="D2012" s="46"/>
      <c r="E2012" s="46"/>
      <c r="F2012" s="2"/>
      <c r="G2012" s="46"/>
      <c r="H2012" s="2"/>
      <c r="I2012" s="2"/>
      <c r="J2012" s="2"/>
    </row>
    <row r="2013" spans="2:10" x14ac:dyDescent="0.2">
      <c r="B2013" s="2"/>
      <c r="C2013" s="46"/>
      <c r="D2013" s="46"/>
      <c r="E2013" s="46"/>
      <c r="F2013" s="2"/>
      <c r="G2013" s="46"/>
      <c r="H2013" s="2"/>
      <c r="I2013" s="2"/>
      <c r="J2013" s="2"/>
    </row>
    <row r="2014" spans="2:10" x14ac:dyDescent="0.2">
      <c r="B2014" s="2"/>
      <c r="C2014" s="46"/>
      <c r="D2014" s="46"/>
      <c r="E2014" s="46"/>
      <c r="F2014" s="2"/>
      <c r="G2014" s="46"/>
      <c r="H2014" s="2"/>
      <c r="I2014" s="2"/>
      <c r="J2014" s="2"/>
    </row>
    <row r="2015" spans="2:10" x14ac:dyDescent="0.2">
      <c r="B2015" s="2"/>
      <c r="C2015" s="46"/>
      <c r="D2015" s="46"/>
      <c r="E2015" s="46"/>
      <c r="F2015" s="2"/>
      <c r="G2015" s="46"/>
      <c r="H2015" s="2"/>
      <c r="I2015" s="2"/>
      <c r="J2015" s="2"/>
    </row>
    <row r="2016" spans="2:10" x14ac:dyDescent="0.2">
      <c r="B2016" s="2"/>
      <c r="C2016" s="46"/>
      <c r="D2016" s="46"/>
      <c r="E2016" s="46"/>
      <c r="F2016" s="2"/>
      <c r="G2016" s="46"/>
      <c r="H2016" s="2"/>
      <c r="I2016" s="2"/>
      <c r="J2016" s="2"/>
    </row>
    <row r="2017" spans="2:10" x14ac:dyDescent="0.2">
      <c r="B2017" s="2"/>
      <c r="C2017" s="46"/>
      <c r="D2017" s="46"/>
      <c r="E2017" s="46"/>
      <c r="F2017" s="2"/>
      <c r="G2017" s="46"/>
      <c r="H2017" s="2"/>
      <c r="I2017" s="2"/>
      <c r="J2017" s="2"/>
    </row>
    <row r="2018" spans="2:10" x14ac:dyDescent="0.2">
      <c r="B2018" s="2"/>
      <c r="C2018" s="46"/>
      <c r="D2018" s="46"/>
      <c r="E2018" s="46"/>
      <c r="F2018" s="6"/>
      <c r="G2018" s="46"/>
      <c r="H2018" s="2"/>
      <c r="I2018" s="2"/>
      <c r="J2018" s="2"/>
    </row>
    <row r="2019" spans="2:10" x14ac:dyDescent="0.2">
      <c r="B2019" s="2"/>
      <c r="C2019" s="46"/>
      <c r="D2019" s="46"/>
      <c r="E2019" s="46"/>
      <c r="F2019" s="2"/>
      <c r="G2019" s="46"/>
      <c r="H2019" s="2"/>
      <c r="I2019" s="2"/>
      <c r="J2019" s="2"/>
    </row>
    <row r="2020" spans="2:10" x14ac:dyDescent="0.2">
      <c r="B2020" s="2"/>
      <c r="C2020" s="46"/>
      <c r="D2020" s="46"/>
      <c r="E2020" s="46"/>
      <c r="F2020" s="2"/>
      <c r="G2020" s="46"/>
      <c r="H2020" s="2"/>
      <c r="I2020" s="2"/>
      <c r="J2020" s="2"/>
    </row>
    <row r="2021" spans="2:10" x14ac:dyDescent="0.2">
      <c r="B2021" s="2"/>
      <c r="C2021" s="46"/>
      <c r="D2021" s="46"/>
      <c r="E2021" s="46"/>
      <c r="F2021" s="2"/>
      <c r="G2021" s="46"/>
      <c r="H2021" s="2"/>
      <c r="I2021" s="2"/>
      <c r="J2021" s="2"/>
    </row>
    <row r="2022" spans="2:10" x14ac:dyDescent="0.2">
      <c r="B2022" s="2"/>
      <c r="C2022" s="46"/>
      <c r="D2022" s="46"/>
      <c r="E2022" s="46"/>
      <c r="F2022" s="2"/>
      <c r="G2022" s="46"/>
      <c r="H2022" s="2"/>
      <c r="I2022" s="2"/>
      <c r="J2022" s="2"/>
    </row>
    <row r="2023" spans="2:10" x14ac:dyDescent="0.2">
      <c r="B2023" s="2"/>
      <c r="C2023" s="46"/>
      <c r="D2023" s="46"/>
      <c r="E2023" s="46"/>
      <c r="F2023" s="2"/>
      <c r="G2023" s="46"/>
      <c r="H2023" s="2"/>
      <c r="I2023" s="2"/>
      <c r="J2023" s="2"/>
    </row>
    <row r="2024" spans="2:10" x14ac:dyDescent="0.2">
      <c r="B2024" s="2"/>
      <c r="C2024" s="46"/>
      <c r="D2024" s="46"/>
      <c r="E2024" s="46"/>
      <c r="F2024" s="2"/>
      <c r="G2024" s="46"/>
      <c r="H2024" s="2"/>
      <c r="I2024" s="2"/>
      <c r="J2024" s="2"/>
    </row>
    <row r="2025" spans="2:10" x14ac:dyDescent="0.2">
      <c r="B2025" s="2"/>
      <c r="C2025" s="46"/>
      <c r="D2025" s="46"/>
      <c r="E2025" s="46"/>
      <c r="F2025" s="6"/>
      <c r="G2025" s="46"/>
      <c r="H2025" s="2"/>
      <c r="I2025" s="2"/>
      <c r="J2025" s="2"/>
    </row>
    <row r="2026" spans="2:10" x14ac:dyDescent="0.2">
      <c r="B2026" s="2"/>
      <c r="C2026" s="46"/>
      <c r="D2026" s="46"/>
      <c r="E2026" s="46"/>
      <c r="F2026" s="2"/>
      <c r="G2026" s="46"/>
      <c r="H2026" s="2"/>
      <c r="I2026" s="2"/>
      <c r="J2026" s="2"/>
    </row>
    <row r="2027" spans="2:10" x14ac:dyDescent="0.2">
      <c r="B2027" s="2"/>
      <c r="C2027" s="46"/>
      <c r="D2027" s="46"/>
      <c r="E2027" s="46"/>
      <c r="F2027" s="2"/>
      <c r="G2027" s="46"/>
      <c r="H2027" s="2"/>
      <c r="I2027" s="2"/>
      <c r="J2027" s="2"/>
    </row>
    <row r="2028" spans="2:10" x14ac:dyDescent="0.2">
      <c r="B2028" s="2"/>
      <c r="C2028" s="46"/>
      <c r="D2028" s="46"/>
      <c r="E2028" s="46"/>
      <c r="F2028" s="2"/>
      <c r="G2028" s="46"/>
      <c r="H2028" s="2"/>
      <c r="I2028" s="2"/>
      <c r="J2028" s="2"/>
    </row>
    <row r="2029" spans="2:10" x14ac:dyDescent="0.2">
      <c r="B2029" s="2"/>
      <c r="C2029" s="46"/>
      <c r="D2029" s="46"/>
      <c r="E2029" s="46"/>
      <c r="F2029" s="6"/>
      <c r="G2029" s="46"/>
      <c r="H2029" s="2"/>
      <c r="I2029" s="2"/>
      <c r="J2029" s="2"/>
    </row>
    <row r="2030" spans="2:10" x14ac:dyDescent="0.2">
      <c r="B2030" s="2"/>
      <c r="C2030" s="46"/>
      <c r="D2030" s="46"/>
      <c r="E2030" s="46"/>
      <c r="F2030" s="6"/>
      <c r="G2030" s="46"/>
      <c r="H2030" s="2"/>
      <c r="I2030" s="2"/>
      <c r="J2030" s="2"/>
    </row>
    <row r="2031" spans="2:10" x14ac:dyDescent="0.2">
      <c r="B2031" s="2"/>
      <c r="C2031" s="46"/>
      <c r="D2031" s="46"/>
      <c r="E2031" s="46"/>
      <c r="F2031" s="2"/>
      <c r="G2031" s="46"/>
      <c r="H2031" s="2"/>
      <c r="I2031" s="2"/>
      <c r="J2031" s="2"/>
    </row>
    <row r="2032" spans="2:10" x14ac:dyDescent="0.2">
      <c r="B2032" s="2"/>
      <c r="C2032" s="46"/>
      <c r="D2032" s="46"/>
      <c r="E2032" s="46"/>
      <c r="F2032" s="2"/>
      <c r="G2032" s="46"/>
      <c r="H2032" s="2"/>
      <c r="I2032" s="2"/>
      <c r="J2032" s="2"/>
    </row>
    <row r="2033" spans="2:10" x14ac:dyDescent="0.2">
      <c r="B2033" s="2"/>
      <c r="C2033" s="46"/>
      <c r="D2033" s="46"/>
      <c r="E2033" s="46"/>
      <c r="F2033" s="2"/>
      <c r="G2033" s="46"/>
      <c r="H2033" s="2"/>
      <c r="I2033" s="2"/>
      <c r="J2033" s="2"/>
    </row>
    <row r="2034" spans="2:10" x14ac:dyDescent="0.2">
      <c r="B2034" s="2"/>
      <c r="C2034" s="46"/>
      <c r="D2034" s="46"/>
      <c r="E2034" s="46"/>
      <c r="F2034" s="2"/>
      <c r="G2034" s="46"/>
      <c r="H2034" s="2"/>
      <c r="I2034" s="2"/>
      <c r="J2034" s="2"/>
    </row>
    <row r="2035" spans="2:10" x14ac:dyDescent="0.2">
      <c r="B2035" s="2"/>
      <c r="C2035" s="46"/>
      <c r="D2035" s="46"/>
      <c r="E2035" s="46"/>
      <c r="F2035" s="2"/>
      <c r="G2035" s="46"/>
      <c r="H2035" s="2"/>
      <c r="I2035" s="2"/>
      <c r="J2035" s="2"/>
    </row>
    <row r="2036" spans="2:10" x14ac:dyDescent="0.2">
      <c r="B2036" s="2"/>
      <c r="C2036" s="46"/>
      <c r="D2036" s="46"/>
      <c r="E2036" s="46"/>
      <c r="F2036" s="2"/>
      <c r="G2036" s="46"/>
      <c r="H2036" s="2"/>
      <c r="I2036" s="2"/>
      <c r="J2036" s="2"/>
    </row>
    <row r="2037" spans="2:10" x14ac:dyDescent="0.2">
      <c r="B2037" s="2"/>
      <c r="C2037" s="46"/>
      <c r="D2037" s="46"/>
      <c r="E2037" s="46"/>
      <c r="F2037" s="2"/>
      <c r="G2037" s="46"/>
      <c r="H2037" s="2"/>
      <c r="I2037" s="2"/>
      <c r="J2037" s="2"/>
    </row>
    <row r="2038" spans="2:10" x14ac:dyDescent="0.2">
      <c r="B2038" s="2"/>
      <c r="C2038" s="46"/>
      <c r="D2038" s="46"/>
      <c r="E2038" s="46"/>
      <c r="F2038" s="6"/>
      <c r="G2038" s="46"/>
      <c r="H2038" s="2"/>
      <c r="I2038" s="2"/>
      <c r="J2038" s="2"/>
    </row>
    <row r="2039" spans="2:10" x14ac:dyDescent="0.2">
      <c r="B2039" s="2"/>
      <c r="C2039" s="46"/>
      <c r="D2039" s="46"/>
      <c r="E2039" s="46"/>
      <c r="F2039" s="2"/>
      <c r="G2039" s="46"/>
      <c r="H2039" s="2"/>
      <c r="I2039" s="2"/>
      <c r="J2039" s="2"/>
    </row>
    <row r="2040" spans="2:10" x14ac:dyDescent="0.2">
      <c r="B2040" s="2"/>
      <c r="C2040" s="46"/>
      <c r="D2040" s="46"/>
      <c r="E2040" s="46"/>
      <c r="F2040" s="6"/>
      <c r="G2040" s="46"/>
      <c r="H2040" s="2"/>
      <c r="I2040" s="2"/>
      <c r="J2040" s="2"/>
    </row>
    <row r="2041" spans="2:10" x14ac:dyDescent="0.2">
      <c r="B2041" s="2"/>
      <c r="C2041" s="46"/>
      <c r="D2041" s="46"/>
      <c r="E2041" s="46"/>
      <c r="F2041" s="2"/>
      <c r="G2041" s="46"/>
      <c r="H2041" s="2"/>
      <c r="I2041" s="2"/>
      <c r="J2041" s="2"/>
    </row>
    <row r="2042" spans="2:10" x14ac:dyDescent="0.2">
      <c r="B2042" s="2"/>
      <c r="C2042" s="46"/>
      <c r="D2042" s="46"/>
      <c r="E2042" s="46"/>
      <c r="F2042" s="6"/>
      <c r="G2042" s="46"/>
      <c r="H2042" s="2"/>
      <c r="I2042" s="2"/>
      <c r="J2042" s="2"/>
    </row>
    <row r="2043" spans="2:10" x14ac:dyDescent="0.2">
      <c r="B2043" s="2"/>
      <c r="C2043" s="46"/>
      <c r="D2043" s="46"/>
      <c r="E2043" s="46"/>
      <c r="F2043" s="2"/>
      <c r="G2043" s="46"/>
      <c r="H2043" s="2"/>
      <c r="I2043" s="2"/>
      <c r="J2043" s="2"/>
    </row>
    <row r="2044" spans="2:10" x14ac:dyDescent="0.2">
      <c r="B2044" s="2"/>
      <c r="C2044" s="46"/>
      <c r="D2044" s="46"/>
      <c r="E2044" s="46"/>
      <c r="F2044" s="2"/>
      <c r="G2044" s="46"/>
      <c r="H2044" s="2"/>
      <c r="I2044" s="2"/>
      <c r="J2044" s="2"/>
    </row>
    <row r="2045" spans="2:10" x14ac:dyDescent="0.2">
      <c r="B2045" s="2"/>
      <c r="C2045" s="46"/>
      <c r="D2045" s="46"/>
      <c r="E2045" s="46"/>
      <c r="F2045" s="2"/>
      <c r="G2045" s="46"/>
      <c r="H2045" s="2"/>
      <c r="I2045" s="2"/>
      <c r="J2045" s="2"/>
    </row>
    <row r="2046" spans="2:10" x14ac:dyDescent="0.2">
      <c r="B2046" s="2"/>
      <c r="C2046" s="46"/>
      <c r="D2046" s="46"/>
      <c r="E2046" s="46"/>
      <c r="F2046" s="2"/>
      <c r="G2046" s="46"/>
      <c r="H2046" s="2"/>
      <c r="I2046" s="2"/>
      <c r="J2046" s="2"/>
    </row>
    <row r="2047" spans="2:10" x14ac:dyDescent="0.2">
      <c r="B2047" s="2"/>
      <c r="C2047" s="46"/>
      <c r="D2047" s="46"/>
      <c r="E2047" s="46"/>
      <c r="F2047" s="2"/>
      <c r="G2047" s="46"/>
      <c r="H2047" s="2"/>
      <c r="I2047" s="2"/>
      <c r="J2047" s="2"/>
    </row>
    <row r="2048" spans="2:10" x14ac:dyDescent="0.2">
      <c r="B2048" s="2"/>
      <c r="C2048" s="46"/>
      <c r="D2048" s="46"/>
      <c r="E2048" s="46"/>
      <c r="F2048" s="6"/>
      <c r="G2048" s="46"/>
      <c r="H2048" s="2"/>
      <c r="I2048" s="2"/>
      <c r="J2048" s="2"/>
    </row>
    <row r="2049" spans="2:10" x14ac:dyDescent="0.2">
      <c r="B2049" s="2"/>
      <c r="C2049" s="46"/>
      <c r="D2049" s="46"/>
      <c r="E2049" s="46"/>
      <c r="F2049" s="2"/>
      <c r="G2049" s="46"/>
      <c r="H2049" s="2"/>
      <c r="I2049" s="2"/>
      <c r="J2049" s="2"/>
    </row>
    <row r="2050" spans="2:10" x14ac:dyDescent="0.2">
      <c r="B2050" s="2"/>
      <c r="C2050" s="46"/>
      <c r="D2050" s="46"/>
      <c r="E2050" s="46"/>
      <c r="F2050" s="2"/>
      <c r="G2050" s="46"/>
      <c r="H2050" s="2"/>
      <c r="I2050" s="2"/>
      <c r="J2050" s="2"/>
    </row>
    <row r="2051" spans="2:10" x14ac:dyDescent="0.2">
      <c r="B2051" s="2"/>
      <c r="C2051" s="46"/>
      <c r="D2051" s="46"/>
      <c r="E2051" s="46"/>
      <c r="F2051" s="6"/>
      <c r="G2051" s="46"/>
      <c r="H2051" s="2"/>
      <c r="I2051" s="2"/>
      <c r="J2051" s="2"/>
    </row>
    <row r="2052" spans="2:10" x14ac:dyDescent="0.2">
      <c r="B2052" s="2"/>
      <c r="C2052" s="46"/>
      <c r="D2052" s="46"/>
      <c r="E2052" s="46"/>
      <c r="F2052" s="2"/>
      <c r="G2052" s="46"/>
      <c r="H2052" s="2"/>
      <c r="I2052" s="2"/>
      <c r="J2052" s="2"/>
    </row>
    <row r="2053" spans="2:10" x14ac:dyDescent="0.2">
      <c r="B2053" s="2"/>
      <c r="C2053" s="46"/>
      <c r="D2053" s="46"/>
      <c r="E2053" s="46"/>
      <c r="F2053" s="2"/>
      <c r="G2053" s="46"/>
      <c r="H2053" s="2"/>
      <c r="I2053" s="2"/>
      <c r="J2053" s="2"/>
    </row>
    <row r="2054" spans="2:10" x14ac:dyDescent="0.2">
      <c r="B2054" s="2"/>
      <c r="C2054" s="46"/>
      <c r="D2054" s="46"/>
      <c r="E2054" s="46"/>
      <c r="F2054" s="6"/>
      <c r="G2054" s="46"/>
      <c r="H2054" s="2"/>
      <c r="I2054" s="2"/>
      <c r="J2054" s="2"/>
    </row>
    <row r="2055" spans="2:10" x14ac:dyDescent="0.2">
      <c r="B2055" s="2"/>
      <c r="C2055" s="46"/>
      <c r="D2055" s="46"/>
      <c r="E2055" s="46"/>
      <c r="F2055" s="2"/>
      <c r="G2055" s="46"/>
      <c r="H2055" s="2"/>
      <c r="I2055" s="2"/>
      <c r="J2055" s="2"/>
    </row>
    <row r="2056" spans="2:10" x14ac:dyDescent="0.2">
      <c r="B2056" s="2"/>
      <c r="C2056" s="46"/>
      <c r="D2056" s="46"/>
      <c r="E2056" s="46"/>
      <c r="F2056" s="6"/>
      <c r="G2056" s="46"/>
      <c r="H2056" s="2"/>
      <c r="I2056" s="2"/>
      <c r="J2056" s="2"/>
    </row>
    <row r="2057" spans="2:10" x14ac:dyDescent="0.2">
      <c r="B2057" s="2"/>
      <c r="C2057" s="46"/>
      <c r="D2057" s="46"/>
      <c r="E2057" s="46"/>
      <c r="F2057" s="2"/>
      <c r="G2057" s="46"/>
      <c r="H2057" s="2"/>
      <c r="I2057" s="2"/>
      <c r="J2057" s="2"/>
    </row>
    <row r="2058" spans="2:10" x14ac:dyDescent="0.2">
      <c r="B2058" s="2"/>
      <c r="C2058" s="46"/>
      <c r="D2058" s="46"/>
      <c r="E2058" s="46"/>
      <c r="F2058" s="2"/>
      <c r="G2058" s="46"/>
      <c r="H2058" s="2"/>
      <c r="I2058" s="2"/>
      <c r="J2058" s="2"/>
    </row>
    <row r="2059" spans="2:10" x14ac:dyDescent="0.2">
      <c r="B2059" s="2"/>
      <c r="C2059" s="46"/>
      <c r="D2059" s="46"/>
      <c r="E2059" s="46"/>
      <c r="F2059" s="2"/>
      <c r="G2059" s="46"/>
      <c r="H2059" s="2"/>
      <c r="I2059" s="2"/>
      <c r="J2059" s="2"/>
    </row>
    <row r="2060" spans="2:10" x14ac:dyDescent="0.2">
      <c r="B2060" s="2"/>
      <c r="C2060" s="46"/>
      <c r="D2060" s="46"/>
      <c r="E2060" s="46"/>
      <c r="F2060" s="6"/>
      <c r="G2060" s="46"/>
      <c r="H2060" s="2"/>
      <c r="I2060" s="2"/>
      <c r="J2060" s="2"/>
    </row>
    <row r="2061" spans="2:10" x14ac:dyDescent="0.2">
      <c r="B2061" s="2"/>
      <c r="C2061" s="46"/>
      <c r="D2061" s="46"/>
      <c r="E2061" s="46"/>
      <c r="F2061" s="6"/>
      <c r="G2061" s="46"/>
      <c r="H2061" s="2"/>
      <c r="I2061" s="2"/>
      <c r="J2061" s="2"/>
    </row>
    <row r="2062" spans="2:10" x14ac:dyDescent="0.2">
      <c r="B2062" s="2"/>
      <c r="C2062" s="46"/>
      <c r="D2062" s="46"/>
      <c r="E2062" s="46"/>
      <c r="F2062" s="2"/>
      <c r="G2062" s="46"/>
      <c r="H2062" s="2"/>
      <c r="I2062" s="2"/>
      <c r="J2062" s="2"/>
    </row>
    <row r="2063" spans="2:10" x14ac:dyDescent="0.2">
      <c r="B2063" s="2"/>
      <c r="C2063" s="46"/>
      <c r="D2063" s="46"/>
      <c r="E2063" s="46"/>
      <c r="F2063" s="2"/>
      <c r="G2063" s="46"/>
      <c r="H2063" s="2"/>
      <c r="I2063" s="2"/>
      <c r="J2063" s="2"/>
    </row>
    <row r="2064" spans="2:10" x14ac:dyDescent="0.2">
      <c r="B2064" s="2"/>
      <c r="C2064" s="46"/>
      <c r="D2064" s="46"/>
      <c r="E2064" s="46"/>
      <c r="F2064" s="2"/>
      <c r="G2064" s="46"/>
      <c r="H2064" s="2"/>
      <c r="I2064" s="2"/>
      <c r="J2064" s="2"/>
    </row>
    <row r="2065" spans="2:10" x14ac:dyDescent="0.2">
      <c r="B2065" s="2"/>
      <c r="C2065" s="46"/>
      <c r="D2065" s="46"/>
      <c r="E2065" s="46"/>
      <c r="F2065" s="2"/>
      <c r="G2065" s="46"/>
      <c r="H2065" s="2"/>
      <c r="I2065" s="2"/>
      <c r="J2065" s="2"/>
    </row>
    <row r="2066" spans="2:10" x14ac:dyDescent="0.2">
      <c r="B2066" s="2"/>
      <c r="C2066" s="46"/>
      <c r="D2066" s="46"/>
      <c r="E2066" s="46"/>
      <c r="F2066" s="6"/>
      <c r="G2066" s="46"/>
      <c r="H2066" s="2"/>
      <c r="I2066" s="2"/>
      <c r="J2066" s="2"/>
    </row>
    <row r="2067" spans="2:10" x14ac:dyDescent="0.2">
      <c r="B2067" s="2"/>
      <c r="C2067" s="46"/>
      <c r="D2067" s="46"/>
      <c r="E2067" s="46"/>
      <c r="F2067" s="6"/>
      <c r="G2067" s="46"/>
      <c r="H2067" s="2"/>
      <c r="I2067" s="2"/>
      <c r="J2067" s="2"/>
    </row>
    <row r="2068" spans="2:10" x14ac:dyDescent="0.2">
      <c r="B2068" s="2"/>
      <c r="C2068" s="46"/>
      <c r="D2068" s="46"/>
      <c r="E2068" s="46"/>
      <c r="F2068" s="2"/>
      <c r="G2068" s="46"/>
      <c r="H2068" s="2"/>
      <c r="I2068" s="2"/>
      <c r="J2068" s="2"/>
    </row>
    <row r="2069" spans="2:10" x14ac:dyDescent="0.2">
      <c r="B2069" s="2"/>
      <c r="C2069" s="46"/>
      <c r="D2069" s="46"/>
      <c r="E2069" s="46"/>
      <c r="F2069" s="6"/>
      <c r="G2069" s="46"/>
      <c r="H2069" s="2"/>
      <c r="I2069" s="2"/>
      <c r="J2069" s="2"/>
    </row>
    <row r="2070" spans="2:10" x14ac:dyDescent="0.2">
      <c r="B2070" s="2"/>
      <c r="C2070" s="46"/>
      <c r="D2070" s="46"/>
      <c r="E2070" s="46"/>
      <c r="F2070" s="6"/>
      <c r="G2070" s="46"/>
      <c r="H2070" s="2"/>
      <c r="I2070" s="2"/>
      <c r="J2070" s="2"/>
    </row>
    <row r="2071" spans="2:10" x14ac:dyDescent="0.2">
      <c r="B2071" s="2"/>
      <c r="C2071" s="46"/>
      <c r="D2071" s="46"/>
      <c r="E2071" s="46"/>
      <c r="F2071" s="6"/>
      <c r="G2071" s="46"/>
      <c r="H2071" s="2"/>
      <c r="I2071" s="2"/>
      <c r="J2071" s="2"/>
    </row>
    <row r="2072" spans="2:10" x14ac:dyDescent="0.2">
      <c r="B2072" s="2"/>
      <c r="C2072" s="46"/>
      <c r="D2072" s="46"/>
      <c r="E2072" s="46"/>
      <c r="F2072" s="6"/>
      <c r="G2072" s="46"/>
      <c r="H2072" s="2"/>
      <c r="I2072" s="2"/>
      <c r="J2072" s="2"/>
    </row>
    <row r="2073" spans="2:10" x14ac:dyDescent="0.2">
      <c r="B2073" s="2"/>
      <c r="C2073" s="46"/>
      <c r="D2073" s="46"/>
      <c r="E2073" s="46"/>
      <c r="F2073" s="6"/>
      <c r="G2073" s="46"/>
      <c r="H2073" s="2"/>
      <c r="I2073" s="2"/>
      <c r="J2073" s="2"/>
    </row>
    <row r="2074" spans="2:10" x14ac:dyDescent="0.2">
      <c r="B2074" s="2"/>
      <c r="C2074" s="46"/>
      <c r="D2074" s="46"/>
      <c r="E2074" s="46"/>
      <c r="F2074" s="6"/>
      <c r="G2074" s="46"/>
      <c r="H2074" s="2"/>
      <c r="I2074" s="2"/>
      <c r="J2074" s="2"/>
    </row>
    <row r="2075" spans="2:10" x14ac:dyDescent="0.2">
      <c r="B2075" s="2"/>
      <c r="C2075" s="46"/>
      <c r="D2075" s="46"/>
      <c r="E2075" s="46"/>
      <c r="F2075" s="6"/>
      <c r="G2075" s="46"/>
      <c r="H2075" s="2"/>
      <c r="I2075" s="2"/>
      <c r="J2075" s="2"/>
    </row>
    <row r="2076" spans="2:10" x14ac:dyDescent="0.2">
      <c r="B2076" s="2"/>
      <c r="C2076" s="46"/>
      <c r="D2076" s="46"/>
      <c r="E2076" s="46"/>
      <c r="F2076" s="2"/>
      <c r="G2076" s="46"/>
      <c r="H2076" s="2"/>
      <c r="I2076" s="2"/>
      <c r="J2076" s="2"/>
    </row>
    <row r="2077" spans="2:10" x14ac:dyDescent="0.2">
      <c r="B2077" s="2"/>
      <c r="C2077" s="46"/>
      <c r="D2077" s="46"/>
      <c r="E2077" s="46"/>
      <c r="F2077" s="2"/>
      <c r="G2077" s="46"/>
      <c r="H2077" s="2"/>
      <c r="I2077" s="2"/>
      <c r="J2077" s="2"/>
    </row>
    <row r="2078" spans="2:10" x14ac:dyDescent="0.2">
      <c r="B2078" s="2"/>
      <c r="C2078" s="46"/>
      <c r="D2078" s="46"/>
      <c r="E2078" s="46"/>
      <c r="F2078" s="2"/>
      <c r="G2078" s="46"/>
      <c r="H2078" s="2"/>
      <c r="I2078" s="2"/>
      <c r="J2078" s="2"/>
    </row>
    <row r="2079" spans="2:10" x14ac:dyDescent="0.2">
      <c r="B2079" s="2"/>
      <c r="C2079" s="46"/>
      <c r="D2079" s="46"/>
      <c r="E2079" s="46"/>
      <c r="F2079" s="6"/>
      <c r="G2079" s="46"/>
      <c r="H2079" s="2"/>
      <c r="I2079" s="2"/>
      <c r="J2079" s="2"/>
    </row>
    <row r="2080" spans="2:10" x14ac:dyDescent="0.2">
      <c r="B2080" s="2"/>
      <c r="C2080" s="46"/>
      <c r="D2080" s="46"/>
      <c r="E2080" s="46"/>
      <c r="F2080" s="2"/>
      <c r="G2080" s="46"/>
      <c r="H2080" s="2"/>
      <c r="I2080" s="2"/>
      <c r="J2080" s="2"/>
    </row>
    <row r="2081" spans="2:10" x14ac:dyDescent="0.2">
      <c r="B2081" s="2"/>
      <c r="C2081" s="46"/>
      <c r="D2081" s="46"/>
      <c r="E2081" s="46"/>
      <c r="F2081" s="2"/>
      <c r="G2081" s="46"/>
      <c r="H2081" s="2"/>
      <c r="I2081" s="2"/>
      <c r="J2081" s="2"/>
    </row>
    <row r="2082" spans="2:10" x14ac:dyDescent="0.2">
      <c r="B2082" s="2"/>
      <c r="C2082" s="46"/>
      <c r="D2082" s="46"/>
      <c r="E2082" s="46"/>
      <c r="F2082" s="6"/>
      <c r="G2082" s="46"/>
      <c r="H2082" s="2"/>
      <c r="I2082" s="2"/>
      <c r="J2082" s="2"/>
    </row>
    <row r="2083" spans="2:10" x14ac:dyDescent="0.2">
      <c r="B2083" s="2"/>
      <c r="C2083" s="46"/>
      <c r="D2083" s="46"/>
      <c r="E2083" s="46"/>
      <c r="F2083" s="6"/>
      <c r="G2083" s="46"/>
      <c r="H2083" s="2"/>
      <c r="I2083" s="2"/>
      <c r="J2083" s="2"/>
    </row>
    <row r="2084" spans="2:10" x14ac:dyDescent="0.2">
      <c r="B2084" s="2"/>
      <c r="C2084" s="46"/>
      <c r="D2084" s="46"/>
      <c r="E2084" s="46"/>
      <c r="F2084" s="2"/>
      <c r="G2084" s="46"/>
      <c r="H2084" s="2"/>
      <c r="I2084" s="2"/>
      <c r="J2084" s="2"/>
    </row>
    <row r="2085" spans="2:10" x14ac:dyDescent="0.2">
      <c r="B2085" s="2"/>
      <c r="C2085" s="46"/>
      <c r="D2085" s="46"/>
      <c r="E2085" s="46"/>
      <c r="F2085" s="6"/>
      <c r="G2085" s="46"/>
      <c r="H2085" s="2"/>
      <c r="I2085" s="2"/>
      <c r="J2085" s="2"/>
    </row>
    <row r="2086" spans="2:10" x14ac:dyDescent="0.2">
      <c r="B2086" s="2"/>
      <c r="C2086" s="46"/>
      <c r="D2086" s="46"/>
      <c r="E2086" s="46"/>
      <c r="F2086" s="2"/>
      <c r="G2086" s="46"/>
      <c r="H2086" s="2"/>
      <c r="I2086" s="2"/>
      <c r="J2086" s="2"/>
    </row>
    <row r="2087" spans="2:10" x14ac:dyDescent="0.2">
      <c r="B2087" s="2"/>
      <c r="C2087" s="46"/>
      <c r="D2087" s="46"/>
      <c r="E2087" s="46"/>
      <c r="F2087" s="2"/>
      <c r="G2087" s="46"/>
      <c r="H2087" s="2"/>
      <c r="I2087" s="2"/>
      <c r="J2087" s="2"/>
    </row>
    <row r="2088" spans="2:10" x14ac:dyDescent="0.2">
      <c r="B2088" s="2"/>
      <c r="C2088" s="46"/>
      <c r="D2088" s="46"/>
      <c r="E2088" s="46"/>
      <c r="F2088" s="2"/>
      <c r="G2088" s="46"/>
      <c r="H2088" s="2"/>
      <c r="I2088" s="2"/>
      <c r="J2088" s="2"/>
    </row>
    <row r="2089" spans="2:10" x14ac:dyDescent="0.2">
      <c r="B2089" s="2"/>
      <c r="C2089" s="46"/>
      <c r="D2089" s="46"/>
      <c r="E2089" s="46"/>
      <c r="F2089" s="6"/>
      <c r="G2089" s="46"/>
      <c r="H2089" s="2"/>
      <c r="I2089" s="2"/>
      <c r="J2089" s="2"/>
    </row>
    <row r="2090" spans="2:10" x14ac:dyDescent="0.2">
      <c r="B2090" s="2"/>
      <c r="C2090" s="46"/>
      <c r="D2090" s="46"/>
      <c r="E2090" s="46"/>
      <c r="F2090" s="6"/>
      <c r="G2090" s="46"/>
      <c r="H2090" s="2"/>
      <c r="I2090" s="2"/>
      <c r="J2090" s="2"/>
    </row>
    <row r="2091" spans="2:10" x14ac:dyDescent="0.2">
      <c r="B2091" s="2"/>
      <c r="C2091" s="46"/>
      <c r="D2091" s="46"/>
      <c r="E2091" s="46"/>
      <c r="F2091" s="2"/>
      <c r="G2091" s="46"/>
      <c r="H2091" s="2"/>
      <c r="I2091" s="2"/>
      <c r="J2091" s="2"/>
    </row>
    <row r="2092" spans="2:10" x14ac:dyDescent="0.2">
      <c r="B2092" s="2"/>
      <c r="C2092" s="46"/>
      <c r="D2092" s="46"/>
      <c r="E2092" s="46"/>
      <c r="F2092" s="2"/>
      <c r="G2092" s="46"/>
      <c r="H2092" s="2"/>
      <c r="I2092" s="2"/>
      <c r="J2092" s="2"/>
    </row>
    <row r="2093" spans="2:10" x14ac:dyDescent="0.2">
      <c r="B2093" s="2"/>
      <c r="C2093" s="46"/>
      <c r="D2093" s="46"/>
      <c r="E2093" s="46"/>
      <c r="F2093" s="2"/>
      <c r="G2093" s="46"/>
      <c r="H2093" s="2"/>
      <c r="I2093" s="2"/>
      <c r="J2093" s="2"/>
    </row>
    <row r="2094" spans="2:10" x14ac:dyDescent="0.2">
      <c r="B2094" s="2"/>
      <c r="C2094" s="46"/>
      <c r="D2094" s="46"/>
      <c r="E2094" s="46"/>
      <c r="F2094" s="6"/>
      <c r="G2094" s="46"/>
      <c r="H2094" s="2"/>
      <c r="I2094" s="2"/>
      <c r="J2094" s="2"/>
    </row>
    <row r="2095" spans="2:10" x14ac:dyDescent="0.2">
      <c r="B2095" s="2"/>
      <c r="C2095" s="46"/>
      <c r="D2095" s="46"/>
      <c r="E2095" s="46"/>
      <c r="F2095" s="2"/>
      <c r="G2095" s="46"/>
      <c r="H2095" s="2"/>
      <c r="I2095" s="2"/>
      <c r="J2095" s="2"/>
    </row>
    <row r="2096" spans="2:10" x14ac:dyDescent="0.2">
      <c r="B2096" s="2"/>
      <c r="C2096" s="46"/>
      <c r="D2096" s="46"/>
      <c r="E2096" s="46"/>
      <c r="F2096" s="2"/>
      <c r="G2096" s="46"/>
      <c r="H2096" s="2"/>
      <c r="I2096" s="2"/>
      <c r="J2096" s="2"/>
    </row>
    <row r="2097" spans="2:10" x14ac:dyDescent="0.2">
      <c r="B2097" s="2"/>
      <c r="C2097" s="46"/>
      <c r="D2097" s="46"/>
      <c r="E2097" s="46"/>
      <c r="F2097" s="2"/>
      <c r="G2097" s="46"/>
      <c r="H2097" s="2"/>
      <c r="I2097" s="2"/>
      <c r="J2097" s="2"/>
    </row>
    <row r="2098" spans="2:10" x14ac:dyDescent="0.2">
      <c r="B2098" s="2"/>
      <c r="C2098" s="46"/>
      <c r="D2098" s="46"/>
      <c r="E2098" s="46"/>
      <c r="F2098" s="2"/>
      <c r="G2098" s="46"/>
      <c r="H2098" s="2"/>
      <c r="I2098" s="2"/>
      <c r="J2098" s="2"/>
    </row>
    <row r="2099" spans="2:10" x14ac:dyDescent="0.2">
      <c r="B2099" s="2"/>
      <c r="C2099" s="46"/>
      <c r="D2099" s="46"/>
      <c r="E2099" s="46"/>
      <c r="F2099" s="6"/>
      <c r="G2099" s="46"/>
      <c r="H2099" s="2"/>
      <c r="I2099" s="2"/>
      <c r="J2099" s="2"/>
    </row>
    <row r="2100" spans="2:10" x14ac:dyDescent="0.2">
      <c r="B2100" s="2"/>
      <c r="C2100" s="46"/>
      <c r="D2100" s="46"/>
      <c r="E2100" s="46"/>
      <c r="F2100" s="2"/>
      <c r="G2100" s="46"/>
      <c r="H2100" s="2"/>
      <c r="I2100" s="2"/>
      <c r="J2100" s="2"/>
    </row>
    <row r="2101" spans="2:10" x14ac:dyDescent="0.2">
      <c r="B2101" s="2"/>
      <c r="C2101" s="46"/>
      <c r="D2101" s="46"/>
      <c r="E2101" s="46"/>
      <c r="F2101" s="6"/>
      <c r="G2101" s="46"/>
      <c r="H2101" s="2"/>
      <c r="I2101" s="2"/>
      <c r="J2101" s="2"/>
    </row>
    <row r="2102" spans="2:10" x14ac:dyDescent="0.2">
      <c r="B2102" s="2"/>
      <c r="C2102" s="46"/>
      <c r="D2102" s="46"/>
      <c r="E2102" s="46"/>
      <c r="F2102" s="2"/>
      <c r="G2102" s="46"/>
      <c r="H2102" s="2"/>
      <c r="I2102" s="2"/>
      <c r="J2102" s="2"/>
    </row>
    <row r="2103" spans="2:10" x14ac:dyDescent="0.2">
      <c r="B2103" s="2"/>
      <c r="C2103" s="46"/>
      <c r="D2103" s="46"/>
      <c r="E2103" s="46"/>
      <c r="F2103" s="2"/>
      <c r="G2103" s="46"/>
      <c r="H2103" s="2"/>
      <c r="I2103" s="2"/>
      <c r="J2103" s="2"/>
    </row>
    <row r="2104" spans="2:10" x14ac:dyDescent="0.2">
      <c r="B2104" s="2"/>
      <c r="C2104" s="46"/>
      <c r="D2104" s="46"/>
      <c r="E2104" s="46"/>
      <c r="F2104" s="2"/>
      <c r="G2104" s="46"/>
      <c r="H2104" s="2"/>
      <c r="I2104" s="2"/>
      <c r="J2104" s="2"/>
    </row>
    <row r="2105" spans="2:10" x14ac:dyDescent="0.2">
      <c r="B2105" s="2"/>
      <c r="C2105" s="46"/>
      <c r="D2105" s="46"/>
      <c r="E2105" s="46"/>
      <c r="F2105" s="2"/>
      <c r="G2105" s="46"/>
      <c r="H2105" s="2"/>
      <c r="I2105" s="2"/>
      <c r="J2105" s="2"/>
    </row>
    <row r="2106" spans="2:10" x14ac:dyDescent="0.2">
      <c r="B2106" s="2"/>
      <c r="C2106" s="46"/>
      <c r="D2106" s="46"/>
      <c r="E2106" s="46"/>
      <c r="F2106" s="6"/>
      <c r="G2106" s="46"/>
      <c r="H2106" s="2"/>
      <c r="I2106" s="2"/>
      <c r="J2106" s="2"/>
    </row>
    <row r="2107" spans="2:10" x14ac:dyDescent="0.2">
      <c r="B2107" s="2"/>
      <c r="C2107" s="46"/>
      <c r="D2107" s="46"/>
      <c r="E2107" s="46"/>
      <c r="F2107" s="6"/>
      <c r="G2107" s="46"/>
      <c r="H2107" s="2"/>
      <c r="I2107" s="2"/>
      <c r="J2107" s="2"/>
    </row>
    <row r="2108" spans="2:10" x14ac:dyDescent="0.2">
      <c r="B2108" s="2"/>
      <c r="C2108" s="46"/>
      <c r="D2108" s="46"/>
      <c r="E2108" s="46"/>
      <c r="F2108" s="6"/>
      <c r="G2108" s="46"/>
      <c r="H2108" s="2"/>
      <c r="I2108" s="2"/>
      <c r="J2108" s="2"/>
    </row>
    <row r="2109" spans="2:10" x14ac:dyDescent="0.2">
      <c r="B2109" s="2"/>
      <c r="C2109" s="46"/>
      <c r="D2109" s="46"/>
      <c r="E2109" s="46"/>
      <c r="F2109" s="2"/>
      <c r="G2109" s="46"/>
      <c r="H2109" s="2"/>
      <c r="I2109" s="2"/>
      <c r="J2109" s="2"/>
    </row>
    <row r="2110" spans="2:10" x14ac:dyDescent="0.2">
      <c r="B2110" s="2"/>
      <c r="C2110" s="46"/>
      <c r="D2110" s="46"/>
      <c r="E2110" s="46"/>
      <c r="F2110" s="2"/>
      <c r="G2110" s="46"/>
      <c r="H2110" s="2"/>
      <c r="I2110" s="2"/>
      <c r="J2110" s="2"/>
    </row>
    <row r="2111" spans="2:10" x14ac:dyDescent="0.2">
      <c r="B2111" s="2"/>
      <c r="C2111" s="46"/>
      <c r="D2111" s="46"/>
      <c r="E2111" s="46"/>
      <c r="F2111" s="6"/>
      <c r="G2111" s="46"/>
      <c r="H2111" s="2"/>
      <c r="I2111" s="2"/>
      <c r="J2111" s="2"/>
    </row>
    <row r="2112" spans="2:10" x14ac:dyDescent="0.2">
      <c r="B2112" s="2"/>
      <c r="C2112" s="46"/>
      <c r="D2112" s="46"/>
      <c r="E2112" s="46"/>
      <c r="F2112" s="2"/>
      <c r="G2112" s="46"/>
      <c r="H2112" s="2"/>
      <c r="I2112" s="2"/>
      <c r="J2112" s="2"/>
    </row>
    <row r="2113" spans="2:10" x14ac:dyDescent="0.2">
      <c r="B2113" s="2"/>
      <c r="C2113" s="46"/>
      <c r="D2113" s="46"/>
      <c r="E2113" s="46"/>
      <c r="F2113" s="2"/>
      <c r="G2113" s="46"/>
      <c r="H2113" s="2"/>
      <c r="I2113" s="2"/>
      <c r="J2113" s="2"/>
    </row>
    <row r="2114" spans="2:10" x14ac:dyDescent="0.2">
      <c r="B2114" s="2"/>
      <c r="C2114" s="46"/>
      <c r="D2114" s="46"/>
      <c r="E2114" s="46"/>
      <c r="F2114" s="2"/>
      <c r="G2114" s="46"/>
      <c r="H2114" s="2"/>
      <c r="I2114" s="2"/>
      <c r="J2114" s="2"/>
    </row>
    <row r="2115" spans="2:10" x14ac:dyDescent="0.2">
      <c r="B2115" s="2"/>
      <c r="C2115" s="46"/>
      <c r="D2115" s="46"/>
      <c r="E2115" s="46"/>
      <c r="F2115" s="2"/>
      <c r="G2115" s="46"/>
      <c r="H2115" s="2"/>
      <c r="I2115" s="2"/>
      <c r="J2115" s="2"/>
    </row>
    <row r="2116" spans="2:10" x14ac:dyDescent="0.2">
      <c r="B2116" s="2"/>
      <c r="C2116" s="46"/>
      <c r="D2116" s="46"/>
      <c r="E2116" s="46"/>
      <c r="F2116" s="6"/>
      <c r="G2116" s="46"/>
      <c r="H2116" s="2"/>
      <c r="I2116" s="2"/>
      <c r="J2116" s="2"/>
    </row>
    <row r="2117" spans="2:10" x14ac:dyDescent="0.2">
      <c r="B2117" s="2"/>
      <c r="C2117" s="46"/>
      <c r="D2117" s="46"/>
      <c r="E2117" s="46"/>
      <c r="F2117" s="2"/>
      <c r="G2117" s="46"/>
      <c r="H2117" s="2"/>
      <c r="I2117" s="2"/>
      <c r="J2117" s="2"/>
    </row>
    <row r="2118" spans="2:10" x14ac:dyDescent="0.2">
      <c r="B2118" s="2"/>
      <c r="C2118" s="46"/>
      <c r="D2118" s="46"/>
      <c r="E2118" s="46"/>
      <c r="F2118" s="2"/>
      <c r="G2118" s="46"/>
      <c r="H2118" s="2"/>
      <c r="I2118" s="2"/>
      <c r="J2118" s="2"/>
    </row>
    <row r="2119" spans="2:10" x14ac:dyDescent="0.2">
      <c r="B2119" s="2"/>
      <c r="C2119" s="46"/>
      <c r="D2119" s="46"/>
      <c r="E2119" s="46"/>
      <c r="F2119" s="6"/>
      <c r="G2119" s="46"/>
      <c r="H2119" s="2"/>
      <c r="I2119" s="2"/>
      <c r="J2119" s="2"/>
    </row>
    <row r="2120" spans="2:10" x14ac:dyDescent="0.2">
      <c r="B2120" s="2"/>
      <c r="C2120" s="46"/>
      <c r="D2120" s="46"/>
      <c r="E2120" s="46"/>
      <c r="F2120" s="2"/>
      <c r="G2120" s="46"/>
      <c r="H2120" s="2"/>
      <c r="I2120" s="2"/>
      <c r="J2120" s="2"/>
    </row>
    <row r="2121" spans="2:10" x14ac:dyDescent="0.2">
      <c r="B2121" s="2"/>
      <c r="C2121" s="46"/>
      <c r="D2121" s="46"/>
      <c r="E2121" s="46"/>
      <c r="F2121" s="2"/>
      <c r="G2121" s="46"/>
      <c r="H2121" s="2"/>
      <c r="I2121" s="2"/>
      <c r="J2121" s="2"/>
    </row>
    <row r="2122" spans="2:10" x14ac:dyDescent="0.2">
      <c r="B2122" s="2"/>
      <c r="C2122" s="46"/>
      <c r="D2122" s="46"/>
      <c r="E2122" s="46"/>
      <c r="F2122" s="2"/>
      <c r="G2122" s="46"/>
      <c r="H2122" s="2"/>
      <c r="I2122" s="2"/>
      <c r="J2122" s="2"/>
    </row>
    <row r="2123" spans="2:10" x14ac:dyDescent="0.2">
      <c r="B2123" s="2"/>
      <c r="C2123" s="46"/>
      <c r="D2123" s="46"/>
      <c r="E2123" s="46"/>
      <c r="F2123" s="2"/>
      <c r="G2123" s="46"/>
      <c r="H2123" s="2"/>
      <c r="I2123" s="2"/>
      <c r="J2123" s="2"/>
    </row>
    <row r="2124" spans="2:10" x14ac:dyDescent="0.2">
      <c r="B2124" s="2"/>
      <c r="C2124" s="46"/>
      <c r="D2124" s="46"/>
      <c r="E2124" s="46"/>
      <c r="F2124" s="2"/>
      <c r="G2124" s="46"/>
      <c r="H2124" s="2"/>
      <c r="I2124" s="2"/>
      <c r="J2124" s="2"/>
    </row>
    <row r="2125" spans="2:10" x14ac:dyDescent="0.2">
      <c r="B2125" s="2"/>
      <c r="C2125" s="46"/>
      <c r="D2125" s="46"/>
      <c r="E2125" s="46"/>
      <c r="F2125" s="2"/>
      <c r="G2125" s="46"/>
      <c r="H2125" s="2"/>
      <c r="I2125" s="2"/>
      <c r="J2125" s="2"/>
    </row>
    <row r="2126" spans="2:10" x14ac:dyDescent="0.2">
      <c r="B2126" s="2"/>
      <c r="C2126" s="46"/>
      <c r="D2126" s="46"/>
      <c r="E2126" s="46"/>
      <c r="F2126" s="2"/>
      <c r="G2126" s="46"/>
      <c r="H2126" s="2"/>
      <c r="I2126" s="2"/>
      <c r="J2126" s="2"/>
    </row>
    <row r="2127" spans="2:10" x14ac:dyDescent="0.2">
      <c r="B2127" s="2"/>
      <c r="C2127" s="46"/>
      <c r="D2127" s="46"/>
      <c r="E2127" s="46"/>
      <c r="F2127" s="2"/>
      <c r="G2127" s="46"/>
      <c r="H2127" s="2"/>
      <c r="I2127" s="2"/>
      <c r="J2127" s="2"/>
    </row>
    <row r="2128" spans="2:10" x14ac:dyDescent="0.2">
      <c r="B2128" s="2"/>
      <c r="C2128" s="46"/>
      <c r="D2128" s="46"/>
      <c r="E2128" s="46"/>
      <c r="F2128" s="2"/>
      <c r="G2128" s="46"/>
      <c r="H2128" s="2"/>
      <c r="I2128" s="2"/>
      <c r="J2128" s="2"/>
    </row>
    <row r="2129" spans="2:10" x14ac:dyDescent="0.2">
      <c r="B2129" s="2"/>
      <c r="C2129" s="46"/>
      <c r="D2129" s="46"/>
      <c r="E2129" s="46"/>
      <c r="F2129" s="2"/>
      <c r="G2129" s="46"/>
      <c r="H2129" s="2"/>
      <c r="I2129" s="2"/>
      <c r="J2129" s="2"/>
    </row>
    <row r="2130" spans="2:10" x14ac:dyDescent="0.2">
      <c r="B2130" s="2"/>
      <c r="C2130" s="46"/>
      <c r="D2130" s="46"/>
      <c r="E2130" s="46"/>
      <c r="F2130" s="2"/>
      <c r="G2130" s="46"/>
      <c r="H2130" s="2"/>
      <c r="I2130" s="2"/>
      <c r="J2130" s="2"/>
    </row>
    <row r="2131" spans="2:10" x14ac:dyDescent="0.2">
      <c r="B2131" s="2"/>
      <c r="C2131" s="46"/>
      <c r="D2131" s="46"/>
      <c r="E2131" s="46"/>
      <c r="F2131" s="2"/>
      <c r="G2131" s="46"/>
      <c r="H2131" s="2"/>
      <c r="I2131" s="2"/>
      <c r="J2131" s="2"/>
    </row>
    <row r="2132" spans="2:10" x14ac:dyDescent="0.2">
      <c r="B2132" s="2"/>
      <c r="C2132" s="46"/>
      <c r="D2132" s="46"/>
      <c r="E2132" s="46"/>
      <c r="F2132" s="2"/>
      <c r="G2132" s="46"/>
      <c r="H2132" s="2"/>
      <c r="I2132" s="2"/>
      <c r="J2132" s="2"/>
    </row>
    <row r="2133" spans="2:10" x14ac:dyDescent="0.2">
      <c r="B2133" s="2"/>
      <c r="C2133" s="46"/>
      <c r="D2133" s="46"/>
      <c r="E2133" s="46"/>
      <c r="F2133" s="6"/>
      <c r="G2133" s="46"/>
      <c r="H2133" s="2"/>
      <c r="I2133" s="2"/>
      <c r="J2133" s="2"/>
    </row>
    <row r="2134" spans="2:10" x14ac:dyDescent="0.2">
      <c r="B2134" s="2"/>
      <c r="C2134" s="46"/>
      <c r="D2134" s="46"/>
      <c r="E2134" s="46"/>
      <c r="F2134" s="6"/>
      <c r="G2134" s="46"/>
      <c r="H2134" s="2"/>
      <c r="I2134" s="2"/>
      <c r="J2134" s="2"/>
    </row>
    <row r="2135" spans="2:10" x14ac:dyDescent="0.2">
      <c r="B2135" s="2"/>
      <c r="C2135" s="46"/>
      <c r="D2135" s="46"/>
      <c r="E2135" s="46"/>
      <c r="F2135" s="6"/>
      <c r="G2135" s="46"/>
      <c r="H2135" s="2"/>
      <c r="I2135" s="2"/>
      <c r="J2135" s="2"/>
    </row>
    <row r="2136" spans="2:10" x14ac:dyDescent="0.2">
      <c r="B2136" s="2"/>
      <c r="C2136" s="46"/>
      <c r="D2136" s="46"/>
      <c r="E2136" s="46"/>
      <c r="F2136" s="2"/>
      <c r="G2136" s="46"/>
      <c r="H2136" s="2"/>
      <c r="I2136" s="2"/>
      <c r="J2136" s="2"/>
    </row>
    <row r="2137" spans="2:10" x14ac:dyDescent="0.2">
      <c r="B2137" s="2"/>
      <c r="C2137" s="46"/>
      <c r="D2137" s="46"/>
      <c r="E2137" s="46"/>
      <c r="F2137" s="2"/>
      <c r="G2137" s="46"/>
      <c r="H2137" s="2"/>
      <c r="I2137" s="2"/>
      <c r="J2137" s="2"/>
    </row>
    <row r="2138" spans="2:10" x14ac:dyDescent="0.2">
      <c r="B2138" s="2"/>
      <c r="C2138" s="46"/>
      <c r="D2138" s="46"/>
      <c r="E2138" s="46"/>
      <c r="F2138" s="2"/>
      <c r="G2138" s="46"/>
      <c r="H2138" s="2"/>
      <c r="I2138" s="2"/>
      <c r="J2138" s="2"/>
    </row>
    <row r="2139" spans="2:10" x14ac:dyDescent="0.2">
      <c r="B2139" s="2"/>
      <c r="C2139" s="46"/>
      <c r="D2139" s="46"/>
      <c r="E2139" s="46"/>
      <c r="F2139" s="2"/>
      <c r="G2139" s="46"/>
      <c r="H2139" s="2"/>
      <c r="I2139" s="2"/>
      <c r="J2139" s="2"/>
    </row>
    <row r="2140" spans="2:10" x14ac:dyDescent="0.2">
      <c r="B2140" s="2"/>
      <c r="C2140" s="46"/>
      <c r="D2140" s="46"/>
      <c r="E2140" s="46"/>
      <c r="F2140" s="2"/>
      <c r="G2140" s="46"/>
      <c r="H2140" s="2"/>
      <c r="I2140" s="2"/>
      <c r="J2140" s="2"/>
    </row>
    <row r="2141" spans="2:10" x14ac:dyDescent="0.2">
      <c r="B2141" s="2"/>
      <c r="C2141" s="46"/>
      <c r="D2141" s="46"/>
      <c r="E2141" s="46"/>
      <c r="F2141" s="2"/>
      <c r="G2141" s="46"/>
      <c r="H2141" s="2"/>
      <c r="I2141" s="2"/>
      <c r="J2141" s="2"/>
    </row>
    <row r="2142" spans="2:10" x14ac:dyDescent="0.2">
      <c r="B2142" s="2"/>
      <c r="C2142" s="46"/>
      <c r="D2142" s="46"/>
      <c r="E2142" s="46"/>
      <c r="F2142" s="2"/>
      <c r="G2142" s="46"/>
      <c r="H2142" s="2"/>
      <c r="I2142" s="2"/>
      <c r="J2142" s="2"/>
    </row>
    <row r="2143" spans="2:10" x14ac:dyDescent="0.2">
      <c r="B2143" s="2"/>
      <c r="C2143" s="46"/>
      <c r="D2143" s="46"/>
      <c r="E2143" s="46"/>
      <c r="F2143" s="2"/>
      <c r="G2143" s="46"/>
      <c r="H2143" s="2"/>
      <c r="I2143" s="2"/>
      <c r="J2143" s="2"/>
    </row>
    <row r="2144" spans="2:10" x14ac:dyDescent="0.2">
      <c r="B2144" s="2"/>
      <c r="C2144" s="46"/>
      <c r="D2144" s="46"/>
      <c r="E2144" s="46"/>
      <c r="F2144" s="2"/>
      <c r="G2144" s="46"/>
      <c r="H2144" s="2"/>
      <c r="I2144" s="2"/>
      <c r="J2144" s="2"/>
    </row>
    <row r="2145" spans="2:10" x14ac:dyDescent="0.2">
      <c r="B2145" s="2"/>
      <c r="C2145" s="46"/>
      <c r="D2145" s="46"/>
      <c r="E2145" s="46"/>
      <c r="F2145" s="2"/>
      <c r="G2145" s="46"/>
      <c r="H2145" s="2"/>
      <c r="I2145" s="2"/>
      <c r="J2145" s="2"/>
    </row>
    <row r="2146" spans="2:10" x14ac:dyDescent="0.2">
      <c r="B2146" s="2"/>
      <c r="C2146" s="46"/>
      <c r="D2146" s="46"/>
      <c r="E2146" s="46"/>
      <c r="F2146" s="6"/>
      <c r="G2146" s="46"/>
      <c r="H2146" s="2"/>
      <c r="I2146" s="2"/>
      <c r="J2146" s="2"/>
    </row>
    <row r="2147" spans="2:10" x14ac:dyDescent="0.2">
      <c r="B2147" s="2"/>
      <c r="C2147" s="46"/>
      <c r="D2147" s="46"/>
      <c r="E2147" s="46"/>
      <c r="F2147" s="2"/>
      <c r="G2147" s="46"/>
      <c r="H2147" s="2"/>
      <c r="I2147" s="2"/>
      <c r="J2147" s="2"/>
    </row>
    <row r="2148" spans="2:10" x14ac:dyDescent="0.2">
      <c r="B2148" s="2"/>
      <c r="C2148" s="46"/>
      <c r="D2148" s="46"/>
      <c r="E2148" s="46"/>
      <c r="F2148" s="6"/>
      <c r="G2148" s="46"/>
      <c r="H2148" s="2"/>
      <c r="I2148" s="2"/>
      <c r="J2148" s="2"/>
    </row>
    <row r="2149" spans="2:10" x14ac:dyDescent="0.2">
      <c r="B2149" s="2"/>
      <c r="C2149" s="46"/>
      <c r="D2149" s="46"/>
      <c r="E2149" s="46"/>
      <c r="F2149" s="2"/>
      <c r="G2149" s="46"/>
      <c r="H2149" s="2"/>
      <c r="I2149" s="2"/>
      <c r="J2149" s="2"/>
    </row>
    <row r="2150" spans="2:10" x14ac:dyDescent="0.2">
      <c r="B2150" s="2"/>
      <c r="C2150" s="46"/>
      <c r="D2150" s="46"/>
      <c r="E2150" s="46"/>
      <c r="F2150" s="2"/>
      <c r="G2150" s="46"/>
      <c r="H2150" s="2"/>
      <c r="I2150" s="2"/>
      <c r="J2150" s="2"/>
    </row>
    <row r="2151" spans="2:10" x14ac:dyDescent="0.2">
      <c r="B2151" s="2"/>
      <c r="C2151" s="46"/>
      <c r="D2151" s="46"/>
      <c r="E2151" s="46"/>
      <c r="F2151" s="2"/>
      <c r="G2151" s="46"/>
      <c r="H2151" s="2"/>
      <c r="I2151" s="2"/>
      <c r="J2151" s="2"/>
    </row>
    <row r="2152" spans="2:10" x14ac:dyDescent="0.2">
      <c r="B2152" s="2"/>
      <c r="C2152" s="46"/>
      <c r="D2152" s="46"/>
      <c r="E2152" s="46"/>
      <c r="F2152" s="2"/>
      <c r="G2152" s="46"/>
      <c r="H2152" s="2"/>
      <c r="I2152" s="2"/>
      <c r="J2152" s="2"/>
    </row>
    <row r="2153" spans="2:10" x14ac:dyDescent="0.2">
      <c r="B2153" s="2"/>
      <c r="C2153" s="46"/>
      <c r="D2153" s="46"/>
      <c r="E2153" s="46"/>
      <c r="F2153" s="2"/>
      <c r="G2153" s="46"/>
      <c r="H2153" s="2"/>
      <c r="I2153" s="2"/>
      <c r="J2153" s="2"/>
    </row>
    <row r="2154" spans="2:10" x14ac:dyDescent="0.2">
      <c r="B2154" s="2"/>
      <c r="C2154" s="46"/>
      <c r="D2154" s="46"/>
      <c r="E2154" s="46"/>
      <c r="F2154" s="2"/>
      <c r="G2154" s="46"/>
      <c r="H2154" s="2"/>
      <c r="I2154" s="2"/>
      <c r="J2154" s="2"/>
    </row>
    <row r="2155" spans="2:10" x14ac:dyDescent="0.2">
      <c r="B2155" s="2"/>
      <c r="C2155" s="46"/>
      <c r="D2155" s="46"/>
      <c r="E2155" s="46"/>
      <c r="F2155" s="6"/>
      <c r="G2155" s="46"/>
      <c r="H2155" s="2"/>
      <c r="I2155" s="2"/>
      <c r="J2155" s="2"/>
    </row>
    <row r="2156" spans="2:10" x14ac:dyDescent="0.2">
      <c r="B2156" s="2"/>
      <c r="C2156" s="46"/>
      <c r="D2156" s="46"/>
      <c r="E2156" s="46"/>
      <c r="F2156" s="2"/>
      <c r="G2156" s="46"/>
      <c r="H2156" s="2"/>
      <c r="I2156" s="2"/>
      <c r="J2156" s="2"/>
    </row>
    <row r="2157" spans="2:10" x14ac:dyDescent="0.2">
      <c r="B2157" s="2"/>
      <c r="C2157" s="46"/>
      <c r="D2157" s="46"/>
      <c r="E2157" s="46"/>
      <c r="F2157" s="2"/>
      <c r="G2157" s="46"/>
      <c r="H2157" s="2"/>
      <c r="I2157" s="2"/>
      <c r="J2157" s="2"/>
    </row>
    <row r="2158" spans="2:10" x14ac:dyDescent="0.2">
      <c r="B2158" s="2"/>
      <c r="C2158" s="46"/>
      <c r="D2158" s="46"/>
      <c r="E2158" s="46"/>
      <c r="F2158" s="2"/>
      <c r="G2158" s="46"/>
      <c r="H2158" s="2"/>
      <c r="I2158" s="2"/>
      <c r="J2158" s="2"/>
    </row>
    <row r="2159" spans="2:10" x14ac:dyDescent="0.2">
      <c r="B2159" s="2"/>
      <c r="C2159" s="46"/>
      <c r="D2159" s="46"/>
      <c r="E2159" s="46"/>
      <c r="F2159" s="2"/>
      <c r="G2159" s="46"/>
      <c r="H2159" s="2"/>
      <c r="I2159" s="2"/>
      <c r="J2159" s="2"/>
    </row>
    <row r="2160" spans="2:10" x14ac:dyDescent="0.2">
      <c r="B2160" s="2"/>
      <c r="C2160" s="46"/>
      <c r="D2160" s="46"/>
      <c r="E2160" s="46"/>
      <c r="F2160" s="2"/>
      <c r="G2160" s="46"/>
      <c r="H2160" s="2"/>
      <c r="I2160" s="2"/>
      <c r="J2160" s="2"/>
    </row>
    <row r="2161" spans="2:10" x14ac:dyDescent="0.2">
      <c r="B2161" s="2"/>
      <c r="C2161" s="46"/>
      <c r="D2161" s="46"/>
      <c r="E2161" s="46"/>
      <c r="F2161" s="6"/>
      <c r="G2161" s="46"/>
      <c r="H2161" s="2"/>
      <c r="I2161" s="2"/>
      <c r="J2161" s="2"/>
    </row>
    <row r="2162" spans="2:10" x14ac:dyDescent="0.2">
      <c r="B2162" s="2"/>
      <c r="C2162" s="46"/>
      <c r="D2162" s="46"/>
      <c r="E2162" s="46"/>
      <c r="F2162" s="2"/>
      <c r="G2162" s="46"/>
      <c r="H2162" s="2"/>
      <c r="I2162" s="2"/>
      <c r="J2162" s="2"/>
    </row>
    <row r="2163" spans="2:10" x14ac:dyDescent="0.2">
      <c r="B2163" s="2"/>
      <c r="C2163" s="46"/>
      <c r="D2163" s="46"/>
      <c r="E2163" s="46"/>
      <c r="F2163" s="2"/>
      <c r="G2163" s="46"/>
      <c r="H2163" s="2"/>
      <c r="I2163" s="2"/>
      <c r="J2163" s="2"/>
    </row>
    <row r="2164" spans="2:10" x14ac:dyDescent="0.2">
      <c r="B2164" s="2"/>
      <c r="C2164" s="46"/>
      <c r="D2164" s="46"/>
      <c r="E2164" s="46"/>
      <c r="F2164" s="6"/>
      <c r="G2164" s="46"/>
      <c r="H2164" s="2"/>
      <c r="I2164" s="2"/>
      <c r="J2164" s="2"/>
    </row>
    <row r="2165" spans="2:10" x14ac:dyDescent="0.2">
      <c r="B2165" s="2"/>
      <c r="C2165" s="46"/>
      <c r="D2165" s="46"/>
      <c r="E2165" s="46"/>
      <c r="F2165" s="2"/>
      <c r="G2165" s="46"/>
      <c r="H2165" s="2"/>
      <c r="I2165" s="2"/>
      <c r="J2165" s="2"/>
    </row>
    <row r="2166" spans="2:10" x14ac:dyDescent="0.2">
      <c r="B2166" s="2"/>
      <c r="C2166" s="46"/>
      <c r="D2166" s="46"/>
      <c r="E2166" s="46"/>
      <c r="F2166" s="2"/>
      <c r="G2166" s="46"/>
      <c r="H2166" s="2"/>
      <c r="I2166" s="2"/>
      <c r="J2166" s="2"/>
    </row>
    <row r="2167" spans="2:10" x14ac:dyDescent="0.2">
      <c r="B2167" s="2"/>
      <c r="C2167" s="46"/>
      <c r="D2167" s="46"/>
      <c r="E2167" s="46"/>
      <c r="F2167" s="6"/>
      <c r="G2167" s="46"/>
      <c r="H2167" s="2"/>
      <c r="I2167" s="2"/>
      <c r="J2167" s="2"/>
    </row>
    <row r="2168" spans="2:10" x14ac:dyDescent="0.2">
      <c r="B2168" s="2"/>
      <c r="C2168" s="46"/>
      <c r="D2168" s="46"/>
      <c r="E2168" s="46"/>
      <c r="F2168" s="6"/>
      <c r="G2168" s="46"/>
      <c r="H2168" s="2"/>
      <c r="I2168" s="2"/>
      <c r="J2168" s="2"/>
    </row>
    <row r="2169" spans="2:10" x14ac:dyDescent="0.2">
      <c r="B2169" s="2"/>
      <c r="C2169" s="46"/>
      <c r="D2169" s="46"/>
      <c r="E2169" s="46"/>
      <c r="F2169" s="6"/>
      <c r="G2169" s="46"/>
      <c r="H2169" s="2"/>
      <c r="I2169" s="2"/>
      <c r="J2169" s="2"/>
    </row>
    <row r="2170" spans="2:10" x14ac:dyDescent="0.2">
      <c r="B2170" s="2"/>
      <c r="C2170" s="46"/>
      <c r="D2170" s="46"/>
      <c r="E2170" s="46"/>
      <c r="F2170" s="2"/>
      <c r="G2170" s="46"/>
      <c r="H2170" s="2"/>
      <c r="I2170" s="2"/>
      <c r="J2170" s="2"/>
    </row>
    <row r="2171" spans="2:10" x14ac:dyDescent="0.2">
      <c r="B2171" s="2"/>
      <c r="C2171" s="46"/>
      <c r="D2171" s="46"/>
      <c r="E2171" s="46"/>
      <c r="F2171" s="6"/>
      <c r="G2171" s="46"/>
      <c r="H2171" s="2"/>
      <c r="I2171" s="2"/>
      <c r="J2171" s="2"/>
    </row>
    <row r="2172" spans="2:10" x14ac:dyDescent="0.2">
      <c r="B2172" s="2"/>
      <c r="C2172" s="46"/>
      <c r="D2172" s="46"/>
      <c r="E2172" s="46"/>
      <c r="F2172" s="6"/>
      <c r="G2172" s="46"/>
      <c r="H2172" s="2"/>
      <c r="I2172" s="2"/>
      <c r="J2172" s="2"/>
    </row>
    <row r="2173" spans="2:10" x14ac:dyDescent="0.2">
      <c r="B2173" s="2"/>
      <c r="C2173" s="46"/>
      <c r="D2173" s="46"/>
      <c r="E2173" s="46"/>
      <c r="F2173" s="2"/>
      <c r="G2173" s="46"/>
      <c r="H2173" s="2"/>
      <c r="I2173" s="2"/>
      <c r="J2173" s="2"/>
    </row>
    <row r="2174" spans="2:10" x14ac:dyDescent="0.2">
      <c r="B2174" s="2"/>
      <c r="C2174" s="46"/>
      <c r="D2174" s="46"/>
      <c r="E2174" s="46"/>
      <c r="F2174" s="2"/>
      <c r="G2174" s="46"/>
      <c r="H2174" s="2"/>
      <c r="I2174" s="2"/>
      <c r="J2174" s="2"/>
    </row>
    <row r="2175" spans="2:10" x14ac:dyDescent="0.2">
      <c r="B2175" s="2"/>
      <c r="C2175" s="46"/>
      <c r="D2175" s="46"/>
      <c r="E2175" s="46"/>
      <c r="F2175" s="2"/>
      <c r="G2175" s="46"/>
      <c r="H2175" s="2"/>
      <c r="I2175" s="2"/>
      <c r="J2175" s="2"/>
    </row>
    <row r="2176" spans="2:10" x14ac:dyDescent="0.2">
      <c r="B2176" s="2"/>
      <c r="C2176" s="46"/>
      <c r="D2176" s="46"/>
      <c r="E2176" s="46"/>
      <c r="F2176" s="2"/>
      <c r="G2176" s="46"/>
      <c r="H2176" s="2"/>
      <c r="I2176" s="2"/>
      <c r="J2176" s="2"/>
    </row>
    <row r="2177" spans="2:10" x14ac:dyDescent="0.2">
      <c r="B2177" s="2"/>
      <c r="C2177" s="46"/>
      <c r="D2177" s="46"/>
      <c r="E2177" s="46"/>
      <c r="F2177" s="6"/>
      <c r="G2177" s="46"/>
      <c r="H2177" s="2"/>
      <c r="I2177" s="2"/>
      <c r="J2177" s="2"/>
    </row>
    <row r="2178" spans="2:10" x14ac:dyDescent="0.2">
      <c r="B2178" s="2"/>
      <c r="C2178" s="46"/>
      <c r="D2178" s="46"/>
      <c r="E2178" s="46"/>
      <c r="F2178" s="2"/>
      <c r="G2178" s="46"/>
      <c r="H2178" s="2"/>
      <c r="I2178" s="2"/>
      <c r="J2178" s="2"/>
    </row>
    <row r="2179" spans="2:10" x14ac:dyDescent="0.2">
      <c r="B2179" s="2"/>
      <c r="C2179" s="46"/>
      <c r="D2179" s="46"/>
      <c r="E2179" s="46"/>
      <c r="F2179" s="6"/>
      <c r="G2179" s="46"/>
      <c r="H2179" s="2"/>
      <c r="I2179" s="2"/>
      <c r="J2179" s="2"/>
    </row>
    <row r="2180" spans="2:10" x14ac:dyDescent="0.2">
      <c r="B2180" s="2"/>
      <c r="C2180" s="46"/>
      <c r="D2180" s="46"/>
      <c r="E2180" s="46"/>
      <c r="F2180" s="6"/>
      <c r="G2180" s="46"/>
      <c r="H2180" s="2"/>
      <c r="I2180" s="2"/>
      <c r="J2180" s="2"/>
    </row>
    <row r="2181" spans="2:10" x14ac:dyDescent="0.2">
      <c r="B2181" s="2"/>
      <c r="C2181" s="46"/>
      <c r="D2181" s="46"/>
      <c r="E2181" s="46"/>
      <c r="F2181" s="2"/>
      <c r="G2181" s="46"/>
      <c r="H2181" s="2"/>
      <c r="I2181" s="2"/>
      <c r="J2181" s="2"/>
    </row>
    <row r="2182" spans="2:10" x14ac:dyDescent="0.2">
      <c r="B2182" s="2"/>
      <c r="C2182" s="46"/>
      <c r="D2182" s="46"/>
      <c r="E2182" s="46"/>
      <c r="F2182" s="2"/>
      <c r="G2182" s="46"/>
      <c r="H2182" s="2"/>
      <c r="I2182" s="2"/>
      <c r="J2182" s="2"/>
    </row>
    <row r="2183" spans="2:10" x14ac:dyDescent="0.2">
      <c r="B2183" s="2"/>
      <c r="C2183" s="46"/>
      <c r="D2183" s="46"/>
      <c r="E2183" s="46"/>
      <c r="F2183" s="6"/>
      <c r="G2183" s="46"/>
      <c r="H2183" s="2"/>
      <c r="I2183" s="2"/>
      <c r="J2183" s="2"/>
    </row>
    <row r="2184" spans="2:10" x14ac:dyDescent="0.2">
      <c r="B2184" s="2"/>
      <c r="C2184" s="46"/>
      <c r="D2184" s="46"/>
      <c r="E2184" s="46"/>
      <c r="F2184" s="6"/>
      <c r="G2184" s="46"/>
      <c r="H2184" s="2"/>
      <c r="I2184" s="2"/>
      <c r="J2184" s="2"/>
    </row>
    <row r="2185" spans="2:10" x14ac:dyDescent="0.2">
      <c r="B2185" s="2"/>
      <c r="C2185" s="46"/>
      <c r="D2185" s="46"/>
      <c r="E2185" s="46"/>
      <c r="F2185" s="2"/>
      <c r="G2185" s="46"/>
      <c r="H2185" s="2"/>
      <c r="I2185" s="2"/>
      <c r="J2185" s="2"/>
    </row>
    <row r="2186" spans="2:10" x14ac:dyDescent="0.2">
      <c r="B2186" s="2"/>
      <c r="C2186" s="46"/>
      <c r="D2186" s="46"/>
      <c r="E2186" s="46"/>
      <c r="F2186" s="6"/>
      <c r="G2186" s="46"/>
      <c r="H2186" s="2"/>
      <c r="I2186" s="2"/>
      <c r="J2186" s="2"/>
    </row>
    <row r="2187" spans="2:10" x14ac:dyDescent="0.2">
      <c r="B2187" s="2"/>
      <c r="C2187" s="46"/>
      <c r="D2187" s="46"/>
      <c r="E2187" s="46"/>
      <c r="F2187" s="2"/>
      <c r="G2187" s="46"/>
      <c r="H2187" s="2"/>
      <c r="I2187" s="2"/>
      <c r="J2187" s="2"/>
    </row>
    <row r="2188" spans="2:10" x14ac:dyDescent="0.2">
      <c r="B2188" s="2"/>
      <c r="C2188" s="46"/>
      <c r="D2188" s="46"/>
      <c r="E2188" s="46"/>
      <c r="F2188" s="2"/>
      <c r="G2188" s="46"/>
      <c r="H2188" s="2"/>
      <c r="I2188" s="2"/>
      <c r="J2188" s="2"/>
    </row>
    <row r="2189" spans="2:10" x14ac:dyDescent="0.2">
      <c r="B2189" s="2"/>
      <c r="C2189" s="46"/>
      <c r="D2189" s="46"/>
      <c r="E2189" s="46"/>
      <c r="F2189" s="2"/>
      <c r="G2189" s="46"/>
      <c r="H2189" s="2"/>
      <c r="I2189" s="2"/>
      <c r="J2189" s="2"/>
    </row>
    <row r="2190" spans="2:10" x14ac:dyDescent="0.2">
      <c r="B2190" s="2"/>
      <c r="C2190" s="46"/>
      <c r="D2190" s="46"/>
      <c r="E2190" s="46"/>
      <c r="F2190" s="6"/>
      <c r="G2190" s="46"/>
      <c r="H2190" s="2"/>
      <c r="I2190" s="2"/>
      <c r="J2190" s="2"/>
    </row>
    <row r="2191" spans="2:10" x14ac:dyDescent="0.2">
      <c r="B2191" s="2"/>
      <c r="C2191" s="46"/>
      <c r="D2191" s="46"/>
      <c r="E2191" s="46"/>
      <c r="F2191" s="6"/>
      <c r="G2191" s="46"/>
      <c r="H2191" s="2"/>
      <c r="I2191" s="2"/>
      <c r="J2191" s="2"/>
    </row>
    <row r="2192" spans="2:10" x14ac:dyDescent="0.2">
      <c r="B2192" s="2"/>
      <c r="C2192" s="46"/>
      <c r="D2192" s="46"/>
      <c r="E2192" s="46"/>
      <c r="F2192" s="2"/>
      <c r="G2192" s="46"/>
      <c r="H2192" s="2"/>
      <c r="I2192" s="2"/>
      <c r="J2192" s="2"/>
    </row>
    <row r="2193" spans="2:10" x14ac:dyDescent="0.2">
      <c r="B2193" s="2"/>
      <c r="C2193" s="46"/>
      <c r="D2193" s="46"/>
      <c r="E2193" s="46"/>
      <c r="F2193" s="2"/>
      <c r="G2193" s="46"/>
      <c r="H2193" s="2"/>
      <c r="I2193" s="2"/>
      <c r="J2193" s="2"/>
    </row>
    <row r="2194" spans="2:10" x14ac:dyDescent="0.2">
      <c r="B2194" s="2"/>
      <c r="C2194" s="46"/>
      <c r="D2194" s="46"/>
      <c r="E2194" s="46"/>
      <c r="F2194" s="2"/>
      <c r="G2194" s="46"/>
      <c r="H2194" s="2"/>
      <c r="I2194" s="2"/>
      <c r="J2194" s="2"/>
    </row>
    <row r="2195" spans="2:10" x14ac:dyDescent="0.2">
      <c r="B2195" s="2"/>
      <c r="C2195" s="46"/>
      <c r="D2195" s="46"/>
      <c r="E2195" s="46"/>
      <c r="F2195" s="2"/>
      <c r="G2195" s="46"/>
      <c r="H2195" s="2"/>
      <c r="I2195" s="2"/>
      <c r="J2195" s="2"/>
    </row>
    <row r="2196" spans="2:10" x14ac:dyDescent="0.2">
      <c r="B2196" s="2"/>
      <c r="C2196" s="46"/>
      <c r="D2196" s="46"/>
      <c r="E2196" s="46"/>
      <c r="F2196" s="2"/>
      <c r="G2196" s="46"/>
      <c r="H2196" s="2"/>
      <c r="I2196" s="2"/>
      <c r="J2196" s="2"/>
    </row>
    <row r="2197" spans="2:10" x14ac:dyDescent="0.2">
      <c r="B2197" s="2"/>
      <c r="C2197" s="46"/>
      <c r="D2197" s="46"/>
      <c r="E2197" s="46"/>
      <c r="F2197" s="2"/>
      <c r="G2197" s="46"/>
      <c r="H2197" s="2"/>
      <c r="I2197" s="2"/>
      <c r="J2197" s="2"/>
    </row>
    <row r="2198" spans="2:10" x14ac:dyDescent="0.2">
      <c r="B2198" s="2"/>
      <c r="C2198" s="46"/>
      <c r="D2198" s="46"/>
      <c r="E2198" s="46"/>
      <c r="F2198" s="2"/>
      <c r="G2198" s="46"/>
      <c r="H2198" s="2"/>
      <c r="I2198" s="2"/>
      <c r="J2198" s="2"/>
    </row>
    <row r="2199" spans="2:10" x14ac:dyDescent="0.2">
      <c r="B2199" s="2"/>
      <c r="C2199" s="46"/>
      <c r="D2199" s="46"/>
      <c r="E2199" s="46"/>
      <c r="F2199" s="2"/>
      <c r="G2199" s="46"/>
      <c r="H2199" s="2"/>
      <c r="I2199" s="2"/>
      <c r="J2199" s="2"/>
    </row>
    <row r="2200" spans="2:10" x14ac:dyDescent="0.2">
      <c r="B2200" s="2"/>
      <c r="C2200" s="46"/>
      <c r="D2200" s="46"/>
      <c r="E2200" s="46"/>
      <c r="F2200" s="2"/>
      <c r="G2200" s="46"/>
      <c r="H2200" s="2"/>
      <c r="I2200" s="2"/>
      <c r="J2200" s="2"/>
    </row>
    <row r="2201" spans="2:10" x14ac:dyDescent="0.2">
      <c r="B2201" s="2"/>
      <c r="C2201" s="46"/>
      <c r="D2201" s="46"/>
      <c r="E2201" s="46"/>
      <c r="F2201" s="2"/>
      <c r="G2201" s="46"/>
      <c r="H2201" s="2"/>
      <c r="I2201" s="2"/>
      <c r="J2201" s="2"/>
    </row>
    <row r="2202" spans="2:10" x14ac:dyDescent="0.2">
      <c r="B2202" s="2"/>
      <c r="C2202" s="46"/>
      <c r="D2202" s="46"/>
      <c r="E2202" s="46"/>
      <c r="F2202" s="2"/>
      <c r="G2202" s="46"/>
      <c r="H2202" s="2"/>
      <c r="I2202" s="2"/>
      <c r="J2202" s="2"/>
    </row>
    <row r="2203" spans="2:10" x14ac:dyDescent="0.2">
      <c r="B2203" s="2"/>
      <c r="C2203" s="46"/>
      <c r="D2203" s="46"/>
      <c r="E2203" s="46"/>
      <c r="F2203" s="6"/>
      <c r="G2203" s="46"/>
      <c r="H2203" s="2"/>
      <c r="I2203" s="2"/>
      <c r="J2203" s="2"/>
    </row>
    <row r="2204" spans="2:10" x14ac:dyDescent="0.2">
      <c r="B2204" s="2"/>
      <c r="C2204" s="46"/>
      <c r="D2204" s="46"/>
      <c r="E2204" s="46"/>
      <c r="F2204" s="2"/>
      <c r="G2204" s="46"/>
      <c r="H2204" s="2"/>
      <c r="I2204" s="2"/>
      <c r="J2204" s="2"/>
    </row>
    <row r="2205" spans="2:10" x14ac:dyDescent="0.2">
      <c r="B2205" s="2"/>
      <c r="C2205" s="46"/>
      <c r="D2205" s="46"/>
      <c r="E2205" s="46"/>
      <c r="F2205" s="2"/>
      <c r="G2205" s="46"/>
      <c r="H2205" s="2"/>
      <c r="I2205" s="2"/>
      <c r="J2205" s="2"/>
    </row>
    <row r="2206" spans="2:10" x14ac:dyDescent="0.2">
      <c r="B2206" s="2"/>
      <c r="C2206" s="46"/>
      <c r="D2206" s="46"/>
      <c r="E2206" s="46"/>
      <c r="F2206" s="2"/>
      <c r="G2206" s="46"/>
      <c r="H2206" s="2"/>
      <c r="I2206" s="2"/>
      <c r="J2206" s="2"/>
    </row>
    <row r="2207" spans="2:10" x14ac:dyDescent="0.2">
      <c r="B2207" s="2"/>
      <c r="C2207" s="46"/>
      <c r="D2207" s="46"/>
      <c r="E2207" s="46"/>
      <c r="F2207" s="2"/>
      <c r="G2207" s="46"/>
      <c r="H2207" s="2"/>
      <c r="I2207" s="2"/>
      <c r="J2207" s="2"/>
    </row>
    <row r="2208" spans="2:10" x14ac:dyDescent="0.2">
      <c r="B2208" s="2"/>
      <c r="C2208" s="46"/>
      <c r="D2208" s="46"/>
      <c r="E2208" s="46"/>
      <c r="F2208" s="6"/>
      <c r="G2208" s="46"/>
      <c r="H2208" s="2"/>
      <c r="I2208" s="2"/>
      <c r="J2208" s="2"/>
    </row>
    <row r="2209" spans="2:10" x14ac:dyDescent="0.2">
      <c r="B2209" s="2"/>
      <c r="C2209" s="46"/>
      <c r="D2209" s="46"/>
      <c r="E2209" s="46"/>
      <c r="F2209" s="6"/>
      <c r="G2209" s="46"/>
      <c r="H2209" s="2"/>
      <c r="I2209" s="2"/>
      <c r="J2209" s="2"/>
    </row>
    <row r="2210" spans="2:10" x14ac:dyDescent="0.2">
      <c r="B2210" s="2"/>
      <c r="C2210" s="46"/>
      <c r="D2210" s="46"/>
      <c r="E2210" s="46"/>
      <c r="F2210" s="2"/>
      <c r="G2210" s="46"/>
      <c r="H2210" s="2"/>
      <c r="I2210" s="2"/>
      <c r="J2210" s="2"/>
    </row>
    <row r="2211" spans="2:10" x14ac:dyDescent="0.2">
      <c r="B2211" s="2"/>
      <c r="C2211" s="46"/>
      <c r="D2211" s="46"/>
      <c r="E2211" s="46"/>
      <c r="F2211" s="6"/>
      <c r="G2211" s="46"/>
      <c r="H2211" s="2"/>
      <c r="I2211" s="2"/>
      <c r="J2211" s="2"/>
    </row>
    <row r="2212" spans="2:10" x14ac:dyDescent="0.2">
      <c r="B2212" s="2"/>
      <c r="C2212" s="46"/>
      <c r="D2212" s="46"/>
      <c r="E2212" s="46"/>
      <c r="F2212" s="2"/>
      <c r="G2212" s="46"/>
      <c r="H2212" s="2"/>
      <c r="I2212" s="2"/>
      <c r="J2212" s="2"/>
    </row>
    <row r="2213" spans="2:10" x14ac:dyDescent="0.2">
      <c r="B2213" s="2"/>
      <c r="C2213" s="46"/>
      <c r="D2213" s="46"/>
      <c r="E2213" s="46"/>
      <c r="F2213" s="2"/>
      <c r="G2213" s="46"/>
      <c r="H2213" s="2"/>
      <c r="I2213" s="2"/>
      <c r="J2213" s="2"/>
    </row>
    <row r="2214" spans="2:10" x14ac:dyDescent="0.2">
      <c r="B2214" s="2"/>
      <c r="C2214" s="46"/>
      <c r="D2214" s="46"/>
      <c r="E2214" s="46"/>
      <c r="F2214" s="6"/>
      <c r="G2214" s="46"/>
      <c r="H2214" s="2"/>
      <c r="I2214" s="2"/>
      <c r="J2214" s="2"/>
    </row>
    <row r="2215" spans="2:10" x14ac:dyDescent="0.2">
      <c r="B2215" s="2"/>
      <c r="C2215" s="46"/>
      <c r="D2215" s="46"/>
      <c r="E2215" s="46"/>
      <c r="F2215" s="6"/>
      <c r="G2215" s="46"/>
      <c r="H2215" s="2"/>
      <c r="I2215" s="2"/>
      <c r="J2215" s="2"/>
    </row>
    <row r="2216" spans="2:10" x14ac:dyDescent="0.2">
      <c r="B2216" s="2"/>
      <c r="C2216" s="46"/>
      <c r="D2216" s="46"/>
      <c r="E2216" s="46"/>
      <c r="F2216" s="6"/>
      <c r="G2216" s="46"/>
      <c r="H2216" s="2"/>
      <c r="I2216" s="2"/>
      <c r="J2216" s="2"/>
    </row>
    <row r="2217" spans="2:10" x14ac:dyDescent="0.2">
      <c r="B2217" s="2"/>
      <c r="C2217" s="46"/>
      <c r="D2217" s="46"/>
      <c r="E2217" s="46"/>
      <c r="F2217" s="6"/>
      <c r="G2217" s="46"/>
      <c r="H2217" s="2"/>
      <c r="I2217" s="2"/>
      <c r="J2217" s="2"/>
    </row>
    <row r="2218" spans="2:10" x14ac:dyDescent="0.2">
      <c r="B2218" s="2"/>
      <c r="C2218" s="46"/>
      <c r="D2218" s="46"/>
      <c r="E2218" s="46"/>
      <c r="F2218" s="6"/>
      <c r="G2218" s="46"/>
      <c r="H2218" s="2"/>
      <c r="I2218" s="2"/>
      <c r="J2218" s="2"/>
    </row>
    <row r="2219" spans="2:10" x14ac:dyDescent="0.2">
      <c r="B2219" s="2"/>
      <c r="C2219" s="46"/>
      <c r="D2219" s="46"/>
      <c r="E2219" s="46"/>
      <c r="F2219" s="2"/>
      <c r="G2219" s="46"/>
      <c r="H2219" s="2"/>
      <c r="I2219" s="2"/>
      <c r="J2219" s="2"/>
    </row>
    <row r="2220" spans="2:10" x14ac:dyDescent="0.2">
      <c r="B2220" s="2"/>
      <c r="C2220" s="46"/>
      <c r="D2220" s="46"/>
      <c r="E2220" s="46"/>
      <c r="F2220" s="2"/>
      <c r="G2220" s="46"/>
      <c r="H2220" s="2"/>
      <c r="I2220" s="2"/>
      <c r="J2220" s="2"/>
    </row>
    <row r="2221" spans="2:10" x14ac:dyDescent="0.2">
      <c r="B2221" s="2"/>
      <c r="C2221" s="46"/>
      <c r="D2221" s="46"/>
      <c r="E2221" s="46"/>
      <c r="F2221" s="2"/>
      <c r="G2221" s="46"/>
      <c r="H2221" s="2"/>
      <c r="I2221" s="2"/>
      <c r="J2221" s="2"/>
    </row>
    <row r="2222" spans="2:10" x14ac:dyDescent="0.2">
      <c r="B2222" s="2"/>
      <c r="C2222" s="46"/>
      <c r="D2222" s="46"/>
      <c r="E2222" s="46"/>
      <c r="F2222" s="2"/>
      <c r="G2222" s="46"/>
      <c r="H2222" s="2"/>
      <c r="I2222" s="2"/>
      <c r="J2222" s="2"/>
    </row>
    <row r="2223" spans="2:10" x14ac:dyDescent="0.2">
      <c r="B2223" s="2"/>
      <c r="C2223" s="46"/>
      <c r="D2223" s="46"/>
      <c r="E2223" s="46"/>
      <c r="F2223" s="6"/>
      <c r="G2223" s="46"/>
      <c r="H2223" s="2"/>
      <c r="I2223" s="2"/>
      <c r="J2223" s="2"/>
    </row>
    <row r="2224" spans="2:10" x14ac:dyDescent="0.2">
      <c r="B2224" s="2"/>
      <c r="C2224" s="46"/>
      <c r="D2224" s="46"/>
      <c r="E2224" s="46"/>
      <c r="F2224" s="2"/>
      <c r="G2224" s="46"/>
      <c r="H2224" s="2"/>
      <c r="I2224" s="2"/>
      <c r="J2224" s="2"/>
    </row>
    <row r="2225" spans="2:10" x14ac:dyDescent="0.2">
      <c r="B2225" s="2"/>
      <c r="C2225" s="46"/>
      <c r="D2225" s="46"/>
      <c r="E2225" s="46"/>
      <c r="F2225" s="2"/>
      <c r="G2225" s="46"/>
      <c r="H2225" s="2"/>
      <c r="I2225" s="2"/>
      <c r="J2225" s="2"/>
    </row>
    <row r="2226" spans="2:10" x14ac:dyDescent="0.2">
      <c r="B2226" s="2"/>
      <c r="C2226" s="46"/>
      <c r="D2226" s="46"/>
      <c r="E2226" s="46"/>
      <c r="F2226" s="2"/>
      <c r="G2226" s="46"/>
      <c r="H2226" s="2"/>
      <c r="I2226" s="2"/>
      <c r="J2226" s="2"/>
    </row>
    <row r="2227" spans="2:10" x14ac:dyDescent="0.2">
      <c r="B2227" s="2"/>
      <c r="C2227" s="46"/>
      <c r="D2227" s="46"/>
      <c r="E2227" s="46"/>
      <c r="F2227" s="2"/>
      <c r="G2227" s="46"/>
      <c r="H2227" s="2"/>
      <c r="I2227" s="2"/>
      <c r="J2227" s="2"/>
    </row>
    <row r="2228" spans="2:10" x14ac:dyDescent="0.2">
      <c r="B2228" s="2"/>
      <c r="C2228" s="46"/>
      <c r="D2228" s="46"/>
      <c r="E2228" s="46"/>
      <c r="F2228" s="2"/>
      <c r="G2228" s="46"/>
      <c r="H2228" s="2"/>
      <c r="I2228" s="2"/>
      <c r="J2228" s="2"/>
    </row>
    <row r="2229" spans="2:10" x14ac:dyDescent="0.2">
      <c r="B2229" s="2"/>
      <c r="C2229" s="46"/>
      <c r="D2229" s="46"/>
      <c r="E2229" s="46"/>
      <c r="F2229" s="2"/>
      <c r="G2229" s="46"/>
      <c r="H2229" s="2"/>
      <c r="I2229" s="2"/>
      <c r="J2229" s="2"/>
    </row>
    <row r="2230" spans="2:10" x14ac:dyDescent="0.2">
      <c r="B2230" s="2"/>
      <c r="C2230" s="46"/>
      <c r="D2230" s="46"/>
      <c r="E2230" s="46"/>
      <c r="F2230" s="2"/>
      <c r="G2230" s="46"/>
      <c r="H2230" s="2"/>
      <c r="I2230" s="2"/>
      <c r="J2230" s="2"/>
    </row>
    <row r="2231" spans="2:10" x14ac:dyDescent="0.2">
      <c r="B2231" s="2"/>
      <c r="C2231" s="46"/>
      <c r="D2231" s="46"/>
      <c r="E2231" s="46"/>
      <c r="F2231" s="2"/>
      <c r="G2231" s="46"/>
      <c r="H2231" s="2"/>
      <c r="I2231" s="2"/>
      <c r="J2231" s="2"/>
    </row>
    <row r="2232" spans="2:10" x14ac:dyDescent="0.2">
      <c r="B2232" s="2"/>
      <c r="C2232" s="46"/>
      <c r="D2232" s="46"/>
      <c r="E2232" s="46"/>
      <c r="F2232" s="6"/>
      <c r="G2232" s="46"/>
      <c r="H2232" s="2"/>
      <c r="I2232" s="2"/>
      <c r="J2232" s="2"/>
    </row>
    <row r="2233" spans="2:10" x14ac:dyDescent="0.2">
      <c r="B2233" s="2"/>
      <c r="C2233" s="46"/>
      <c r="D2233" s="46"/>
      <c r="E2233" s="46"/>
      <c r="F2233" s="2"/>
      <c r="G2233" s="46"/>
      <c r="H2233" s="2"/>
      <c r="I2233" s="2"/>
      <c r="J2233" s="2"/>
    </row>
    <row r="2234" spans="2:10" x14ac:dyDescent="0.2">
      <c r="B2234" s="2"/>
      <c r="C2234" s="46"/>
      <c r="D2234" s="46"/>
      <c r="E2234" s="46"/>
      <c r="F2234" s="2"/>
      <c r="G2234" s="46"/>
      <c r="H2234" s="2"/>
      <c r="I2234" s="2"/>
      <c r="J2234" s="2"/>
    </row>
    <row r="2235" spans="2:10" x14ac:dyDescent="0.2">
      <c r="B2235" s="2"/>
      <c r="C2235" s="46"/>
      <c r="D2235" s="46"/>
      <c r="E2235" s="46"/>
      <c r="F2235" s="6"/>
      <c r="G2235" s="46"/>
      <c r="H2235" s="2"/>
      <c r="I2235" s="2"/>
      <c r="J2235" s="2"/>
    </row>
    <row r="2236" spans="2:10" x14ac:dyDescent="0.2">
      <c r="B2236" s="2"/>
      <c r="C2236" s="46"/>
      <c r="D2236" s="46"/>
      <c r="E2236" s="46"/>
      <c r="F2236" s="6"/>
      <c r="G2236" s="46"/>
      <c r="H2236" s="2"/>
      <c r="I2236" s="2"/>
      <c r="J2236" s="2"/>
    </row>
    <row r="2237" spans="2:10" x14ac:dyDescent="0.2">
      <c r="B2237" s="2"/>
      <c r="C2237" s="46"/>
      <c r="D2237" s="46"/>
      <c r="E2237" s="46"/>
      <c r="F2237" s="2"/>
      <c r="G2237" s="46"/>
      <c r="H2237" s="2"/>
      <c r="I2237" s="2"/>
      <c r="J2237" s="2"/>
    </row>
    <row r="2238" spans="2:10" x14ac:dyDescent="0.2">
      <c r="B2238" s="2"/>
      <c r="C2238" s="46"/>
      <c r="D2238" s="46"/>
      <c r="E2238" s="46"/>
      <c r="F2238" s="2"/>
      <c r="G2238" s="46"/>
      <c r="H2238" s="2"/>
      <c r="I2238" s="2"/>
      <c r="J2238" s="2"/>
    </row>
    <row r="2239" spans="2:10" x14ac:dyDescent="0.2">
      <c r="B2239" s="2"/>
      <c r="C2239" s="46"/>
      <c r="D2239" s="46"/>
      <c r="E2239" s="46"/>
      <c r="F2239" s="2"/>
      <c r="G2239" s="46"/>
      <c r="H2239" s="2"/>
      <c r="I2239" s="2"/>
      <c r="J2239" s="2"/>
    </row>
    <row r="2240" spans="2:10" x14ac:dyDescent="0.2">
      <c r="B2240" s="2"/>
      <c r="C2240" s="46"/>
      <c r="D2240" s="46"/>
      <c r="E2240" s="46"/>
      <c r="F2240" s="2"/>
      <c r="G2240" s="46"/>
      <c r="H2240" s="2"/>
      <c r="I2240" s="2"/>
      <c r="J2240" s="2"/>
    </row>
    <row r="2241" spans="2:10" x14ac:dyDescent="0.2">
      <c r="B2241" s="2"/>
      <c r="C2241" s="46"/>
      <c r="D2241" s="46"/>
      <c r="E2241" s="46"/>
      <c r="F2241" s="2"/>
      <c r="G2241" s="46"/>
      <c r="H2241" s="2"/>
      <c r="I2241" s="2"/>
      <c r="J2241" s="2"/>
    </row>
    <row r="2242" spans="2:10" x14ac:dyDescent="0.2">
      <c r="B2242" s="2"/>
      <c r="C2242" s="46"/>
      <c r="D2242" s="46"/>
      <c r="E2242" s="46"/>
      <c r="F2242" s="2"/>
      <c r="G2242" s="46"/>
      <c r="H2242" s="2"/>
      <c r="I2242" s="2"/>
      <c r="J2242" s="2"/>
    </row>
    <row r="2243" spans="2:10" x14ac:dyDescent="0.2">
      <c r="B2243" s="2"/>
      <c r="C2243" s="46"/>
      <c r="D2243" s="46"/>
      <c r="E2243" s="46"/>
      <c r="F2243" s="2"/>
      <c r="G2243" s="46"/>
      <c r="H2243" s="2"/>
      <c r="I2243" s="2"/>
      <c r="J2243" s="2"/>
    </row>
    <row r="2244" spans="2:10" x14ac:dyDescent="0.2">
      <c r="B2244" s="2"/>
      <c r="C2244" s="46"/>
      <c r="D2244" s="46"/>
      <c r="E2244" s="46"/>
      <c r="F2244" s="2"/>
      <c r="G2244" s="46"/>
      <c r="H2244" s="2"/>
      <c r="I2244" s="2"/>
      <c r="J2244" s="2"/>
    </row>
    <row r="2245" spans="2:10" x14ac:dyDescent="0.2">
      <c r="B2245" s="2"/>
      <c r="C2245" s="46"/>
      <c r="D2245" s="46"/>
      <c r="E2245" s="46"/>
      <c r="F2245" s="2"/>
      <c r="G2245" s="46"/>
      <c r="H2245" s="2"/>
      <c r="I2245" s="2"/>
      <c r="J2245" s="2"/>
    </row>
    <row r="2246" spans="2:10" x14ac:dyDescent="0.2">
      <c r="B2246" s="2"/>
      <c r="C2246" s="46"/>
      <c r="D2246" s="46"/>
      <c r="E2246" s="46"/>
      <c r="F2246" s="2"/>
      <c r="G2246" s="46"/>
      <c r="H2246" s="2"/>
      <c r="I2246" s="2"/>
      <c r="J2246" s="2"/>
    </row>
    <row r="2247" spans="2:10" x14ac:dyDescent="0.2">
      <c r="B2247" s="2"/>
      <c r="C2247" s="46"/>
      <c r="D2247" s="46"/>
      <c r="E2247" s="46"/>
      <c r="F2247" s="2"/>
      <c r="G2247" s="46"/>
      <c r="H2247" s="2"/>
      <c r="I2247" s="2"/>
      <c r="J2247" s="2"/>
    </row>
    <row r="2248" spans="2:10" x14ac:dyDescent="0.2">
      <c r="B2248" s="2"/>
      <c r="C2248" s="46"/>
      <c r="D2248" s="46"/>
      <c r="E2248" s="46"/>
      <c r="F2248" s="2"/>
      <c r="G2248" s="46"/>
      <c r="H2248" s="2"/>
      <c r="I2248" s="2"/>
      <c r="J2248" s="2"/>
    </row>
    <row r="2249" spans="2:10" x14ac:dyDescent="0.2">
      <c r="B2249" s="2"/>
      <c r="C2249" s="46"/>
      <c r="D2249" s="46"/>
      <c r="E2249" s="46"/>
      <c r="F2249" s="2"/>
      <c r="G2249" s="46"/>
      <c r="H2249" s="2"/>
      <c r="I2249" s="2"/>
      <c r="J2249" s="2"/>
    </row>
    <row r="2250" spans="2:10" x14ac:dyDescent="0.2">
      <c r="B2250" s="2"/>
      <c r="C2250" s="46"/>
      <c r="D2250" s="46"/>
      <c r="E2250" s="46"/>
      <c r="F2250" s="6"/>
      <c r="G2250" s="46"/>
      <c r="H2250" s="2"/>
      <c r="I2250" s="2"/>
      <c r="J2250" s="2"/>
    </row>
    <row r="2251" spans="2:10" x14ac:dyDescent="0.2">
      <c r="B2251" s="2"/>
      <c r="C2251" s="46"/>
      <c r="D2251" s="46"/>
      <c r="E2251" s="46"/>
      <c r="F2251" s="2"/>
      <c r="G2251" s="46"/>
      <c r="H2251" s="2"/>
      <c r="I2251" s="2"/>
      <c r="J2251" s="2"/>
    </row>
    <row r="2252" spans="2:10" x14ac:dyDescent="0.2">
      <c r="B2252" s="2"/>
      <c r="C2252" s="46"/>
      <c r="D2252" s="46"/>
      <c r="E2252" s="46"/>
      <c r="F2252" s="6"/>
      <c r="G2252" s="46"/>
      <c r="H2252" s="2"/>
      <c r="I2252" s="2"/>
      <c r="J2252" s="2"/>
    </row>
    <row r="2253" spans="2:10" x14ac:dyDescent="0.2">
      <c r="B2253" s="2"/>
      <c r="C2253" s="46"/>
      <c r="D2253" s="46"/>
      <c r="E2253" s="46"/>
      <c r="F2253" s="6"/>
      <c r="G2253" s="46"/>
      <c r="H2253" s="2"/>
      <c r="I2253" s="2"/>
      <c r="J2253" s="2"/>
    </row>
    <row r="2254" spans="2:10" x14ac:dyDescent="0.2">
      <c r="B2254" s="2"/>
      <c r="C2254" s="46"/>
      <c r="D2254" s="46"/>
      <c r="E2254" s="46"/>
      <c r="F2254" s="6"/>
      <c r="G2254" s="46"/>
      <c r="H2254" s="2"/>
      <c r="I2254" s="2"/>
      <c r="J2254" s="2"/>
    </row>
    <row r="2255" spans="2:10" x14ac:dyDescent="0.2">
      <c r="B2255" s="2"/>
      <c r="C2255" s="46"/>
      <c r="D2255" s="46"/>
      <c r="E2255" s="46"/>
      <c r="F2255" s="2"/>
      <c r="G2255" s="46"/>
      <c r="H2255" s="2"/>
      <c r="I2255" s="2"/>
      <c r="J2255" s="2"/>
    </row>
    <row r="2256" spans="2:10" x14ac:dyDescent="0.2">
      <c r="B2256" s="2"/>
      <c r="C2256" s="46"/>
      <c r="D2256" s="46"/>
      <c r="E2256" s="46"/>
      <c r="F2256" s="6"/>
      <c r="G2256" s="46"/>
      <c r="H2256" s="2"/>
      <c r="I2256" s="2"/>
      <c r="J2256" s="2"/>
    </row>
    <row r="2257" spans="2:10" x14ac:dyDescent="0.2">
      <c r="B2257" s="2"/>
      <c r="C2257" s="46"/>
      <c r="D2257" s="46"/>
      <c r="E2257" s="46"/>
      <c r="F2257" s="2"/>
      <c r="G2257" s="46"/>
      <c r="H2257" s="2"/>
      <c r="I2257" s="2"/>
      <c r="J2257" s="2"/>
    </row>
    <row r="2258" spans="2:10" x14ac:dyDescent="0.2">
      <c r="B2258" s="2"/>
      <c r="C2258" s="46"/>
      <c r="D2258" s="46"/>
      <c r="E2258" s="46"/>
      <c r="F2258" s="2"/>
      <c r="G2258" s="46"/>
      <c r="H2258" s="2"/>
      <c r="I2258" s="2"/>
      <c r="J2258" s="2"/>
    </row>
    <row r="2259" spans="2:10" x14ac:dyDescent="0.2">
      <c r="B2259" s="2"/>
      <c r="C2259" s="46"/>
      <c r="D2259" s="46"/>
      <c r="E2259" s="46"/>
      <c r="F2259" s="2"/>
      <c r="G2259" s="46"/>
      <c r="H2259" s="2"/>
      <c r="I2259" s="2"/>
      <c r="J2259" s="2"/>
    </row>
    <row r="2260" spans="2:10" x14ac:dyDescent="0.2">
      <c r="B2260" s="2"/>
      <c r="C2260" s="46"/>
      <c r="D2260" s="46"/>
      <c r="E2260" s="46"/>
      <c r="F2260" s="6"/>
      <c r="G2260" s="46"/>
      <c r="H2260" s="2"/>
      <c r="I2260" s="2"/>
      <c r="J2260" s="2"/>
    </row>
    <row r="2261" spans="2:10" x14ac:dyDescent="0.2">
      <c r="B2261" s="2"/>
      <c r="C2261" s="46"/>
      <c r="D2261" s="46"/>
      <c r="E2261" s="46"/>
      <c r="F2261" s="6"/>
      <c r="G2261" s="46"/>
      <c r="H2261" s="2"/>
      <c r="I2261" s="2"/>
      <c r="J2261" s="2"/>
    </row>
    <row r="2262" spans="2:10" x14ac:dyDescent="0.2">
      <c r="B2262" s="2"/>
      <c r="C2262" s="46"/>
      <c r="D2262" s="46"/>
      <c r="E2262" s="46"/>
      <c r="F2262" s="6"/>
      <c r="G2262" s="46"/>
      <c r="H2262" s="2"/>
      <c r="I2262" s="2"/>
      <c r="J2262" s="2"/>
    </row>
    <row r="2263" spans="2:10" x14ac:dyDescent="0.2">
      <c r="B2263" s="2"/>
      <c r="C2263" s="46"/>
      <c r="D2263" s="46"/>
      <c r="E2263" s="46"/>
      <c r="F2263" s="2"/>
      <c r="G2263" s="46"/>
      <c r="H2263" s="2"/>
      <c r="I2263" s="2"/>
      <c r="J2263" s="2"/>
    </row>
    <row r="2264" spans="2:10" x14ac:dyDescent="0.2">
      <c r="B2264" s="2"/>
      <c r="C2264" s="46"/>
      <c r="D2264" s="46"/>
      <c r="E2264" s="46"/>
      <c r="F2264" s="6"/>
      <c r="G2264" s="46"/>
      <c r="H2264" s="2"/>
      <c r="I2264" s="2"/>
      <c r="J2264" s="2"/>
    </row>
    <row r="2265" spans="2:10" x14ac:dyDescent="0.2">
      <c r="B2265" s="2"/>
      <c r="C2265" s="46"/>
      <c r="D2265" s="46"/>
      <c r="E2265" s="46"/>
      <c r="F2265" s="2"/>
      <c r="G2265" s="46"/>
      <c r="H2265" s="2"/>
      <c r="I2265" s="2"/>
      <c r="J2265" s="2"/>
    </row>
    <row r="2266" spans="2:10" x14ac:dyDescent="0.2">
      <c r="B2266" s="2"/>
      <c r="C2266" s="46"/>
      <c r="D2266" s="46"/>
      <c r="E2266" s="46"/>
      <c r="F2266" s="2"/>
      <c r="G2266" s="46"/>
      <c r="H2266" s="2"/>
      <c r="I2266" s="2"/>
      <c r="J2266" s="2"/>
    </row>
    <row r="2267" spans="2:10" x14ac:dyDescent="0.2">
      <c r="B2267" s="2"/>
      <c r="C2267" s="46"/>
      <c r="D2267" s="46"/>
      <c r="E2267" s="46"/>
      <c r="F2267" s="6"/>
      <c r="G2267" s="46"/>
      <c r="H2267" s="2"/>
      <c r="I2267" s="2"/>
      <c r="J2267" s="2"/>
    </row>
    <row r="2268" spans="2:10" x14ac:dyDescent="0.2">
      <c r="B2268" s="2"/>
      <c r="C2268" s="46"/>
      <c r="D2268" s="46"/>
      <c r="E2268" s="46"/>
      <c r="F2268" s="6"/>
      <c r="G2268" s="46"/>
      <c r="H2268" s="2"/>
      <c r="I2268" s="2"/>
      <c r="J2268" s="2"/>
    </row>
    <row r="2269" spans="2:10" x14ac:dyDescent="0.2">
      <c r="B2269" s="2"/>
      <c r="C2269" s="46"/>
      <c r="D2269" s="46"/>
      <c r="E2269" s="46"/>
      <c r="F2269" s="2"/>
      <c r="G2269" s="46"/>
      <c r="H2269" s="2"/>
      <c r="I2269" s="2"/>
      <c r="J2269" s="2"/>
    </row>
    <row r="2270" spans="2:10" x14ac:dyDescent="0.2">
      <c r="B2270" s="2"/>
      <c r="C2270" s="46"/>
      <c r="D2270" s="46"/>
      <c r="E2270" s="46"/>
      <c r="F2270" s="2"/>
      <c r="G2270" s="46"/>
      <c r="H2270" s="2"/>
      <c r="I2270" s="2"/>
      <c r="J2270" s="2"/>
    </row>
    <row r="2271" spans="2:10" x14ac:dyDescent="0.2">
      <c r="B2271" s="2"/>
      <c r="C2271" s="46"/>
      <c r="D2271" s="46"/>
      <c r="E2271" s="46"/>
      <c r="F2271" s="2"/>
      <c r="G2271" s="46"/>
      <c r="H2271" s="2"/>
      <c r="I2271" s="2"/>
      <c r="J2271" s="2"/>
    </row>
    <row r="2272" spans="2:10" x14ac:dyDescent="0.2">
      <c r="B2272" s="2"/>
      <c r="C2272" s="46"/>
      <c r="D2272" s="46"/>
      <c r="E2272" s="46"/>
      <c r="F2272" s="2"/>
      <c r="G2272" s="46"/>
      <c r="H2272" s="2"/>
      <c r="I2272" s="2"/>
      <c r="J2272" s="2"/>
    </row>
    <row r="2273" spans="2:10" x14ac:dyDescent="0.2">
      <c r="B2273" s="2"/>
      <c r="C2273" s="46"/>
      <c r="D2273" s="46"/>
      <c r="E2273" s="46"/>
      <c r="F2273" s="2"/>
      <c r="G2273" s="46"/>
      <c r="H2273" s="2"/>
      <c r="I2273" s="2"/>
      <c r="J2273" s="2"/>
    </row>
    <row r="2274" spans="2:10" x14ac:dyDescent="0.2">
      <c r="B2274" s="2"/>
      <c r="C2274" s="46"/>
      <c r="D2274" s="46"/>
      <c r="E2274" s="46"/>
      <c r="F2274" s="2"/>
      <c r="G2274" s="46"/>
      <c r="H2274" s="2"/>
      <c r="I2274" s="2"/>
      <c r="J2274" s="2"/>
    </row>
    <row r="2275" spans="2:10" x14ac:dyDescent="0.2">
      <c r="B2275" s="2"/>
      <c r="C2275" s="46"/>
      <c r="D2275" s="46"/>
      <c r="E2275" s="46"/>
      <c r="F2275" s="2"/>
      <c r="G2275" s="46"/>
      <c r="H2275" s="2"/>
      <c r="I2275" s="2"/>
      <c r="J2275" s="2"/>
    </row>
    <row r="2276" spans="2:10" x14ac:dyDescent="0.2">
      <c r="B2276" s="2"/>
      <c r="C2276" s="46"/>
      <c r="D2276" s="46"/>
      <c r="E2276" s="46"/>
      <c r="F2276" s="6"/>
      <c r="G2276" s="46"/>
      <c r="H2276" s="2"/>
      <c r="I2276" s="2"/>
      <c r="J2276" s="2"/>
    </row>
    <row r="2277" spans="2:10" x14ac:dyDescent="0.2">
      <c r="B2277" s="2"/>
      <c r="C2277" s="46"/>
      <c r="D2277" s="46"/>
      <c r="E2277" s="46"/>
      <c r="F2277" s="6"/>
      <c r="G2277" s="46"/>
      <c r="H2277" s="2"/>
      <c r="I2277" s="2"/>
      <c r="J2277" s="2"/>
    </row>
    <row r="2278" spans="2:10" x14ac:dyDescent="0.2">
      <c r="B2278" s="2"/>
      <c r="C2278" s="46"/>
      <c r="D2278" s="46"/>
      <c r="E2278" s="46"/>
      <c r="F2278" s="6"/>
      <c r="G2278" s="46"/>
      <c r="H2278" s="2"/>
      <c r="I2278" s="2"/>
      <c r="J2278" s="2"/>
    </row>
    <row r="2279" spans="2:10" x14ac:dyDescent="0.2">
      <c r="B2279" s="2"/>
      <c r="C2279" s="46"/>
      <c r="D2279" s="46"/>
      <c r="E2279" s="46"/>
      <c r="F2279" s="2"/>
      <c r="G2279" s="46"/>
      <c r="H2279" s="2"/>
      <c r="I2279" s="2"/>
      <c r="J2279" s="2"/>
    </row>
    <row r="2280" spans="2:10" x14ac:dyDescent="0.2">
      <c r="B2280" s="2"/>
      <c r="C2280" s="46"/>
      <c r="D2280" s="46"/>
      <c r="E2280" s="46"/>
      <c r="F2280" s="2"/>
      <c r="G2280" s="46"/>
      <c r="H2280" s="2"/>
      <c r="I2280" s="2"/>
      <c r="J2280" s="2"/>
    </row>
    <row r="2281" spans="2:10" x14ac:dyDescent="0.2">
      <c r="B2281" s="2"/>
      <c r="C2281" s="46"/>
      <c r="D2281" s="46"/>
      <c r="E2281" s="46"/>
      <c r="F2281" s="6"/>
      <c r="G2281" s="46"/>
      <c r="H2281" s="2"/>
      <c r="I2281" s="2"/>
      <c r="J2281" s="2"/>
    </row>
    <row r="2282" spans="2:10" x14ac:dyDescent="0.2">
      <c r="B2282" s="2"/>
      <c r="C2282" s="46"/>
      <c r="D2282" s="46"/>
      <c r="E2282" s="46"/>
      <c r="F2282" s="2"/>
      <c r="G2282" s="46"/>
      <c r="H2282" s="2"/>
      <c r="I2282" s="2"/>
      <c r="J2282" s="2"/>
    </row>
    <row r="2283" spans="2:10" x14ac:dyDescent="0.2">
      <c r="B2283" s="2"/>
      <c r="C2283" s="46"/>
      <c r="D2283" s="46"/>
      <c r="E2283" s="46"/>
      <c r="F2283" s="2"/>
      <c r="G2283" s="46"/>
      <c r="H2283" s="2"/>
      <c r="I2283" s="2"/>
      <c r="J2283" s="2"/>
    </row>
    <row r="2284" spans="2:10" x14ac:dyDescent="0.2">
      <c r="B2284" s="2"/>
      <c r="C2284" s="46"/>
      <c r="D2284" s="46"/>
      <c r="E2284" s="46"/>
      <c r="F2284" s="2"/>
      <c r="G2284" s="46"/>
      <c r="H2284" s="2"/>
      <c r="I2284" s="2"/>
      <c r="J2284" s="2"/>
    </row>
    <row r="2285" spans="2:10" x14ac:dyDescent="0.2">
      <c r="B2285" s="2"/>
      <c r="C2285" s="46"/>
      <c r="D2285" s="46"/>
      <c r="E2285" s="46"/>
      <c r="F2285" s="2"/>
      <c r="G2285" s="46"/>
      <c r="H2285" s="2"/>
      <c r="I2285" s="2"/>
      <c r="J2285" s="2"/>
    </row>
    <row r="2286" spans="2:10" x14ac:dyDescent="0.2">
      <c r="B2286" s="2"/>
      <c r="C2286" s="46"/>
      <c r="D2286" s="46"/>
      <c r="E2286" s="46"/>
      <c r="F2286" s="2"/>
      <c r="G2286" s="46"/>
      <c r="H2286" s="2"/>
      <c r="I2286" s="2"/>
      <c r="J2286" s="2"/>
    </row>
    <row r="2287" spans="2:10" x14ac:dyDescent="0.2">
      <c r="B2287" s="2"/>
      <c r="C2287" s="46"/>
      <c r="D2287" s="46"/>
      <c r="E2287" s="46"/>
      <c r="F2287" s="2"/>
      <c r="G2287" s="46"/>
      <c r="H2287" s="2"/>
      <c r="I2287" s="2"/>
      <c r="J2287" s="2"/>
    </row>
    <row r="2288" spans="2:10" x14ac:dyDescent="0.2">
      <c r="B2288" s="2"/>
      <c r="C2288" s="46"/>
      <c r="D2288" s="46"/>
      <c r="E2288" s="46"/>
      <c r="F2288" s="2"/>
      <c r="G2288" s="46"/>
      <c r="H2288" s="2"/>
      <c r="I2288" s="2"/>
      <c r="J2288" s="2"/>
    </row>
    <row r="2289" spans="2:10" x14ac:dyDescent="0.2">
      <c r="B2289" s="2"/>
      <c r="C2289" s="46"/>
      <c r="D2289" s="46"/>
      <c r="E2289" s="46"/>
      <c r="F2289" s="2"/>
      <c r="G2289" s="46"/>
      <c r="H2289" s="2"/>
      <c r="I2289" s="2"/>
      <c r="J2289" s="2"/>
    </row>
    <row r="2290" spans="2:10" x14ac:dyDescent="0.2">
      <c r="B2290" s="2"/>
      <c r="C2290" s="46"/>
      <c r="D2290" s="46"/>
      <c r="E2290" s="46"/>
      <c r="F2290" s="2"/>
      <c r="G2290" s="46"/>
      <c r="H2290" s="2"/>
      <c r="I2290" s="2"/>
      <c r="J2290" s="2"/>
    </row>
    <row r="2291" spans="2:10" x14ac:dyDescent="0.2">
      <c r="B2291" s="2"/>
      <c r="C2291" s="46"/>
      <c r="D2291" s="46"/>
      <c r="E2291" s="46"/>
      <c r="F2291" s="2"/>
      <c r="G2291" s="46"/>
      <c r="H2291" s="2"/>
      <c r="I2291" s="2"/>
      <c r="J2291" s="2"/>
    </row>
    <row r="2292" spans="2:10" x14ac:dyDescent="0.2">
      <c r="B2292" s="2"/>
      <c r="C2292" s="46"/>
      <c r="D2292" s="46"/>
      <c r="E2292" s="46"/>
      <c r="F2292" s="2"/>
      <c r="G2292" s="46"/>
      <c r="H2292" s="2"/>
      <c r="I2292" s="2"/>
      <c r="J2292" s="2"/>
    </row>
    <row r="2293" spans="2:10" x14ac:dyDescent="0.2">
      <c r="B2293" s="2"/>
      <c r="C2293" s="46"/>
      <c r="D2293" s="46"/>
      <c r="E2293" s="46"/>
      <c r="F2293" s="2"/>
      <c r="G2293" s="46"/>
      <c r="H2293" s="2"/>
      <c r="I2293" s="2"/>
      <c r="J2293" s="2"/>
    </row>
    <row r="2294" spans="2:10" x14ac:dyDescent="0.2">
      <c r="B2294" s="2"/>
      <c r="C2294" s="46"/>
      <c r="D2294" s="46"/>
      <c r="E2294" s="46"/>
      <c r="F2294" s="2"/>
      <c r="G2294" s="46"/>
      <c r="H2294" s="2"/>
      <c r="I2294" s="2"/>
      <c r="J2294" s="2"/>
    </row>
    <row r="2295" spans="2:10" x14ac:dyDescent="0.2">
      <c r="B2295" s="2"/>
      <c r="C2295" s="46"/>
      <c r="D2295" s="46"/>
      <c r="E2295" s="46"/>
      <c r="F2295" s="2"/>
      <c r="G2295" s="46"/>
      <c r="H2295" s="2"/>
      <c r="I2295" s="2"/>
      <c r="J2295" s="2"/>
    </row>
    <row r="2296" spans="2:10" x14ac:dyDescent="0.2">
      <c r="B2296" s="2"/>
      <c r="C2296" s="46"/>
      <c r="D2296" s="46"/>
      <c r="E2296" s="46"/>
      <c r="F2296" s="6"/>
      <c r="G2296" s="46"/>
      <c r="H2296" s="2"/>
      <c r="I2296" s="2"/>
      <c r="J2296" s="2"/>
    </row>
    <row r="2297" spans="2:10" x14ac:dyDescent="0.2">
      <c r="B2297" s="2"/>
      <c r="C2297" s="46"/>
      <c r="D2297" s="46"/>
      <c r="E2297" s="46"/>
      <c r="F2297" s="2"/>
      <c r="G2297" s="46"/>
      <c r="H2297" s="2"/>
      <c r="I2297" s="2"/>
      <c r="J2297" s="2"/>
    </row>
    <row r="2298" spans="2:10" x14ac:dyDescent="0.2">
      <c r="B2298" s="2"/>
      <c r="C2298" s="46"/>
      <c r="D2298" s="46"/>
      <c r="E2298" s="46"/>
      <c r="F2298" s="6"/>
      <c r="G2298" s="46"/>
      <c r="H2298" s="2"/>
      <c r="I2298" s="2"/>
      <c r="J2298" s="2"/>
    </row>
    <row r="2299" spans="2:10" x14ac:dyDescent="0.2">
      <c r="B2299" s="2"/>
      <c r="C2299" s="46"/>
      <c r="D2299" s="46"/>
      <c r="E2299" s="46"/>
      <c r="F2299" s="2"/>
      <c r="G2299" s="46"/>
      <c r="H2299" s="2"/>
      <c r="I2299" s="2"/>
      <c r="J2299" s="2"/>
    </row>
    <row r="2300" spans="2:10" x14ac:dyDescent="0.2">
      <c r="B2300" s="2"/>
      <c r="C2300" s="46"/>
      <c r="D2300" s="46"/>
      <c r="E2300" s="46"/>
      <c r="F2300" s="2"/>
      <c r="G2300" s="46"/>
      <c r="H2300" s="2"/>
      <c r="I2300" s="2"/>
      <c r="J2300" s="2"/>
    </row>
    <row r="2301" spans="2:10" x14ac:dyDescent="0.2">
      <c r="B2301" s="2"/>
      <c r="C2301" s="46"/>
      <c r="D2301" s="46"/>
      <c r="E2301" s="46"/>
      <c r="F2301" s="2"/>
      <c r="G2301" s="46"/>
      <c r="H2301" s="2"/>
      <c r="I2301" s="2"/>
      <c r="J2301" s="2"/>
    </row>
    <row r="2302" spans="2:10" x14ac:dyDescent="0.2">
      <c r="B2302" s="2"/>
      <c r="C2302" s="46"/>
      <c r="D2302" s="46"/>
      <c r="E2302" s="46"/>
      <c r="F2302" s="2"/>
      <c r="G2302" s="46"/>
      <c r="H2302" s="2"/>
      <c r="I2302" s="2"/>
      <c r="J2302" s="2"/>
    </row>
    <row r="2303" spans="2:10" x14ac:dyDescent="0.2">
      <c r="B2303" s="2"/>
      <c r="C2303" s="46"/>
      <c r="D2303" s="46"/>
      <c r="E2303" s="46"/>
      <c r="F2303" s="2"/>
      <c r="G2303" s="46"/>
      <c r="H2303" s="2"/>
      <c r="I2303" s="2"/>
      <c r="J2303" s="2"/>
    </row>
    <row r="2304" spans="2:10" x14ac:dyDescent="0.2">
      <c r="B2304" s="2"/>
      <c r="C2304" s="46"/>
      <c r="D2304" s="46"/>
      <c r="E2304" s="46"/>
      <c r="F2304" s="2"/>
      <c r="G2304" s="46"/>
      <c r="H2304" s="2"/>
      <c r="I2304" s="2"/>
      <c r="J2304" s="2"/>
    </row>
    <row r="2305" spans="2:10" x14ac:dyDescent="0.2">
      <c r="B2305" s="2"/>
      <c r="C2305" s="46"/>
      <c r="D2305" s="46"/>
      <c r="E2305" s="46"/>
      <c r="F2305" s="2"/>
      <c r="G2305" s="46"/>
      <c r="H2305" s="2"/>
      <c r="I2305" s="2"/>
      <c r="J2305" s="2"/>
    </row>
    <row r="2306" spans="2:10" x14ac:dyDescent="0.2">
      <c r="B2306" s="2"/>
      <c r="C2306" s="46"/>
      <c r="D2306" s="46"/>
      <c r="E2306" s="46"/>
      <c r="F2306" s="6"/>
      <c r="G2306" s="46"/>
      <c r="H2306" s="2"/>
      <c r="I2306" s="2"/>
      <c r="J2306" s="2"/>
    </row>
    <row r="2307" spans="2:10" x14ac:dyDescent="0.2">
      <c r="B2307" s="2"/>
      <c r="C2307" s="46"/>
      <c r="D2307" s="46"/>
      <c r="E2307" s="46"/>
      <c r="F2307" s="6"/>
      <c r="G2307" s="46"/>
      <c r="H2307" s="2"/>
      <c r="I2307" s="2"/>
      <c r="J2307" s="2"/>
    </row>
    <row r="2308" spans="2:10" x14ac:dyDescent="0.2">
      <c r="B2308" s="2"/>
      <c r="C2308" s="46"/>
      <c r="D2308" s="46"/>
      <c r="E2308" s="46"/>
      <c r="F2308" s="2"/>
      <c r="G2308" s="46"/>
      <c r="H2308" s="2"/>
      <c r="I2308" s="2"/>
      <c r="J2308" s="2"/>
    </row>
    <row r="2309" spans="2:10" x14ac:dyDescent="0.2">
      <c r="B2309" s="2"/>
      <c r="C2309" s="46"/>
      <c r="D2309" s="46"/>
      <c r="E2309" s="46"/>
      <c r="F2309" s="6"/>
      <c r="G2309" s="46"/>
      <c r="H2309" s="2"/>
      <c r="I2309" s="2"/>
      <c r="J2309" s="2"/>
    </row>
    <row r="2310" spans="2:10" x14ac:dyDescent="0.2">
      <c r="B2310" s="2"/>
      <c r="C2310" s="46"/>
      <c r="D2310" s="46"/>
      <c r="E2310" s="46"/>
      <c r="F2310" s="2"/>
      <c r="G2310" s="46"/>
      <c r="H2310" s="2"/>
      <c r="I2310" s="2"/>
      <c r="J2310" s="2"/>
    </row>
    <row r="2311" spans="2:10" x14ac:dyDescent="0.2">
      <c r="B2311" s="2"/>
      <c r="C2311" s="46"/>
      <c r="D2311" s="46"/>
      <c r="E2311" s="46"/>
      <c r="F2311" s="2"/>
      <c r="G2311" s="46"/>
      <c r="H2311" s="2"/>
      <c r="I2311" s="2"/>
      <c r="J2311" s="2"/>
    </row>
    <row r="2312" spans="2:10" x14ac:dyDescent="0.2">
      <c r="B2312" s="2"/>
      <c r="C2312" s="46"/>
      <c r="D2312" s="46"/>
      <c r="E2312" s="46"/>
      <c r="F2312" s="2"/>
      <c r="G2312" s="46"/>
      <c r="H2312" s="2"/>
      <c r="I2312" s="2"/>
      <c r="J2312" s="2"/>
    </row>
    <row r="2313" spans="2:10" x14ac:dyDescent="0.2">
      <c r="B2313" s="2"/>
      <c r="C2313" s="46"/>
      <c r="D2313" s="46"/>
      <c r="E2313" s="46"/>
      <c r="F2313" s="2"/>
      <c r="G2313" s="46"/>
      <c r="H2313" s="2"/>
      <c r="I2313" s="2"/>
      <c r="J2313" s="2"/>
    </row>
    <row r="2314" spans="2:10" x14ac:dyDescent="0.2">
      <c r="B2314" s="2"/>
      <c r="C2314" s="46"/>
      <c r="D2314" s="46"/>
      <c r="E2314" s="46"/>
      <c r="F2314" s="2"/>
      <c r="G2314" s="46"/>
      <c r="H2314" s="2"/>
      <c r="I2314" s="2"/>
      <c r="J2314" s="2"/>
    </row>
    <row r="2315" spans="2:10" x14ac:dyDescent="0.2">
      <c r="B2315" s="2"/>
      <c r="C2315" s="46"/>
      <c r="D2315" s="46"/>
      <c r="E2315" s="46"/>
      <c r="F2315" s="2"/>
      <c r="G2315" s="46"/>
      <c r="H2315" s="2"/>
      <c r="I2315" s="2"/>
      <c r="J2315" s="2"/>
    </row>
    <row r="2316" spans="2:10" x14ac:dyDescent="0.2">
      <c r="B2316" s="2"/>
      <c r="C2316" s="46"/>
      <c r="D2316" s="46"/>
      <c r="E2316" s="46"/>
      <c r="F2316" s="6"/>
      <c r="G2316" s="46"/>
      <c r="H2316" s="2"/>
      <c r="I2316" s="2"/>
      <c r="J2316" s="2"/>
    </row>
    <row r="2317" spans="2:10" x14ac:dyDescent="0.2">
      <c r="B2317" s="2"/>
      <c r="C2317" s="46"/>
      <c r="D2317" s="46"/>
      <c r="E2317" s="46"/>
      <c r="F2317" s="2"/>
      <c r="G2317" s="46"/>
      <c r="H2317" s="2"/>
      <c r="I2317" s="2"/>
      <c r="J2317" s="2"/>
    </row>
    <row r="2318" spans="2:10" x14ac:dyDescent="0.2">
      <c r="B2318" s="2"/>
      <c r="C2318" s="46"/>
      <c r="D2318" s="46"/>
      <c r="E2318" s="46"/>
      <c r="F2318" s="2"/>
      <c r="G2318" s="46"/>
      <c r="H2318" s="2"/>
      <c r="I2318" s="2"/>
      <c r="J2318" s="2"/>
    </row>
    <row r="2319" spans="2:10" x14ac:dyDescent="0.2">
      <c r="B2319" s="2"/>
      <c r="C2319" s="46"/>
      <c r="D2319" s="46"/>
      <c r="E2319" s="46"/>
      <c r="F2319" s="2"/>
      <c r="G2319" s="46"/>
      <c r="H2319" s="2"/>
      <c r="I2319" s="2"/>
      <c r="J2319" s="2"/>
    </row>
    <row r="2320" spans="2:10" x14ac:dyDescent="0.2">
      <c r="B2320" s="2"/>
      <c r="C2320" s="46"/>
      <c r="D2320" s="46"/>
      <c r="E2320" s="46"/>
      <c r="F2320" s="6"/>
      <c r="G2320" s="46"/>
      <c r="H2320" s="2"/>
      <c r="I2320" s="2"/>
      <c r="J2320" s="2"/>
    </row>
    <row r="2321" spans="2:10" x14ac:dyDescent="0.2">
      <c r="B2321" s="2"/>
      <c r="C2321" s="46"/>
      <c r="D2321" s="46"/>
      <c r="E2321" s="46"/>
      <c r="F2321" s="6"/>
      <c r="G2321" s="46"/>
      <c r="H2321" s="2"/>
      <c r="I2321" s="2"/>
      <c r="J2321" s="2"/>
    </row>
    <row r="2322" spans="2:10" x14ac:dyDescent="0.2">
      <c r="B2322" s="2"/>
      <c r="C2322" s="46"/>
      <c r="D2322" s="46"/>
      <c r="E2322" s="46"/>
      <c r="F2322" s="6"/>
      <c r="G2322" s="46"/>
      <c r="H2322" s="2"/>
      <c r="I2322" s="2"/>
      <c r="J2322" s="2"/>
    </row>
    <row r="2323" spans="2:10" x14ac:dyDescent="0.2">
      <c r="B2323" s="2"/>
      <c r="C2323" s="46"/>
      <c r="D2323" s="46"/>
      <c r="E2323" s="46"/>
      <c r="F2323" s="6"/>
      <c r="G2323" s="46"/>
      <c r="H2323" s="2"/>
      <c r="I2323" s="2"/>
      <c r="J2323" s="2"/>
    </row>
    <row r="2324" spans="2:10" x14ac:dyDescent="0.2">
      <c r="B2324" s="2"/>
      <c r="C2324" s="46"/>
      <c r="D2324" s="46"/>
      <c r="E2324" s="46"/>
      <c r="F2324" s="2"/>
      <c r="G2324" s="46"/>
      <c r="H2324" s="2"/>
      <c r="I2324" s="2"/>
      <c r="J2324" s="2"/>
    </row>
    <row r="2325" spans="2:10" x14ac:dyDescent="0.2">
      <c r="B2325" s="2"/>
      <c r="C2325" s="46"/>
      <c r="D2325" s="46"/>
      <c r="E2325" s="46"/>
      <c r="F2325" s="2"/>
      <c r="G2325" s="46"/>
      <c r="H2325" s="2"/>
      <c r="I2325" s="2"/>
      <c r="J2325" s="2"/>
    </row>
    <row r="2326" spans="2:10" x14ac:dyDescent="0.2">
      <c r="B2326" s="2"/>
      <c r="C2326" s="46"/>
      <c r="D2326" s="46"/>
      <c r="E2326" s="46"/>
      <c r="F2326" s="2"/>
      <c r="G2326" s="46"/>
      <c r="H2326" s="2"/>
      <c r="I2326" s="2"/>
      <c r="J2326" s="2"/>
    </row>
    <row r="2327" spans="2:10" x14ac:dyDescent="0.2">
      <c r="B2327" s="2"/>
      <c r="C2327" s="46"/>
      <c r="D2327" s="46"/>
      <c r="E2327" s="46"/>
      <c r="F2327" s="2"/>
      <c r="G2327" s="46"/>
      <c r="H2327" s="2"/>
      <c r="I2327" s="2"/>
      <c r="J2327" s="2"/>
    </row>
    <row r="2328" spans="2:10" x14ac:dyDescent="0.2">
      <c r="B2328" s="2"/>
      <c r="C2328" s="46"/>
      <c r="D2328" s="46"/>
      <c r="E2328" s="46"/>
      <c r="F2328" s="2"/>
      <c r="G2328" s="46"/>
      <c r="H2328" s="2"/>
      <c r="I2328" s="2"/>
      <c r="J2328" s="2"/>
    </row>
    <row r="2329" spans="2:10" x14ac:dyDescent="0.2">
      <c r="B2329" s="2"/>
      <c r="C2329" s="46"/>
      <c r="D2329" s="46"/>
      <c r="E2329" s="46"/>
      <c r="F2329" s="6"/>
      <c r="G2329" s="46"/>
      <c r="H2329" s="2"/>
      <c r="I2329" s="2"/>
      <c r="J2329" s="2"/>
    </row>
    <row r="2330" spans="2:10" x14ac:dyDescent="0.2">
      <c r="B2330" s="2"/>
      <c r="C2330" s="46"/>
      <c r="D2330" s="46"/>
      <c r="E2330" s="46"/>
      <c r="F2330" s="6"/>
      <c r="G2330" s="46"/>
      <c r="H2330" s="2"/>
      <c r="I2330" s="2"/>
      <c r="J2330" s="2"/>
    </row>
    <row r="2331" spans="2:10" x14ac:dyDescent="0.2">
      <c r="B2331" s="2"/>
      <c r="C2331" s="46"/>
      <c r="D2331" s="46"/>
      <c r="E2331" s="46"/>
      <c r="F2331" s="6"/>
      <c r="G2331" s="46"/>
      <c r="H2331" s="2"/>
      <c r="I2331" s="2"/>
      <c r="J2331" s="2"/>
    </row>
    <row r="2332" spans="2:10" x14ac:dyDescent="0.2">
      <c r="B2332" s="2"/>
      <c r="C2332" s="46"/>
      <c r="D2332" s="46"/>
      <c r="E2332" s="46"/>
      <c r="F2332" s="2"/>
      <c r="G2332" s="46"/>
      <c r="H2332" s="2"/>
      <c r="I2332" s="2"/>
      <c r="J2332" s="2"/>
    </row>
    <row r="2333" spans="2:10" x14ac:dyDescent="0.2">
      <c r="B2333" s="2"/>
      <c r="C2333" s="46"/>
      <c r="D2333" s="46"/>
      <c r="E2333" s="46"/>
      <c r="F2333" s="2"/>
      <c r="G2333" s="46"/>
      <c r="H2333" s="2"/>
      <c r="I2333" s="2"/>
      <c r="J2333" s="2"/>
    </row>
    <row r="2334" spans="2:10" x14ac:dyDescent="0.2">
      <c r="B2334" s="2"/>
      <c r="C2334" s="46"/>
      <c r="D2334" s="46"/>
      <c r="E2334" s="46"/>
      <c r="F2334" s="6"/>
      <c r="G2334" s="46"/>
      <c r="H2334" s="2"/>
      <c r="I2334" s="2"/>
      <c r="J2334" s="2"/>
    </row>
    <row r="2335" spans="2:10" x14ac:dyDescent="0.2">
      <c r="B2335" s="2"/>
      <c r="C2335" s="46"/>
      <c r="D2335" s="46"/>
      <c r="E2335" s="46"/>
      <c r="F2335" s="6"/>
      <c r="G2335" s="46"/>
      <c r="H2335" s="2"/>
      <c r="I2335" s="2"/>
      <c r="J2335" s="2"/>
    </row>
    <row r="2336" spans="2:10" x14ac:dyDescent="0.2">
      <c r="B2336" s="2"/>
      <c r="C2336" s="46"/>
      <c r="D2336" s="46"/>
      <c r="E2336" s="46"/>
      <c r="F2336" s="2"/>
      <c r="G2336" s="46"/>
      <c r="H2336" s="2"/>
      <c r="I2336" s="2"/>
      <c r="J2336" s="2"/>
    </row>
    <row r="2337" spans="2:10" x14ac:dyDescent="0.2">
      <c r="B2337" s="2"/>
      <c r="C2337" s="46"/>
      <c r="D2337" s="46"/>
      <c r="E2337" s="46"/>
      <c r="F2337" s="2"/>
      <c r="G2337" s="46"/>
      <c r="H2337" s="2"/>
      <c r="I2337" s="2"/>
      <c r="J2337" s="2"/>
    </row>
    <row r="2338" spans="2:10" x14ac:dyDescent="0.2">
      <c r="B2338" s="2"/>
      <c r="C2338" s="46"/>
      <c r="D2338" s="46"/>
      <c r="E2338" s="46"/>
      <c r="F2338" s="6"/>
      <c r="G2338" s="46"/>
      <c r="H2338" s="2"/>
      <c r="I2338" s="2"/>
      <c r="J2338" s="2"/>
    </row>
    <row r="2339" spans="2:10" x14ac:dyDescent="0.2">
      <c r="B2339" s="2"/>
      <c r="C2339" s="46"/>
      <c r="D2339" s="46"/>
      <c r="E2339" s="46"/>
      <c r="F2339" s="6"/>
      <c r="G2339" s="46"/>
      <c r="H2339" s="2"/>
      <c r="I2339" s="2"/>
      <c r="J2339" s="2"/>
    </row>
    <row r="2340" spans="2:10" x14ac:dyDescent="0.2">
      <c r="B2340" s="2"/>
      <c r="C2340" s="46"/>
      <c r="D2340" s="46"/>
      <c r="E2340" s="46"/>
      <c r="F2340" s="6"/>
      <c r="G2340" s="46"/>
      <c r="H2340" s="2"/>
      <c r="I2340" s="2"/>
      <c r="J2340" s="2"/>
    </row>
    <row r="2341" spans="2:10" x14ac:dyDescent="0.2">
      <c r="B2341" s="2"/>
      <c r="C2341" s="46"/>
      <c r="D2341" s="46"/>
      <c r="E2341" s="46"/>
      <c r="F2341" s="2"/>
      <c r="G2341" s="46"/>
      <c r="H2341" s="2"/>
      <c r="I2341" s="2"/>
      <c r="J2341" s="2"/>
    </row>
    <row r="2342" spans="2:10" x14ac:dyDescent="0.2">
      <c r="B2342" s="2"/>
      <c r="C2342" s="46"/>
      <c r="D2342" s="46"/>
      <c r="E2342" s="46"/>
      <c r="F2342" s="2"/>
      <c r="G2342" s="46"/>
      <c r="H2342" s="2"/>
      <c r="I2342" s="2"/>
      <c r="J2342" s="2"/>
    </row>
    <row r="2343" spans="2:10" x14ac:dyDescent="0.2">
      <c r="B2343" s="2"/>
      <c r="C2343" s="46"/>
      <c r="D2343" s="46"/>
      <c r="E2343" s="46"/>
      <c r="F2343" s="2"/>
      <c r="G2343" s="46"/>
      <c r="H2343" s="2"/>
      <c r="I2343" s="2"/>
      <c r="J2343" s="2"/>
    </row>
    <row r="2344" spans="2:10" x14ac:dyDescent="0.2">
      <c r="B2344" s="2"/>
      <c r="C2344" s="46"/>
      <c r="D2344" s="46"/>
      <c r="E2344" s="46"/>
      <c r="F2344" s="2"/>
      <c r="G2344" s="46"/>
      <c r="H2344" s="2"/>
      <c r="I2344" s="2"/>
      <c r="J2344" s="2"/>
    </row>
    <row r="2345" spans="2:10" x14ac:dyDescent="0.2">
      <c r="B2345" s="2"/>
      <c r="C2345" s="46"/>
      <c r="D2345" s="46"/>
      <c r="E2345" s="46"/>
      <c r="F2345" s="2"/>
      <c r="G2345" s="46"/>
      <c r="H2345" s="2"/>
      <c r="I2345" s="2"/>
      <c r="J2345" s="2"/>
    </row>
    <row r="2346" spans="2:10" x14ac:dyDescent="0.2">
      <c r="B2346" s="2"/>
      <c r="C2346" s="46"/>
      <c r="D2346" s="46"/>
      <c r="E2346" s="46"/>
      <c r="F2346" s="2"/>
      <c r="G2346" s="46"/>
      <c r="H2346" s="2"/>
      <c r="I2346" s="2"/>
      <c r="J2346" s="2"/>
    </row>
    <row r="2347" spans="2:10" x14ac:dyDescent="0.2">
      <c r="B2347" s="2"/>
      <c r="C2347" s="46"/>
      <c r="D2347" s="46"/>
      <c r="E2347" s="46"/>
      <c r="F2347" s="2"/>
      <c r="G2347" s="46"/>
      <c r="H2347" s="2"/>
      <c r="I2347" s="2"/>
      <c r="J2347" s="2"/>
    </row>
    <row r="2348" spans="2:10" x14ac:dyDescent="0.2">
      <c r="B2348" s="2"/>
      <c r="C2348" s="46"/>
      <c r="D2348" s="46"/>
      <c r="E2348" s="46"/>
      <c r="F2348" s="6"/>
      <c r="G2348" s="46"/>
      <c r="H2348" s="2"/>
      <c r="I2348" s="2"/>
      <c r="J2348" s="2"/>
    </row>
    <row r="2349" spans="2:10" x14ac:dyDescent="0.2">
      <c r="B2349" s="2"/>
      <c r="C2349" s="46"/>
      <c r="D2349" s="46"/>
      <c r="E2349" s="46"/>
      <c r="F2349" s="2"/>
      <c r="G2349" s="46"/>
      <c r="H2349" s="2"/>
      <c r="I2349" s="2"/>
      <c r="J2349" s="2"/>
    </row>
    <row r="2350" spans="2:10" x14ac:dyDescent="0.2">
      <c r="B2350" s="2"/>
      <c r="C2350" s="46"/>
      <c r="D2350" s="46"/>
      <c r="E2350" s="46"/>
      <c r="F2350" s="2"/>
      <c r="G2350" s="46"/>
      <c r="H2350" s="2"/>
      <c r="I2350" s="2"/>
      <c r="J2350" s="2"/>
    </row>
    <row r="2351" spans="2:10" x14ac:dyDescent="0.2">
      <c r="B2351" s="2"/>
      <c r="C2351" s="46"/>
      <c r="D2351" s="46"/>
      <c r="E2351" s="46"/>
      <c r="F2351" s="6"/>
      <c r="G2351" s="46"/>
      <c r="H2351" s="2"/>
      <c r="I2351" s="2"/>
      <c r="J2351" s="2"/>
    </row>
    <row r="2352" spans="2:10" x14ac:dyDescent="0.2">
      <c r="B2352" s="2"/>
      <c r="C2352" s="46"/>
      <c r="D2352" s="46"/>
      <c r="E2352" s="46"/>
      <c r="F2352" s="2"/>
      <c r="G2352" s="46"/>
      <c r="H2352" s="2"/>
      <c r="I2352" s="2"/>
      <c r="J2352" s="2"/>
    </row>
    <row r="2353" spans="2:10" x14ac:dyDescent="0.2">
      <c r="B2353" s="2"/>
      <c r="C2353" s="46"/>
      <c r="D2353" s="46"/>
      <c r="E2353" s="46"/>
      <c r="F2353" s="6"/>
      <c r="G2353" s="46"/>
      <c r="H2353" s="2"/>
      <c r="I2353" s="2"/>
      <c r="J2353" s="2"/>
    </row>
    <row r="2354" spans="2:10" x14ac:dyDescent="0.2">
      <c r="B2354" s="2"/>
      <c r="C2354" s="46"/>
      <c r="D2354" s="46"/>
      <c r="E2354" s="46"/>
      <c r="F2354" s="2"/>
      <c r="G2354" s="46"/>
      <c r="H2354" s="2"/>
      <c r="I2354" s="2"/>
      <c r="J2354" s="2"/>
    </row>
    <row r="2355" spans="2:10" x14ac:dyDescent="0.2">
      <c r="B2355" s="2"/>
      <c r="C2355" s="46"/>
      <c r="D2355" s="46"/>
      <c r="E2355" s="46"/>
      <c r="F2355" s="6"/>
      <c r="G2355" s="46"/>
      <c r="H2355" s="2"/>
      <c r="I2355" s="2"/>
      <c r="J2355" s="2"/>
    </row>
    <row r="2356" spans="2:10" x14ac:dyDescent="0.2">
      <c r="B2356" s="2"/>
      <c r="C2356" s="46"/>
      <c r="D2356" s="46"/>
      <c r="E2356" s="46"/>
      <c r="F2356" s="6"/>
      <c r="G2356" s="46"/>
      <c r="H2356" s="2"/>
      <c r="I2356" s="2"/>
      <c r="J2356" s="2"/>
    </row>
    <row r="2357" spans="2:10" x14ac:dyDescent="0.2">
      <c r="B2357" s="2"/>
      <c r="C2357" s="46"/>
      <c r="D2357" s="46"/>
      <c r="E2357" s="46"/>
      <c r="F2357" s="2"/>
      <c r="G2357" s="46"/>
      <c r="H2357" s="2"/>
      <c r="I2357" s="2"/>
      <c r="J2357" s="2"/>
    </row>
    <row r="2358" spans="2:10" x14ac:dyDescent="0.2">
      <c r="B2358" s="2"/>
      <c r="C2358" s="46"/>
      <c r="D2358" s="46"/>
      <c r="E2358" s="46"/>
      <c r="F2358" s="6"/>
      <c r="G2358" s="46"/>
      <c r="H2358" s="2"/>
      <c r="I2358" s="2"/>
      <c r="J2358" s="2"/>
    </row>
    <row r="2359" spans="2:10" x14ac:dyDescent="0.2">
      <c r="B2359" s="2"/>
      <c r="C2359" s="46"/>
      <c r="D2359" s="46"/>
      <c r="E2359" s="46"/>
      <c r="F2359" s="2"/>
      <c r="G2359" s="46"/>
      <c r="H2359" s="2"/>
      <c r="I2359" s="2"/>
      <c r="J2359" s="2"/>
    </row>
    <row r="2360" spans="2:10" x14ac:dyDescent="0.2">
      <c r="B2360" s="2"/>
      <c r="C2360" s="46"/>
      <c r="D2360" s="46"/>
      <c r="E2360" s="46"/>
      <c r="F2360" s="2"/>
      <c r="G2360" s="46"/>
      <c r="H2360" s="2"/>
      <c r="I2360" s="2"/>
      <c r="J2360" s="2"/>
    </row>
    <row r="2361" spans="2:10" x14ac:dyDescent="0.2">
      <c r="B2361" s="2"/>
      <c r="C2361" s="46"/>
      <c r="D2361" s="46"/>
      <c r="E2361" s="46"/>
      <c r="F2361" s="2"/>
      <c r="G2361" s="46"/>
      <c r="H2361" s="2"/>
      <c r="I2361" s="2"/>
      <c r="J2361" s="2"/>
    </row>
    <row r="2362" spans="2:10" x14ac:dyDescent="0.2">
      <c r="B2362" s="2"/>
      <c r="C2362" s="46"/>
      <c r="D2362" s="46"/>
      <c r="E2362" s="46"/>
      <c r="F2362" s="6"/>
      <c r="G2362" s="46"/>
      <c r="H2362" s="2"/>
      <c r="I2362" s="2"/>
      <c r="J2362" s="2"/>
    </row>
    <row r="2363" spans="2:10" x14ac:dyDescent="0.2">
      <c r="B2363" s="2"/>
      <c r="C2363" s="46"/>
      <c r="D2363" s="46"/>
      <c r="E2363" s="46"/>
      <c r="F2363" s="6"/>
      <c r="G2363" s="46"/>
      <c r="H2363" s="2"/>
      <c r="I2363" s="2"/>
      <c r="J2363" s="2"/>
    </row>
    <row r="2364" spans="2:10" x14ac:dyDescent="0.2">
      <c r="B2364" s="2"/>
      <c r="C2364" s="46"/>
      <c r="D2364" s="46"/>
      <c r="E2364" s="46"/>
      <c r="F2364" s="6"/>
      <c r="G2364" s="46"/>
      <c r="H2364" s="2"/>
      <c r="I2364" s="2"/>
      <c r="J2364" s="2"/>
    </row>
    <row r="2365" spans="2:10" x14ac:dyDescent="0.2">
      <c r="B2365" s="2"/>
      <c r="C2365" s="46"/>
      <c r="D2365" s="46"/>
      <c r="E2365" s="46"/>
      <c r="F2365" s="2"/>
      <c r="G2365" s="46"/>
      <c r="H2365" s="2"/>
      <c r="I2365" s="2"/>
      <c r="J2365" s="2"/>
    </row>
    <row r="2366" spans="2:10" x14ac:dyDescent="0.2">
      <c r="B2366" s="2"/>
      <c r="C2366" s="46"/>
      <c r="D2366" s="46"/>
      <c r="E2366" s="46"/>
      <c r="F2366" s="2"/>
      <c r="G2366" s="46"/>
      <c r="H2366" s="2"/>
      <c r="I2366" s="2"/>
      <c r="J2366" s="2"/>
    </row>
    <row r="2367" spans="2:10" x14ac:dyDescent="0.2">
      <c r="B2367" s="2"/>
      <c r="C2367" s="46"/>
      <c r="D2367" s="46"/>
      <c r="E2367" s="46"/>
      <c r="F2367" s="2"/>
      <c r="G2367" s="46"/>
      <c r="H2367" s="2"/>
      <c r="I2367" s="2"/>
      <c r="J2367" s="2"/>
    </row>
    <row r="2368" spans="2:10" x14ac:dyDescent="0.2">
      <c r="B2368" s="2"/>
      <c r="C2368" s="46"/>
      <c r="D2368" s="46"/>
      <c r="E2368" s="46"/>
      <c r="F2368" s="2"/>
      <c r="G2368" s="46"/>
      <c r="H2368" s="2"/>
      <c r="I2368" s="2"/>
      <c r="J2368" s="2"/>
    </row>
    <row r="2369" spans="2:10" x14ac:dyDescent="0.2">
      <c r="B2369" s="2"/>
      <c r="C2369" s="46"/>
      <c r="D2369" s="46"/>
      <c r="E2369" s="46"/>
      <c r="F2369" s="2"/>
      <c r="G2369" s="46"/>
      <c r="H2369" s="2"/>
      <c r="I2369" s="2"/>
      <c r="J2369" s="2"/>
    </row>
    <row r="2370" spans="2:10" x14ac:dyDescent="0.2">
      <c r="B2370" s="2"/>
      <c r="C2370" s="46"/>
      <c r="D2370" s="46"/>
      <c r="E2370" s="46"/>
      <c r="F2370" s="2"/>
      <c r="G2370" s="46"/>
      <c r="H2370" s="2"/>
      <c r="I2370" s="2"/>
      <c r="J2370" s="2"/>
    </row>
    <row r="2371" spans="2:10" x14ac:dyDescent="0.2">
      <c r="B2371" s="2"/>
      <c r="C2371" s="46"/>
      <c r="D2371" s="46"/>
      <c r="E2371" s="46"/>
      <c r="F2371" s="2"/>
      <c r="G2371" s="46"/>
      <c r="H2371" s="2"/>
      <c r="I2371" s="2"/>
      <c r="J2371" s="2"/>
    </row>
    <row r="2372" spans="2:10" x14ac:dyDescent="0.2">
      <c r="B2372" s="2"/>
      <c r="C2372" s="46"/>
      <c r="D2372" s="46"/>
      <c r="E2372" s="46"/>
      <c r="F2372" s="2"/>
      <c r="G2372" s="46"/>
      <c r="H2372" s="2"/>
      <c r="I2372" s="2"/>
      <c r="J2372" s="2"/>
    </row>
    <row r="2373" spans="2:10" x14ac:dyDescent="0.2">
      <c r="B2373" s="2"/>
      <c r="C2373" s="46"/>
      <c r="D2373" s="46"/>
      <c r="E2373" s="46"/>
      <c r="F2373" s="2"/>
      <c r="G2373" s="46"/>
      <c r="H2373" s="2"/>
      <c r="I2373" s="2"/>
      <c r="J2373" s="2"/>
    </row>
    <row r="2374" spans="2:10" x14ac:dyDescent="0.2">
      <c r="B2374" s="2"/>
      <c r="C2374" s="46"/>
      <c r="D2374" s="46"/>
      <c r="E2374" s="46"/>
      <c r="F2374" s="2"/>
      <c r="G2374" s="46"/>
      <c r="H2374" s="2"/>
      <c r="I2374" s="2"/>
      <c r="J2374" s="2"/>
    </row>
    <row r="2375" spans="2:10" x14ac:dyDescent="0.2">
      <c r="B2375" s="2"/>
      <c r="C2375" s="46"/>
      <c r="D2375" s="46"/>
      <c r="E2375" s="46"/>
      <c r="F2375" s="6"/>
      <c r="G2375" s="46"/>
      <c r="H2375" s="2"/>
      <c r="I2375" s="2"/>
      <c r="J2375" s="2"/>
    </row>
    <row r="2376" spans="2:10" x14ac:dyDescent="0.2">
      <c r="B2376" s="2"/>
      <c r="C2376" s="46"/>
      <c r="D2376" s="46"/>
      <c r="E2376" s="46"/>
      <c r="F2376" s="6"/>
      <c r="G2376" s="46"/>
      <c r="H2376" s="2"/>
      <c r="I2376" s="2"/>
      <c r="J2376" s="2"/>
    </row>
    <row r="2377" spans="2:10" x14ac:dyDescent="0.2">
      <c r="B2377" s="2"/>
      <c r="C2377" s="46"/>
      <c r="D2377" s="46"/>
      <c r="E2377" s="46"/>
      <c r="F2377" s="6"/>
      <c r="G2377" s="46"/>
      <c r="H2377" s="2"/>
      <c r="I2377" s="2"/>
      <c r="J2377" s="2"/>
    </row>
    <row r="2378" spans="2:10" x14ac:dyDescent="0.2">
      <c r="B2378" s="2"/>
      <c r="C2378" s="46"/>
      <c r="D2378" s="46"/>
      <c r="E2378" s="46"/>
      <c r="F2378" s="2"/>
      <c r="G2378" s="46"/>
      <c r="H2378" s="2"/>
      <c r="I2378" s="2"/>
      <c r="J2378" s="2"/>
    </row>
    <row r="2379" spans="2:10" x14ac:dyDescent="0.2">
      <c r="B2379" s="2"/>
      <c r="C2379" s="46"/>
      <c r="D2379" s="46"/>
      <c r="E2379" s="46"/>
      <c r="F2379" s="2"/>
      <c r="G2379" s="46"/>
      <c r="H2379" s="2"/>
      <c r="I2379" s="2"/>
      <c r="J2379" s="2"/>
    </row>
    <row r="2380" spans="2:10" x14ac:dyDescent="0.2">
      <c r="B2380" s="2"/>
      <c r="C2380" s="46"/>
      <c r="D2380" s="46"/>
      <c r="E2380" s="46"/>
      <c r="F2380" s="2"/>
      <c r="G2380" s="46"/>
      <c r="H2380" s="2"/>
      <c r="I2380" s="2"/>
      <c r="J2380" s="2"/>
    </row>
    <row r="2381" spans="2:10" x14ac:dyDescent="0.2">
      <c r="B2381" s="2"/>
      <c r="C2381" s="46"/>
      <c r="D2381" s="46"/>
      <c r="E2381" s="46"/>
      <c r="F2381" s="2"/>
      <c r="G2381" s="46"/>
      <c r="H2381" s="2"/>
      <c r="I2381" s="2"/>
      <c r="J2381" s="2"/>
    </row>
    <row r="2382" spans="2:10" x14ac:dyDescent="0.2">
      <c r="B2382" s="2"/>
      <c r="C2382" s="46"/>
      <c r="D2382" s="46"/>
      <c r="E2382" s="46"/>
      <c r="F2382" s="2"/>
      <c r="G2382" s="46"/>
      <c r="H2382" s="2"/>
      <c r="I2382" s="2"/>
      <c r="J2382" s="2"/>
    </row>
    <row r="2383" spans="2:10" x14ac:dyDescent="0.2">
      <c r="B2383" s="2"/>
      <c r="C2383" s="46"/>
      <c r="D2383" s="46"/>
      <c r="E2383" s="46"/>
      <c r="F2383" s="2"/>
      <c r="G2383" s="46"/>
      <c r="H2383" s="2"/>
      <c r="I2383" s="2"/>
      <c r="J2383" s="2"/>
    </row>
    <row r="2384" spans="2:10" x14ac:dyDescent="0.2">
      <c r="B2384" s="2"/>
      <c r="C2384" s="46"/>
      <c r="D2384" s="46"/>
      <c r="E2384" s="46"/>
      <c r="F2384" s="6"/>
      <c r="G2384" s="46"/>
      <c r="H2384" s="2"/>
      <c r="I2384" s="2"/>
      <c r="J2384" s="2"/>
    </row>
    <row r="2385" spans="2:10" x14ac:dyDescent="0.2">
      <c r="B2385" s="2"/>
      <c r="C2385" s="46"/>
      <c r="D2385" s="46"/>
      <c r="E2385" s="46"/>
      <c r="F2385" s="2"/>
      <c r="G2385" s="46"/>
      <c r="H2385" s="2"/>
      <c r="I2385" s="2"/>
      <c r="J2385" s="2"/>
    </row>
    <row r="2386" spans="2:10" x14ac:dyDescent="0.2">
      <c r="B2386" s="2"/>
      <c r="C2386" s="46"/>
      <c r="D2386" s="46"/>
      <c r="E2386" s="46"/>
      <c r="F2386" s="6"/>
      <c r="G2386" s="46"/>
      <c r="H2386" s="2"/>
      <c r="I2386" s="2"/>
      <c r="J2386" s="2"/>
    </row>
    <row r="2387" spans="2:10" x14ac:dyDescent="0.2">
      <c r="B2387" s="2"/>
      <c r="C2387" s="46"/>
      <c r="D2387" s="46"/>
      <c r="E2387" s="46"/>
      <c r="F2387" s="2"/>
      <c r="G2387" s="46"/>
      <c r="H2387" s="2"/>
      <c r="I2387" s="2"/>
      <c r="J2387" s="2"/>
    </row>
    <row r="2388" spans="2:10" x14ac:dyDescent="0.2">
      <c r="B2388" s="2"/>
      <c r="C2388" s="46"/>
      <c r="D2388" s="46"/>
      <c r="E2388" s="46"/>
      <c r="F2388" s="2"/>
      <c r="G2388" s="46"/>
      <c r="H2388" s="2"/>
      <c r="I2388" s="2"/>
      <c r="J2388" s="2"/>
    </row>
    <row r="2389" spans="2:10" x14ac:dyDescent="0.2">
      <c r="B2389" s="2"/>
      <c r="C2389" s="46"/>
      <c r="D2389" s="46"/>
      <c r="E2389" s="46"/>
      <c r="F2389" s="2"/>
      <c r="G2389" s="46"/>
      <c r="H2389" s="2"/>
      <c r="I2389" s="2"/>
      <c r="J2389" s="2"/>
    </row>
    <row r="2390" spans="2:10" x14ac:dyDescent="0.2">
      <c r="B2390" s="2"/>
      <c r="C2390" s="46"/>
      <c r="D2390" s="46"/>
      <c r="E2390" s="46"/>
      <c r="F2390" s="2"/>
      <c r="G2390" s="46"/>
      <c r="H2390" s="2"/>
      <c r="I2390" s="2"/>
      <c r="J2390" s="2"/>
    </row>
    <row r="2391" spans="2:10" x14ac:dyDescent="0.2">
      <c r="B2391" s="2"/>
      <c r="C2391" s="46"/>
      <c r="D2391" s="46"/>
      <c r="E2391" s="46"/>
      <c r="F2391" s="2"/>
      <c r="G2391" s="46"/>
      <c r="H2391" s="2"/>
      <c r="I2391" s="2"/>
      <c r="J2391" s="2"/>
    </row>
    <row r="2392" spans="2:10" x14ac:dyDescent="0.2">
      <c r="B2392" s="2"/>
      <c r="C2392" s="46"/>
      <c r="D2392" s="46"/>
      <c r="E2392" s="46"/>
      <c r="F2392" s="2"/>
      <c r="G2392" s="46"/>
      <c r="H2392" s="2"/>
      <c r="I2392" s="2"/>
      <c r="J2392" s="2"/>
    </row>
    <row r="2393" spans="2:10" x14ac:dyDescent="0.2">
      <c r="B2393" s="2"/>
      <c r="C2393" s="46"/>
      <c r="D2393" s="46"/>
      <c r="E2393" s="46"/>
      <c r="F2393" s="2"/>
      <c r="G2393" s="46"/>
      <c r="H2393" s="2"/>
      <c r="I2393" s="2"/>
      <c r="J2393" s="2"/>
    </row>
    <row r="2394" spans="2:10" x14ac:dyDescent="0.2">
      <c r="B2394" s="2"/>
      <c r="C2394" s="46"/>
      <c r="D2394" s="46"/>
      <c r="E2394" s="46"/>
      <c r="F2394" s="2"/>
      <c r="G2394" s="46"/>
      <c r="H2394" s="2"/>
      <c r="I2394" s="2"/>
      <c r="J2394" s="2"/>
    </row>
    <row r="2395" spans="2:10" x14ac:dyDescent="0.2">
      <c r="B2395" s="2"/>
      <c r="C2395" s="46"/>
      <c r="D2395" s="46"/>
      <c r="E2395" s="46"/>
      <c r="F2395" s="2"/>
      <c r="G2395" s="46"/>
      <c r="H2395" s="2"/>
      <c r="I2395" s="2"/>
      <c r="J2395" s="2"/>
    </row>
    <row r="2396" spans="2:10" x14ac:dyDescent="0.2">
      <c r="B2396" s="2"/>
      <c r="C2396" s="46"/>
      <c r="D2396" s="46"/>
      <c r="E2396" s="46"/>
      <c r="F2396" s="6"/>
      <c r="G2396" s="46"/>
      <c r="H2396" s="2"/>
      <c r="I2396" s="2"/>
      <c r="J2396" s="2"/>
    </row>
    <row r="2397" spans="2:10" x14ac:dyDescent="0.2">
      <c r="B2397" s="2"/>
      <c r="C2397" s="46"/>
      <c r="D2397" s="46"/>
      <c r="E2397" s="46"/>
      <c r="F2397" s="2"/>
      <c r="G2397" s="46"/>
      <c r="H2397" s="2"/>
      <c r="I2397" s="2"/>
      <c r="J2397" s="2"/>
    </row>
    <row r="2398" spans="2:10" x14ac:dyDescent="0.2">
      <c r="B2398" s="2"/>
      <c r="C2398" s="46"/>
      <c r="D2398" s="46"/>
      <c r="E2398" s="46"/>
      <c r="F2398" s="6"/>
      <c r="G2398" s="46"/>
      <c r="H2398" s="2"/>
      <c r="I2398" s="2"/>
      <c r="J2398" s="2"/>
    </row>
    <row r="2399" spans="2:10" x14ac:dyDescent="0.2">
      <c r="B2399" s="2"/>
      <c r="C2399" s="46"/>
      <c r="D2399" s="46"/>
      <c r="E2399" s="46"/>
      <c r="F2399" s="2"/>
      <c r="G2399" s="46"/>
      <c r="H2399" s="2"/>
      <c r="I2399" s="2"/>
      <c r="J2399" s="2"/>
    </row>
    <row r="2400" spans="2:10" x14ac:dyDescent="0.2">
      <c r="B2400" s="2"/>
      <c r="C2400" s="46"/>
      <c r="D2400" s="46"/>
      <c r="E2400" s="46"/>
      <c r="F2400" s="6"/>
      <c r="G2400" s="46"/>
      <c r="H2400" s="2"/>
      <c r="I2400" s="2"/>
      <c r="J2400" s="2"/>
    </row>
    <row r="2401" spans="2:10" x14ac:dyDescent="0.2">
      <c r="B2401" s="2"/>
      <c r="C2401" s="46"/>
      <c r="D2401" s="46"/>
      <c r="E2401" s="46"/>
      <c r="F2401" s="2"/>
      <c r="G2401" s="46"/>
      <c r="H2401" s="2"/>
      <c r="I2401" s="2"/>
      <c r="J2401" s="2"/>
    </row>
    <row r="2402" spans="2:10" x14ac:dyDescent="0.2">
      <c r="B2402" s="2"/>
      <c r="C2402" s="46"/>
      <c r="D2402" s="46"/>
      <c r="E2402" s="46"/>
      <c r="F2402" s="2"/>
      <c r="G2402" s="46"/>
      <c r="H2402" s="2"/>
      <c r="I2402" s="2"/>
      <c r="J2402" s="2"/>
    </row>
    <row r="2403" spans="2:10" x14ac:dyDescent="0.2">
      <c r="B2403" s="2"/>
      <c r="C2403" s="46"/>
      <c r="D2403" s="46"/>
      <c r="E2403" s="46"/>
      <c r="F2403" s="6"/>
      <c r="G2403" s="46"/>
      <c r="H2403" s="2"/>
      <c r="I2403" s="2"/>
      <c r="J2403" s="2"/>
    </row>
    <row r="2404" spans="2:10" x14ac:dyDescent="0.2">
      <c r="B2404" s="2"/>
      <c r="C2404" s="46"/>
      <c r="D2404" s="46"/>
      <c r="E2404" s="46"/>
      <c r="F2404" s="2"/>
      <c r="G2404" s="46"/>
      <c r="H2404" s="2"/>
      <c r="I2404" s="2"/>
      <c r="J2404" s="2"/>
    </row>
    <row r="2405" spans="2:10" x14ac:dyDescent="0.2">
      <c r="B2405" s="2"/>
      <c r="C2405" s="46"/>
      <c r="D2405" s="46"/>
      <c r="E2405" s="46"/>
      <c r="F2405" s="6"/>
      <c r="G2405" s="46"/>
      <c r="H2405" s="2"/>
      <c r="I2405" s="2"/>
      <c r="J2405" s="2"/>
    </row>
    <row r="2406" spans="2:10" x14ac:dyDescent="0.2">
      <c r="B2406" s="2"/>
      <c r="C2406" s="46"/>
      <c r="D2406" s="46"/>
      <c r="E2406" s="46"/>
      <c r="F2406" s="6"/>
      <c r="G2406" s="46"/>
      <c r="H2406" s="2"/>
      <c r="I2406" s="2"/>
      <c r="J2406" s="2"/>
    </row>
    <row r="2407" spans="2:10" x14ac:dyDescent="0.2">
      <c r="B2407" s="2"/>
      <c r="C2407" s="46"/>
      <c r="D2407" s="46"/>
      <c r="E2407" s="46"/>
      <c r="F2407" s="2"/>
      <c r="G2407" s="46"/>
      <c r="H2407" s="2"/>
      <c r="I2407" s="2"/>
      <c r="J2407" s="2"/>
    </row>
    <row r="2408" spans="2:10" x14ac:dyDescent="0.2">
      <c r="B2408" s="2"/>
      <c r="C2408" s="46"/>
      <c r="D2408" s="46"/>
      <c r="E2408" s="46"/>
      <c r="F2408" s="2"/>
      <c r="G2408" s="46"/>
      <c r="H2408" s="2"/>
      <c r="I2408" s="2"/>
      <c r="J2408" s="2"/>
    </row>
    <row r="2409" spans="2:10" x14ac:dyDescent="0.2">
      <c r="B2409" s="2"/>
      <c r="C2409" s="46"/>
      <c r="D2409" s="46"/>
      <c r="E2409" s="46"/>
      <c r="F2409" s="6"/>
      <c r="G2409" s="46"/>
      <c r="H2409" s="2"/>
      <c r="I2409" s="2"/>
      <c r="J2409" s="2"/>
    </row>
    <row r="2410" spans="2:10" x14ac:dyDescent="0.2">
      <c r="B2410" s="2"/>
      <c r="C2410" s="46"/>
      <c r="D2410" s="46"/>
      <c r="E2410" s="46"/>
      <c r="F2410" s="2"/>
      <c r="G2410" s="46"/>
      <c r="H2410" s="2"/>
      <c r="I2410" s="2"/>
      <c r="J2410" s="2"/>
    </row>
    <row r="2411" spans="2:10" x14ac:dyDescent="0.2">
      <c r="B2411" s="2"/>
      <c r="C2411" s="46"/>
      <c r="D2411" s="46"/>
      <c r="E2411" s="46"/>
      <c r="F2411" s="2"/>
      <c r="G2411" s="46"/>
      <c r="H2411" s="2"/>
      <c r="I2411" s="2"/>
      <c r="J2411" s="2"/>
    </row>
    <row r="2412" spans="2:10" x14ac:dyDescent="0.2">
      <c r="B2412" s="2"/>
      <c r="C2412" s="46"/>
      <c r="D2412" s="46"/>
      <c r="E2412" s="46"/>
      <c r="F2412" s="2"/>
      <c r="G2412" s="46"/>
      <c r="H2412" s="2"/>
      <c r="I2412" s="2"/>
      <c r="J2412" s="2"/>
    </row>
    <row r="2413" spans="2:10" x14ac:dyDescent="0.2">
      <c r="B2413" s="2"/>
      <c r="C2413" s="46"/>
      <c r="D2413" s="46"/>
      <c r="E2413" s="46"/>
      <c r="F2413" s="2"/>
      <c r="G2413" s="46"/>
      <c r="H2413" s="2"/>
      <c r="I2413" s="2"/>
      <c r="J2413" s="2"/>
    </row>
    <row r="2414" spans="2:10" x14ac:dyDescent="0.2">
      <c r="B2414" s="2"/>
      <c r="C2414" s="46"/>
      <c r="D2414" s="46"/>
      <c r="E2414" s="46"/>
      <c r="F2414" s="2"/>
      <c r="G2414" s="46"/>
      <c r="H2414" s="2"/>
      <c r="I2414" s="2"/>
      <c r="J2414" s="2"/>
    </row>
    <row r="2415" spans="2:10" x14ac:dyDescent="0.2">
      <c r="B2415" s="2"/>
      <c r="C2415" s="46"/>
      <c r="D2415" s="46"/>
      <c r="E2415" s="46"/>
      <c r="F2415" s="2"/>
      <c r="G2415" s="46"/>
      <c r="H2415" s="2"/>
      <c r="I2415" s="2"/>
      <c r="J2415" s="2"/>
    </row>
    <row r="2416" spans="2:10" x14ac:dyDescent="0.2">
      <c r="B2416" s="2"/>
      <c r="C2416" s="46"/>
      <c r="D2416" s="46"/>
      <c r="E2416" s="46"/>
      <c r="F2416" s="6"/>
      <c r="G2416" s="46"/>
      <c r="H2416" s="2"/>
      <c r="I2416" s="2"/>
      <c r="J2416" s="2"/>
    </row>
    <row r="2417" spans="2:10" x14ac:dyDescent="0.2">
      <c r="B2417" s="2"/>
      <c r="C2417" s="46"/>
      <c r="D2417" s="46"/>
      <c r="E2417" s="46"/>
      <c r="F2417" s="2"/>
      <c r="G2417" s="46"/>
      <c r="H2417" s="2"/>
      <c r="I2417" s="2"/>
      <c r="J2417" s="2"/>
    </row>
    <row r="2418" spans="2:10" x14ac:dyDescent="0.2">
      <c r="B2418" s="2"/>
      <c r="C2418" s="46"/>
      <c r="D2418" s="46"/>
      <c r="E2418" s="46"/>
      <c r="F2418" s="2"/>
      <c r="G2418" s="46"/>
      <c r="H2418" s="2"/>
      <c r="I2418" s="2"/>
      <c r="J2418" s="2"/>
    </row>
    <row r="2419" spans="2:10" x14ac:dyDescent="0.2">
      <c r="B2419" s="2"/>
      <c r="C2419" s="46"/>
      <c r="D2419" s="46"/>
      <c r="E2419" s="46"/>
      <c r="F2419" s="6"/>
      <c r="G2419" s="46"/>
      <c r="H2419" s="2"/>
      <c r="I2419" s="2"/>
      <c r="J2419" s="2"/>
    </row>
    <row r="2420" spans="2:10" x14ac:dyDescent="0.2">
      <c r="B2420" s="2"/>
      <c r="C2420" s="46"/>
      <c r="D2420" s="46"/>
      <c r="E2420" s="46"/>
      <c r="F2420" s="2"/>
      <c r="G2420" s="46"/>
      <c r="H2420" s="2"/>
      <c r="I2420" s="2"/>
      <c r="J2420" s="2"/>
    </row>
    <row r="2421" spans="2:10" x14ac:dyDescent="0.2">
      <c r="B2421" s="2"/>
      <c r="C2421" s="46"/>
      <c r="D2421" s="46"/>
      <c r="E2421" s="46"/>
      <c r="F2421" s="2"/>
      <c r="G2421" s="46"/>
      <c r="H2421" s="2"/>
      <c r="I2421" s="2"/>
      <c r="J2421" s="2"/>
    </row>
    <row r="2422" spans="2:10" x14ac:dyDescent="0.2">
      <c r="B2422" s="2"/>
      <c r="C2422" s="46"/>
      <c r="D2422" s="46"/>
      <c r="E2422" s="46"/>
      <c r="F2422" s="2"/>
      <c r="G2422" s="46"/>
      <c r="H2422" s="2"/>
      <c r="I2422" s="2"/>
      <c r="J2422" s="2"/>
    </row>
    <row r="2423" spans="2:10" x14ac:dyDescent="0.2">
      <c r="B2423" s="2"/>
      <c r="C2423" s="46"/>
      <c r="D2423" s="46"/>
      <c r="E2423" s="46"/>
      <c r="F2423" s="2"/>
      <c r="G2423" s="46"/>
      <c r="H2423" s="2"/>
      <c r="I2423" s="2"/>
      <c r="J2423" s="2"/>
    </row>
    <row r="2424" spans="2:10" x14ac:dyDescent="0.2">
      <c r="B2424" s="2"/>
      <c r="C2424" s="46"/>
      <c r="D2424" s="46"/>
      <c r="E2424" s="46"/>
      <c r="F2424" s="2"/>
      <c r="G2424" s="46"/>
      <c r="H2424" s="2"/>
      <c r="I2424" s="2"/>
      <c r="J2424" s="2"/>
    </row>
    <row r="2425" spans="2:10" x14ac:dyDescent="0.2">
      <c r="B2425" s="2"/>
      <c r="C2425" s="46"/>
      <c r="D2425" s="46"/>
      <c r="E2425" s="46"/>
      <c r="F2425" s="2"/>
      <c r="G2425" s="46"/>
      <c r="H2425" s="2"/>
      <c r="I2425" s="2"/>
      <c r="J2425" s="2"/>
    </row>
    <row r="2426" spans="2:10" x14ac:dyDescent="0.2">
      <c r="B2426" s="2"/>
      <c r="C2426" s="46"/>
      <c r="D2426" s="46"/>
      <c r="E2426" s="46"/>
      <c r="F2426" s="2"/>
      <c r="G2426" s="46"/>
      <c r="H2426" s="2"/>
      <c r="I2426" s="2"/>
      <c r="J2426" s="2"/>
    </row>
    <row r="2427" spans="2:10" x14ac:dyDescent="0.2">
      <c r="B2427" s="2"/>
      <c r="C2427" s="46"/>
      <c r="D2427" s="46"/>
      <c r="E2427" s="46"/>
      <c r="F2427" s="6"/>
      <c r="G2427" s="46"/>
      <c r="H2427" s="2"/>
      <c r="I2427" s="2"/>
      <c r="J2427" s="2"/>
    </row>
    <row r="2428" spans="2:10" x14ac:dyDescent="0.2">
      <c r="B2428" s="2"/>
      <c r="C2428" s="46"/>
      <c r="D2428" s="46"/>
      <c r="E2428" s="46"/>
      <c r="F2428" s="6"/>
      <c r="G2428" s="46"/>
      <c r="H2428" s="2"/>
      <c r="I2428" s="2"/>
      <c r="J2428" s="2"/>
    </row>
    <row r="2429" spans="2:10" x14ac:dyDescent="0.2">
      <c r="B2429" s="2"/>
      <c r="C2429" s="46"/>
      <c r="D2429" s="46"/>
      <c r="E2429" s="46"/>
      <c r="F2429" s="2"/>
      <c r="G2429" s="46"/>
      <c r="H2429" s="2"/>
      <c r="I2429" s="2"/>
      <c r="J2429" s="2"/>
    </row>
    <row r="2430" spans="2:10" x14ac:dyDescent="0.2">
      <c r="B2430" s="2"/>
      <c r="C2430" s="46"/>
      <c r="D2430" s="46"/>
      <c r="E2430" s="46"/>
      <c r="F2430" s="2"/>
      <c r="G2430" s="46"/>
      <c r="H2430" s="2"/>
      <c r="I2430" s="2"/>
      <c r="J2430" s="2"/>
    </row>
    <row r="2431" spans="2:10" x14ac:dyDescent="0.2">
      <c r="B2431" s="2"/>
      <c r="C2431" s="46"/>
      <c r="D2431" s="46"/>
      <c r="E2431" s="46"/>
      <c r="F2431" s="2"/>
      <c r="G2431" s="46"/>
      <c r="H2431" s="2"/>
      <c r="I2431" s="2"/>
      <c r="J2431" s="2"/>
    </row>
    <row r="2432" spans="2:10" x14ac:dyDescent="0.2">
      <c r="B2432" s="2"/>
      <c r="C2432" s="46"/>
      <c r="D2432" s="46"/>
      <c r="E2432" s="46"/>
      <c r="F2432" s="2"/>
      <c r="G2432" s="46"/>
      <c r="H2432" s="2"/>
      <c r="I2432" s="2"/>
      <c r="J2432" s="2"/>
    </row>
    <row r="2433" spans="2:10" x14ac:dyDescent="0.2">
      <c r="B2433" s="2"/>
      <c r="C2433" s="46"/>
      <c r="D2433" s="46"/>
      <c r="E2433" s="46"/>
      <c r="F2433" s="2"/>
      <c r="G2433" s="46"/>
      <c r="H2433" s="2"/>
      <c r="I2433" s="2"/>
      <c r="J2433" s="2"/>
    </row>
    <row r="2434" spans="2:10" x14ac:dyDescent="0.2">
      <c r="B2434" s="2"/>
      <c r="C2434" s="46"/>
      <c r="D2434" s="46"/>
      <c r="E2434" s="46"/>
      <c r="F2434" s="2"/>
      <c r="G2434" s="46"/>
      <c r="H2434" s="2"/>
      <c r="I2434" s="2"/>
      <c r="J2434" s="2"/>
    </row>
    <row r="2435" spans="2:10" x14ac:dyDescent="0.2">
      <c r="B2435" s="2"/>
      <c r="C2435" s="46"/>
      <c r="D2435" s="46"/>
      <c r="E2435" s="46"/>
      <c r="F2435" s="2"/>
      <c r="G2435" s="46"/>
      <c r="H2435" s="2"/>
      <c r="I2435" s="2"/>
      <c r="J2435" s="2"/>
    </row>
    <row r="2436" spans="2:10" x14ac:dyDescent="0.2">
      <c r="B2436" s="2"/>
      <c r="C2436" s="46"/>
      <c r="D2436" s="46"/>
      <c r="E2436" s="46"/>
      <c r="F2436" s="2"/>
      <c r="G2436" s="46"/>
      <c r="H2436" s="2"/>
      <c r="I2436" s="2"/>
      <c r="J2436" s="2"/>
    </row>
    <row r="2437" spans="2:10" x14ac:dyDescent="0.2">
      <c r="B2437" s="2"/>
      <c r="C2437" s="46"/>
      <c r="D2437" s="46"/>
      <c r="E2437" s="46"/>
      <c r="F2437" s="2"/>
      <c r="G2437" s="46"/>
      <c r="H2437" s="2"/>
      <c r="I2437" s="2"/>
      <c r="J2437" s="2"/>
    </row>
    <row r="2438" spans="2:10" x14ac:dyDescent="0.2">
      <c r="B2438" s="2"/>
      <c r="C2438" s="46"/>
      <c r="D2438" s="46"/>
      <c r="E2438" s="46"/>
      <c r="F2438" s="2"/>
      <c r="G2438" s="46"/>
      <c r="H2438" s="2"/>
      <c r="I2438" s="2"/>
      <c r="J2438" s="2"/>
    </row>
    <row r="2439" spans="2:10" x14ac:dyDescent="0.2">
      <c r="B2439" s="2"/>
      <c r="C2439" s="46"/>
      <c r="D2439" s="46"/>
      <c r="E2439" s="46"/>
      <c r="F2439" s="2"/>
      <c r="G2439" s="46"/>
      <c r="H2439" s="2"/>
      <c r="I2439" s="2"/>
      <c r="J2439" s="2"/>
    </row>
    <row r="2440" spans="2:10" x14ac:dyDescent="0.2">
      <c r="B2440" s="2"/>
      <c r="C2440" s="46"/>
      <c r="D2440" s="46"/>
      <c r="E2440" s="46"/>
      <c r="F2440" s="2"/>
      <c r="G2440" s="46"/>
      <c r="H2440" s="2"/>
      <c r="I2440" s="2"/>
      <c r="J2440" s="2"/>
    </row>
    <row r="2441" spans="2:10" x14ac:dyDescent="0.2">
      <c r="B2441" s="2"/>
      <c r="C2441" s="46"/>
      <c r="D2441" s="46"/>
      <c r="E2441" s="46"/>
      <c r="F2441" s="2"/>
      <c r="G2441" s="46"/>
      <c r="H2441" s="2"/>
      <c r="I2441" s="2"/>
      <c r="J2441" s="2"/>
    </row>
    <row r="2442" spans="2:10" x14ac:dyDescent="0.2">
      <c r="B2442" s="2"/>
      <c r="C2442" s="46"/>
      <c r="D2442" s="46"/>
      <c r="E2442" s="46"/>
      <c r="F2442" s="6"/>
      <c r="G2442" s="46"/>
      <c r="H2442" s="2"/>
      <c r="I2442" s="2"/>
      <c r="J2442" s="2"/>
    </row>
    <row r="2443" spans="2:10" x14ac:dyDescent="0.2">
      <c r="B2443" s="2"/>
      <c r="C2443" s="46"/>
      <c r="D2443" s="46"/>
      <c r="E2443" s="46"/>
      <c r="F2443" s="2"/>
      <c r="G2443" s="46"/>
      <c r="H2443" s="2"/>
      <c r="I2443" s="2"/>
      <c r="J2443" s="2"/>
    </row>
    <row r="2444" spans="2:10" x14ac:dyDescent="0.2">
      <c r="B2444" s="2"/>
      <c r="C2444" s="46"/>
      <c r="D2444" s="46"/>
      <c r="E2444" s="46"/>
      <c r="F2444" s="6"/>
      <c r="G2444" s="46"/>
      <c r="H2444" s="2"/>
      <c r="I2444" s="2"/>
      <c r="J2444" s="2"/>
    </row>
    <row r="2445" spans="2:10" x14ac:dyDescent="0.2">
      <c r="B2445" s="2"/>
      <c r="C2445" s="46"/>
      <c r="D2445" s="46"/>
      <c r="E2445" s="46"/>
      <c r="F2445" s="2"/>
      <c r="G2445" s="46"/>
      <c r="H2445" s="2"/>
      <c r="I2445" s="2"/>
      <c r="J2445" s="2"/>
    </row>
    <row r="2446" spans="2:10" x14ac:dyDescent="0.2">
      <c r="B2446" s="2"/>
      <c r="C2446" s="46"/>
      <c r="D2446" s="46"/>
      <c r="E2446" s="46"/>
      <c r="F2446" s="2"/>
      <c r="G2446" s="46"/>
      <c r="H2446" s="2"/>
      <c r="I2446" s="2"/>
      <c r="J2446" s="2"/>
    </row>
    <row r="2447" spans="2:10" x14ac:dyDescent="0.2">
      <c r="B2447" s="2"/>
      <c r="C2447" s="46"/>
      <c r="D2447" s="46"/>
      <c r="E2447" s="46"/>
      <c r="F2447" s="2"/>
      <c r="G2447" s="46"/>
      <c r="H2447" s="2"/>
      <c r="I2447" s="2"/>
      <c r="J2447" s="2"/>
    </row>
    <row r="2448" spans="2:10" x14ac:dyDescent="0.2">
      <c r="B2448" s="2"/>
      <c r="C2448" s="46"/>
      <c r="D2448" s="46"/>
      <c r="E2448" s="46"/>
      <c r="F2448" s="2"/>
      <c r="G2448" s="46"/>
      <c r="H2448" s="2"/>
      <c r="I2448" s="2"/>
      <c r="J2448" s="2"/>
    </row>
    <row r="2449" spans="2:10" x14ac:dyDescent="0.2">
      <c r="B2449" s="2"/>
      <c r="C2449" s="46"/>
      <c r="D2449" s="46"/>
      <c r="E2449" s="46"/>
      <c r="F2449" s="6"/>
      <c r="G2449" s="46"/>
      <c r="H2449" s="2"/>
      <c r="I2449" s="2"/>
      <c r="J2449" s="2"/>
    </row>
    <row r="2450" spans="2:10" x14ac:dyDescent="0.2">
      <c r="B2450" s="2"/>
      <c r="C2450" s="46"/>
      <c r="D2450" s="46"/>
      <c r="E2450" s="46"/>
      <c r="F2450" s="2"/>
      <c r="G2450" s="46"/>
      <c r="H2450" s="2"/>
      <c r="I2450" s="2"/>
      <c r="J2450" s="2"/>
    </row>
    <row r="2451" spans="2:10" x14ac:dyDescent="0.2">
      <c r="B2451" s="2"/>
      <c r="C2451" s="46"/>
      <c r="D2451" s="46"/>
      <c r="E2451" s="46"/>
      <c r="F2451" s="6"/>
      <c r="G2451" s="46"/>
      <c r="H2451" s="2"/>
      <c r="I2451" s="2"/>
      <c r="J2451" s="2"/>
    </row>
    <row r="2452" spans="2:10" x14ac:dyDescent="0.2">
      <c r="B2452" s="2"/>
      <c r="C2452" s="46"/>
      <c r="D2452" s="46"/>
      <c r="E2452" s="46"/>
      <c r="F2452" s="6"/>
      <c r="G2452" s="46"/>
      <c r="H2452" s="2"/>
      <c r="I2452" s="2"/>
      <c r="J2452" s="2"/>
    </row>
    <row r="2453" spans="2:10" x14ac:dyDescent="0.2">
      <c r="B2453" s="2"/>
      <c r="C2453" s="46"/>
      <c r="D2453" s="46"/>
      <c r="E2453" s="46"/>
      <c r="F2453" s="2"/>
      <c r="G2453" s="46"/>
      <c r="H2453" s="2"/>
      <c r="I2453" s="2"/>
      <c r="J2453" s="2"/>
    </row>
    <row r="2454" spans="2:10" x14ac:dyDescent="0.2">
      <c r="B2454" s="2"/>
      <c r="C2454" s="46"/>
      <c r="D2454" s="46"/>
      <c r="E2454" s="46"/>
      <c r="F2454" s="2"/>
      <c r="G2454" s="46"/>
      <c r="H2454" s="2"/>
      <c r="I2454" s="2"/>
      <c r="J2454" s="2"/>
    </row>
    <row r="2455" spans="2:10" x14ac:dyDescent="0.2">
      <c r="B2455" s="2"/>
      <c r="C2455" s="46"/>
      <c r="D2455" s="46"/>
      <c r="E2455" s="46"/>
      <c r="F2455" s="2"/>
      <c r="G2455" s="46"/>
      <c r="H2455" s="2"/>
      <c r="I2455" s="2"/>
      <c r="J2455" s="2"/>
    </row>
    <row r="2456" spans="2:10" x14ac:dyDescent="0.2">
      <c r="B2456" s="2"/>
      <c r="C2456" s="46"/>
      <c r="D2456" s="46"/>
      <c r="E2456" s="46"/>
      <c r="F2456" s="2"/>
      <c r="G2456" s="46"/>
      <c r="H2456" s="2"/>
      <c r="I2456" s="2"/>
      <c r="J2456" s="2"/>
    </row>
    <row r="2457" spans="2:10" x14ac:dyDescent="0.2">
      <c r="B2457" s="2"/>
      <c r="C2457" s="46"/>
      <c r="D2457" s="46"/>
      <c r="E2457" s="46"/>
      <c r="F2457" s="2"/>
      <c r="G2457" s="46"/>
      <c r="H2457" s="2"/>
      <c r="I2457" s="2"/>
      <c r="J2457" s="2"/>
    </row>
    <row r="2458" spans="2:10" x14ac:dyDescent="0.2">
      <c r="B2458" s="2"/>
      <c r="C2458" s="46"/>
      <c r="D2458" s="46"/>
      <c r="E2458" s="46"/>
      <c r="F2458" s="2"/>
      <c r="G2458" s="46"/>
      <c r="H2458" s="2"/>
      <c r="I2458" s="2"/>
      <c r="J2458" s="2"/>
    </row>
    <row r="2459" spans="2:10" x14ac:dyDescent="0.2">
      <c r="B2459" s="2"/>
      <c r="C2459" s="46"/>
      <c r="D2459" s="46"/>
      <c r="E2459" s="46"/>
      <c r="F2459" s="2"/>
      <c r="G2459" s="46"/>
      <c r="H2459" s="2"/>
      <c r="I2459" s="2"/>
      <c r="J2459" s="2"/>
    </row>
    <row r="2460" spans="2:10" x14ac:dyDescent="0.2">
      <c r="B2460" s="2"/>
      <c r="C2460" s="46"/>
      <c r="D2460" s="46"/>
      <c r="E2460" s="46"/>
      <c r="F2460" s="2"/>
      <c r="G2460" s="46"/>
      <c r="H2460" s="2"/>
      <c r="I2460" s="2"/>
      <c r="J2460" s="2"/>
    </row>
    <row r="2461" spans="2:10" x14ac:dyDescent="0.2">
      <c r="B2461" s="2"/>
      <c r="C2461" s="46"/>
      <c r="D2461" s="46"/>
      <c r="E2461" s="46"/>
      <c r="F2461" s="6"/>
      <c r="G2461" s="46"/>
      <c r="H2461" s="2"/>
      <c r="I2461" s="2"/>
      <c r="J2461" s="2"/>
    </row>
    <row r="2462" spans="2:10" x14ac:dyDescent="0.2">
      <c r="B2462" s="2"/>
      <c r="C2462" s="46"/>
      <c r="D2462" s="46"/>
      <c r="E2462" s="46"/>
      <c r="F2462" s="6"/>
      <c r="G2462" s="46"/>
      <c r="H2462" s="2"/>
      <c r="I2462" s="2"/>
      <c r="J2462" s="2"/>
    </row>
    <row r="2463" spans="2:10" x14ac:dyDescent="0.2">
      <c r="B2463" s="2"/>
      <c r="C2463" s="46"/>
      <c r="D2463" s="46"/>
      <c r="E2463" s="46"/>
      <c r="F2463" s="6"/>
      <c r="G2463" s="46"/>
      <c r="H2463" s="2"/>
      <c r="I2463" s="2"/>
      <c r="J2463" s="2"/>
    </row>
    <row r="2464" spans="2:10" x14ac:dyDescent="0.2">
      <c r="B2464" s="2"/>
      <c r="C2464" s="46"/>
      <c r="D2464" s="46"/>
      <c r="E2464" s="46"/>
      <c r="F2464" s="2"/>
      <c r="G2464" s="46"/>
      <c r="H2464" s="2"/>
      <c r="I2464" s="2"/>
      <c r="J2464" s="2"/>
    </row>
    <row r="2465" spans="2:10" x14ac:dyDescent="0.2">
      <c r="B2465" s="2"/>
      <c r="C2465" s="46"/>
      <c r="D2465" s="46"/>
      <c r="E2465" s="46"/>
      <c r="F2465" s="2"/>
      <c r="G2465" s="46"/>
      <c r="H2465" s="2"/>
      <c r="I2465" s="2"/>
      <c r="J2465" s="2"/>
    </row>
    <row r="2466" spans="2:10" x14ac:dyDescent="0.2">
      <c r="B2466" s="2"/>
      <c r="C2466" s="46"/>
      <c r="D2466" s="46"/>
      <c r="E2466" s="46"/>
      <c r="F2466" s="2"/>
      <c r="G2466" s="46"/>
      <c r="H2466" s="2"/>
      <c r="I2466" s="2"/>
      <c r="J2466" s="2"/>
    </row>
    <row r="2467" spans="2:10" x14ac:dyDescent="0.2">
      <c r="B2467" s="2"/>
      <c r="C2467" s="46"/>
      <c r="D2467" s="46"/>
      <c r="E2467" s="46"/>
      <c r="F2467" s="2"/>
      <c r="G2467" s="46"/>
      <c r="H2467" s="2"/>
      <c r="I2467" s="2"/>
      <c r="J2467" s="2"/>
    </row>
    <row r="2468" spans="2:10" x14ac:dyDescent="0.2">
      <c r="B2468" s="2"/>
      <c r="C2468" s="46"/>
      <c r="D2468" s="46"/>
      <c r="E2468" s="46"/>
      <c r="F2468" s="2"/>
      <c r="G2468" s="46"/>
      <c r="H2468" s="2"/>
      <c r="I2468" s="2"/>
      <c r="J2468" s="2"/>
    </row>
    <row r="2469" spans="2:10" x14ac:dyDescent="0.2">
      <c r="B2469" s="2"/>
      <c r="C2469" s="46"/>
      <c r="D2469" s="46"/>
      <c r="E2469" s="46"/>
      <c r="F2469" s="2"/>
      <c r="G2469" s="46"/>
      <c r="H2469" s="2"/>
      <c r="I2469" s="2"/>
      <c r="J2469" s="2"/>
    </row>
    <row r="2470" spans="2:10" x14ac:dyDescent="0.2">
      <c r="B2470" s="2"/>
      <c r="C2470" s="46"/>
      <c r="D2470" s="46"/>
      <c r="E2470" s="46"/>
      <c r="F2470" s="2"/>
      <c r="G2470" s="46"/>
      <c r="H2470" s="2"/>
      <c r="I2470" s="2"/>
      <c r="J2470" s="2"/>
    </row>
    <row r="2471" spans="2:10" x14ac:dyDescent="0.2">
      <c r="B2471" s="2"/>
      <c r="C2471" s="46"/>
      <c r="D2471" s="46"/>
      <c r="E2471" s="46"/>
      <c r="F2471" s="6"/>
      <c r="G2471" s="46"/>
      <c r="H2471" s="2"/>
      <c r="I2471" s="2"/>
      <c r="J2471" s="2"/>
    </row>
    <row r="2472" spans="2:10" x14ac:dyDescent="0.2">
      <c r="B2472" s="2"/>
      <c r="C2472" s="46"/>
      <c r="D2472" s="46"/>
      <c r="E2472" s="46"/>
      <c r="F2472" s="2"/>
      <c r="G2472" s="46"/>
      <c r="H2472" s="2"/>
      <c r="I2472" s="2"/>
      <c r="J2472" s="2"/>
    </row>
    <row r="2473" spans="2:10" x14ac:dyDescent="0.2">
      <c r="B2473" s="2"/>
      <c r="C2473" s="46"/>
      <c r="D2473" s="46"/>
      <c r="E2473" s="46"/>
      <c r="F2473" s="6"/>
      <c r="G2473" s="46"/>
      <c r="H2473" s="2"/>
      <c r="I2473" s="2"/>
      <c r="J2473" s="2"/>
    </row>
    <row r="2474" spans="2:10" x14ac:dyDescent="0.2">
      <c r="B2474" s="2"/>
      <c r="C2474" s="46"/>
      <c r="D2474" s="46"/>
      <c r="E2474" s="46"/>
      <c r="F2474" s="2"/>
      <c r="G2474" s="46"/>
      <c r="H2474" s="2"/>
      <c r="I2474" s="2"/>
      <c r="J2474" s="2"/>
    </row>
    <row r="2475" spans="2:10" x14ac:dyDescent="0.2">
      <c r="B2475" s="2"/>
      <c r="C2475" s="46"/>
      <c r="D2475" s="46"/>
      <c r="E2475" s="46"/>
      <c r="F2475" s="6"/>
      <c r="G2475" s="46"/>
      <c r="H2475" s="2"/>
      <c r="I2475" s="2"/>
      <c r="J2475" s="2"/>
    </row>
    <row r="2476" spans="2:10" x14ac:dyDescent="0.2">
      <c r="B2476" s="2"/>
      <c r="C2476" s="46"/>
      <c r="D2476" s="46"/>
      <c r="E2476" s="46"/>
      <c r="F2476" s="2"/>
      <c r="G2476" s="46"/>
      <c r="H2476" s="2"/>
      <c r="I2476" s="2"/>
      <c r="J2476" s="2"/>
    </row>
    <row r="2477" spans="2:10" x14ac:dyDescent="0.2">
      <c r="B2477" s="2"/>
      <c r="C2477" s="46"/>
      <c r="D2477" s="46"/>
      <c r="E2477" s="46"/>
      <c r="F2477" s="2"/>
      <c r="G2477" s="46"/>
      <c r="H2477" s="2"/>
      <c r="I2477" s="2"/>
      <c r="J2477" s="2"/>
    </row>
    <row r="2478" spans="2:10" x14ac:dyDescent="0.2">
      <c r="B2478" s="2"/>
      <c r="C2478" s="46"/>
      <c r="D2478" s="46"/>
      <c r="E2478" s="46"/>
      <c r="F2478" s="2"/>
      <c r="G2478" s="46"/>
      <c r="H2478" s="2"/>
      <c r="I2478" s="2"/>
      <c r="J2478" s="2"/>
    </row>
    <row r="2479" spans="2:10" x14ac:dyDescent="0.2">
      <c r="B2479" s="2"/>
      <c r="C2479" s="46"/>
      <c r="D2479" s="46"/>
      <c r="E2479" s="46"/>
      <c r="F2479" s="2"/>
      <c r="G2479" s="46"/>
      <c r="H2479" s="2"/>
      <c r="I2479" s="2"/>
      <c r="J2479" s="2"/>
    </row>
    <row r="2480" spans="2:10" x14ac:dyDescent="0.2">
      <c r="B2480" s="2"/>
      <c r="C2480" s="46"/>
      <c r="D2480" s="46"/>
      <c r="E2480" s="46"/>
      <c r="F2480" s="2"/>
      <c r="G2480" s="46"/>
      <c r="H2480" s="2"/>
      <c r="I2480" s="2"/>
      <c r="J2480" s="2"/>
    </row>
    <row r="2481" spans="2:10" x14ac:dyDescent="0.2">
      <c r="B2481" s="2"/>
      <c r="C2481" s="46"/>
      <c r="D2481" s="46"/>
      <c r="E2481" s="46"/>
      <c r="F2481" s="2"/>
      <c r="G2481" s="46"/>
      <c r="H2481" s="2"/>
      <c r="I2481" s="2"/>
      <c r="J2481" s="2"/>
    </row>
    <row r="2482" spans="2:10" x14ac:dyDescent="0.2">
      <c r="B2482" s="2"/>
      <c r="C2482" s="46"/>
      <c r="D2482" s="46"/>
      <c r="E2482" s="46"/>
      <c r="F2482" s="2"/>
      <c r="G2482" s="46"/>
      <c r="H2482" s="2"/>
      <c r="I2482" s="2"/>
      <c r="J2482" s="2"/>
    </row>
    <row r="2483" spans="2:10" x14ac:dyDescent="0.2">
      <c r="B2483" s="2"/>
      <c r="C2483" s="46"/>
      <c r="D2483" s="46"/>
      <c r="E2483" s="46"/>
      <c r="F2483" s="2"/>
      <c r="G2483" s="46"/>
      <c r="H2483" s="2"/>
      <c r="I2483" s="2"/>
      <c r="J2483" s="2"/>
    </row>
    <row r="2484" spans="2:10" x14ac:dyDescent="0.2">
      <c r="B2484" s="2"/>
      <c r="C2484" s="46"/>
      <c r="D2484" s="46"/>
      <c r="E2484" s="46"/>
      <c r="F2484" s="2"/>
      <c r="G2484" s="46"/>
      <c r="H2484" s="2"/>
      <c r="I2484" s="2"/>
      <c r="J2484" s="2"/>
    </row>
    <row r="2485" spans="2:10" x14ac:dyDescent="0.2">
      <c r="B2485" s="2"/>
      <c r="C2485" s="46"/>
      <c r="D2485" s="46"/>
      <c r="E2485" s="46"/>
      <c r="F2485" s="2"/>
      <c r="G2485" s="46"/>
      <c r="H2485" s="2"/>
      <c r="I2485" s="2"/>
      <c r="J2485" s="2"/>
    </row>
    <row r="2486" spans="2:10" x14ac:dyDescent="0.2">
      <c r="B2486" s="2"/>
      <c r="C2486" s="46"/>
      <c r="D2486" s="46"/>
      <c r="E2486" s="46"/>
      <c r="F2486" s="2"/>
      <c r="G2486" s="46"/>
      <c r="H2486" s="2"/>
      <c r="I2486" s="2"/>
      <c r="J2486" s="2"/>
    </row>
    <row r="2487" spans="2:10" x14ac:dyDescent="0.2">
      <c r="B2487" s="2"/>
      <c r="C2487" s="46"/>
      <c r="D2487" s="46"/>
      <c r="E2487" s="46"/>
      <c r="F2487" s="2"/>
      <c r="G2487" s="46"/>
      <c r="H2487" s="2"/>
      <c r="I2487" s="2"/>
      <c r="J2487" s="2"/>
    </row>
    <row r="2488" spans="2:10" x14ac:dyDescent="0.2">
      <c r="B2488" s="2"/>
      <c r="C2488" s="46"/>
      <c r="D2488" s="46"/>
      <c r="E2488" s="46"/>
      <c r="F2488" s="6"/>
      <c r="G2488" s="46"/>
      <c r="H2488" s="2"/>
      <c r="I2488" s="2"/>
      <c r="J2488" s="2"/>
    </row>
    <row r="2489" spans="2:10" x14ac:dyDescent="0.2">
      <c r="B2489" s="2"/>
      <c r="C2489" s="46"/>
      <c r="D2489" s="46"/>
      <c r="E2489" s="46"/>
      <c r="F2489" s="2"/>
      <c r="G2489" s="46"/>
      <c r="H2489" s="2"/>
      <c r="I2489" s="2"/>
      <c r="J2489" s="2"/>
    </row>
    <row r="2490" spans="2:10" x14ac:dyDescent="0.2">
      <c r="B2490" s="2"/>
      <c r="C2490" s="46"/>
      <c r="D2490" s="46"/>
      <c r="E2490" s="46"/>
      <c r="F2490" s="2"/>
      <c r="G2490" s="46"/>
      <c r="H2490" s="2"/>
      <c r="I2490" s="2"/>
      <c r="J2490" s="2"/>
    </row>
    <row r="2491" spans="2:10" x14ac:dyDescent="0.2">
      <c r="B2491" s="2"/>
      <c r="C2491" s="46"/>
      <c r="D2491" s="46"/>
      <c r="E2491" s="46"/>
      <c r="F2491" s="2"/>
      <c r="G2491" s="46"/>
      <c r="H2491" s="2"/>
      <c r="I2491" s="2"/>
      <c r="J2491" s="2"/>
    </row>
    <row r="2492" spans="2:10" x14ac:dyDescent="0.2">
      <c r="B2492" s="2"/>
      <c r="C2492" s="46"/>
      <c r="D2492" s="46"/>
      <c r="E2492" s="46"/>
      <c r="F2492" s="6"/>
      <c r="G2492" s="46"/>
      <c r="H2492" s="2"/>
      <c r="I2492" s="2"/>
      <c r="J2492" s="2"/>
    </row>
    <row r="2493" spans="2:10" x14ac:dyDescent="0.2">
      <c r="B2493" s="2"/>
      <c r="C2493" s="46"/>
      <c r="D2493" s="46"/>
      <c r="E2493" s="46"/>
      <c r="F2493" s="6"/>
      <c r="G2493" s="46"/>
      <c r="H2493" s="2"/>
      <c r="I2493" s="2"/>
      <c r="J2493" s="2"/>
    </row>
    <row r="2494" spans="2:10" x14ac:dyDescent="0.2">
      <c r="B2494" s="2"/>
      <c r="C2494" s="46"/>
      <c r="D2494" s="46"/>
      <c r="E2494" s="46"/>
      <c r="F2494" s="2"/>
      <c r="G2494" s="46"/>
      <c r="H2494" s="2"/>
      <c r="I2494" s="2"/>
      <c r="J2494" s="2"/>
    </row>
    <row r="2495" spans="2:10" x14ac:dyDescent="0.2">
      <c r="B2495" s="2"/>
      <c r="C2495" s="46"/>
      <c r="D2495" s="46"/>
      <c r="E2495" s="46"/>
      <c r="F2495" s="2"/>
      <c r="G2495" s="46"/>
      <c r="H2495" s="2"/>
      <c r="I2495" s="2"/>
      <c r="J2495" s="2"/>
    </row>
    <row r="2496" spans="2:10" x14ac:dyDescent="0.2">
      <c r="B2496" s="2"/>
      <c r="C2496" s="46"/>
      <c r="D2496" s="46"/>
      <c r="E2496" s="46"/>
      <c r="F2496" s="2"/>
      <c r="G2496" s="46"/>
      <c r="H2496" s="2"/>
      <c r="I2496" s="2"/>
      <c r="J2496" s="2"/>
    </row>
    <row r="2497" spans="2:10" x14ac:dyDescent="0.2">
      <c r="B2497" s="2"/>
      <c r="C2497" s="46"/>
      <c r="D2497" s="46"/>
      <c r="E2497" s="46"/>
      <c r="F2497" s="2"/>
      <c r="G2497" s="46"/>
      <c r="H2497" s="2"/>
      <c r="I2497" s="2"/>
      <c r="J2497" s="2"/>
    </row>
    <row r="2498" spans="2:10" x14ac:dyDescent="0.2">
      <c r="B2498" s="2"/>
      <c r="C2498" s="46"/>
      <c r="D2498" s="46"/>
      <c r="E2498" s="46"/>
      <c r="F2498" s="2"/>
      <c r="G2498" s="46"/>
      <c r="H2498" s="2"/>
      <c r="I2498" s="2"/>
      <c r="J2498" s="2"/>
    </row>
    <row r="2499" spans="2:10" x14ac:dyDescent="0.2">
      <c r="B2499" s="2"/>
      <c r="C2499" s="46"/>
      <c r="D2499" s="46"/>
      <c r="E2499" s="46"/>
      <c r="F2499" s="2"/>
      <c r="G2499" s="46"/>
      <c r="H2499" s="2"/>
      <c r="I2499" s="2"/>
      <c r="J2499" s="2"/>
    </row>
    <row r="2500" spans="2:10" x14ac:dyDescent="0.2">
      <c r="B2500" s="2"/>
      <c r="C2500" s="46"/>
      <c r="D2500" s="46"/>
      <c r="E2500" s="46"/>
      <c r="F2500" s="2"/>
      <c r="G2500" s="46"/>
      <c r="H2500" s="2"/>
      <c r="I2500" s="2"/>
      <c r="J2500" s="2"/>
    </row>
    <row r="2501" spans="2:10" x14ac:dyDescent="0.2">
      <c r="B2501" s="2"/>
      <c r="C2501" s="46"/>
      <c r="D2501" s="46"/>
      <c r="E2501" s="46"/>
      <c r="F2501" s="2"/>
      <c r="G2501" s="46"/>
      <c r="H2501" s="2"/>
      <c r="I2501" s="2"/>
      <c r="J2501" s="2"/>
    </row>
    <row r="2502" spans="2:10" x14ac:dyDescent="0.2">
      <c r="B2502" s="2"/>
      <c r="C2502" s="46"/>
      <c r="D2502" s="46"/>
      <c r="E2502" s="46"/>
      <c r="F2502" s="2"/>
      <c r="G2502" s="46"/>
      <c r="H2502" s="2"/>
      <c r="I2502" s="2"/>
      <c r="J2502" s="2"/>
    </row>
    <row r="2503" spans="2:10" x14ac:dyDescent="0.2">
      <c r="B2503" s="2"/>
      <c r="C2503" s="46"/>
      <c r="D2503" s="46"/>
      <c r="E2503" s="46"/>
      <c r="F2503" s="2"/>
      <c r="G2503" s="46"/>
      <c r="H2503" s="2"/>
      <c r="I2503" s="2"/>
      <c r="J2503" s="2"/>
    </row>
    <row r="2504" spans="2:10" x14ac:dyDescent="0.2">
      <c r="B2504" s="2"/>
      <c r="C2504" s="46"/>
      <c r="D2504" s="46"/>
      <c r="E2504" s="46"/>
      <c r="F2504" s="2"/>
      <c r="G2504" s="46"/>
      <c r="H2504" s="2"/>
      <c r="I2504" s="2"/>
      <c r="J2504" s="2"/>
    </row>
    <row r="2505" spans="2:10" x14ac:dyDescent="0.2">
      <c r="B2505" s="2"/>
      <c r="C2505" s="46"/>
      <c r="D2505" s="46"/>
      <c r="E2505" s="46"/>
      <c r="F2505" s="6"/>
      <c r="G2505" s="46"/>
      <c r="H2505" s="2"/>
      <c r="I2505" s="2"/>
      <c r="J2505" s="2"/>
    </row>
    <row r="2506" spans="2:10" x14ac:dyDescent="0.2">
      <c r="B2506" s="2"/>
      <c r="C2506" s="46"/>
      <c r="D2506" s="46"/>
      <c r="E2506" s="46"/>
      <c r="F2506" s="2"/>
      <c r="G2506" s="46"/>
      <c r="H2506" s="2"/>
      <c r="I2506" s="2"/>
      <c r="J2506" s="2"/>
    </row>
    <row r="2507" spans="2:10" x14ac:dyDescent="0.2">
      <c r="B2507" s="2"/>
      <c r="C2507" s="46"/>
      <c r="D2507" s="46"/>
      <c r="E2507" s="46"/>
      <c r="F2507" s="6"/>
      <c r="G2507" s="46"/>
      <c r="H2507" s="2"/>
      <c r="I2507" s="2"/>
      <c r="J2507" s="2"/>
    </row>
    <row r="2508" spans="2:10" x14ac:dyDescent="0.2">
      <c r="B2508" s="2"/>
      <c r="C2508" s="46"/>
      <c r="D2508" s="46"/>
      <c r="E2508" s="46"/>
      <c r="F2508" s="2"/>
      <c r="G2508" s="46"/>
      <c r="H2508" s="2"/>
      <c r="I2508" s="2"/>
      <c r="J2508" s="2"/>
    </row>
    <row r="2509" spans="2:10" x14ac:dyDescent="0.2">
      <c r="B2509" s="2"/>
      <c r="C2509" s="46"/>
      <c r="D2509" s="46"/>
      <c r="E2509" s="46"/>
      <c r="F2509" s="2"/>
      <c r="G2509" s="46"/>
      <c r="H2509" s="2"/>
      <c r="I2509" s="2"/>
      <c r="J2509" s="2"/>
    </row>
    <row r="2510" spans="2:10" x14ac:dyDescent="0.2">
      <c r="B2510" s="2"/>
      <c r="C2510" s="46"/>
      <c r="D2510" s="46"/>
      <c r="E2510" s="46"/>
      <c r="F2510" s="2"/>
      <c r="G2510" s="46"/>
      <c r="H2510" s="2"/>
      <c r="I2510" s="2"/>
      <c r="J2510" s="2"/>
    </row>
    <row r="2511" spans="2:10" x14ac:dyDescent="0.2">
      <c r="B2511" s="2"/>
      <c r="C2511" s="46"/>
      <c r="D2511" s="46"/>
      <c r="E2511" s="46"/>
      <c r="F2511" s="2"/>
      <c r="G2511" s="46"/>
      <c r="H2511" s="2"/>
      <c r="I2511" s="2"/>
      <c r="J2511" s="2"/>
    </row>
    <row r="2512" spans="2:10" x14ac:dyDescent="0.2">
      <c r="B2512" s="2"/>
      <c r="C2512" s="46"/>
      <c r="D2512" s="46"/>
      <c r="E2512" s="46"/>
      <c r="F2512" s="2"/>
      <c r="G2512" s="46"/>
      <c r="H2512" s="2"/>
      <c r="I2512" s="2"/>
      <c r="J2512" s="2"/>
    </row>
    <row r="2513" spans="2:10" x14ac:dyDescent="0.2">
      <c r="B2513" s="2"/>
      <c r="C2513" s="46"/>
      <c r="D2513" s="46"/>
      <c r="E2513" s="46"/>
      <c r="F2513" s="2"/>
      <c r="G2513" s="46"/>
      <c r="H2513" s="2"/>
      <c r="I2513" s="2"/>
      <c r="J2513" s="2"/>
    </row>
    <row r="2514" spans="2:10" x14ac:dyDescent="0.2">
      <c r="B2514" s="2"/>
      <c r="C2514" s="46"/>
      <c r="D2514" s="46"/>
      <c r="E2514" s="46"/>
      <c r="F2514" s="2"/>
      <c r="G2514" s="46"/>
      <c r="H2514" s="2"/>
      <c r="I2514" s="2"/>
      <c r="J2514" s="2"/>
    </row>
    <row r="2515" spans="2:10" x14ac:dyDescent="0.2">
      <c r="B2515" s="2"/>
      <c r="C2515" s="46"/>
      <c r="D2515" s="46"/>
      <c r="E2515" s="46"/>
      <c r="F2515" s="2"/>
      <c r="G2515" s="46"/>
      <c r="H2515" s="2"/>
      <c r="I2515" s="2"/>
      <c r="J2515" s="2"/>
    </row>
    <row r="2516" spans="2:10" x14ac:dyDescent="0.2">
      <c r="B2516" s="2"/>
      <c r="C2516" s="46"/>
      <c r="D2516" s="46"/>
      <c r="E2516" s="46"/>
      <c r="F2516" s="2"/>
      <c r="G2516" s="46"/>
      <c r="H2516" s="2"/>
      <c r="I2516" s="2"/>
      <c r="J2516" s="2"/>
    </row>
    <row r="2517" spans="2:10" x14ac:dyDescent="0.2">
      <c r="B2517" s="2"/>
      <c r="C2517" s="46"/>
      <c r="D2517" s="46"/>
      <c r="E2517" s="46"/>
      <c r="F2517" s="2"/>
      <c r="G2517" s="46"/>
      <c r="H2517" s="2"/>
      <c r="I2517" s="2"/>
      <c r="J2517" s="2"/>
    </row>
    <row r="2518" spans="2:10" x14ac:dyDescent="0.2">
      <c r="B2518" s="2"/>
      <c r="C2518" s="46"/>
      <c r="D2518" s="46"/>
      <c r="E2518" s="46"/>
      <c r="F2518" s="6"/>
      <c r="G2518" s="46"/>
      <c r="H2518" s="2"/>
      <c r="I2518" s="2"/>
      <c r="J2518" s="2"/>
    </row>
    <row r="2519" spans="2:10" x14ac:dyDescent="0.2">
      <c r="B2519" s="2"/>
      <c r="C2519" s="46"/>
      <c r="D2519" s="46"/>
      <c r="E2519" s="46"/>
      <c r="F2519" s="6"/>
      <c r="G2519" s="46"/>
      <c r="H2519" s="2"/>
      <c r="I2519" s="2"/>
      <c r="J2519" s="2"/>
    </row>
    <row r="2520" spans="2:10" x14ac:dyDescent="0.2">
      <c r="B2520" s="2"/>
      <c r="C2520" s="46"/>
      <c r="D2520" s="46"/>
      <c r="E2520" s="46"/>
      <c r="F2520" s="2"/>
      <c r="G2520" s="46"/>
      <c r="H2520" s="2"/>
      <c r="I2520" s="2"/>
      <c r="J2520" s="2"/>
    </row>
    <row r="2521" spans="2:10" x14ac:dyDescent="0.2">
      <c r="B2521" s="2"/>
      <c r="C2521" s="46"/>
      <c r="D2521" s="46"/>
      <c r="E2521" s="46"/>
      <c r="F2521" s="2"/>
      <c r="G2521" s="46"/>
      <c r="H2521" s="2"/>
      <c r="I2521" s="2"/>
      <c r="J2521" s="2"/>
    </row>
    <row r="2522" spans="2:10" x14ac:dyDescent="0.2">
      <c r="B2522" s="2"/>
      <c r="C2522" s="46"/>
      <c r="D2522" s="46"/>
      <c r="E2522" s="46"/>
      <c r="F2522" s="6"/>
      <c r="G2522" s="46"/>
      <c r="H2522" s="2"/>
      <c r="I2522" s="2"/>
      <c r="J2522" s="2"/>
    </row>
    <row r="2523" spans="2:10" x14ac:dyDescent="0.2">
      <c r="B2523" s="2"/>
      <c r="C2523" s="46"/>
      <c r="D2523" s="46"/>
      <c r="E2523" s="46"/>
      <c r="F2523" s="2"/>
      <c r="G2523" s="46"/>
      <c r="H2523" s="2"/>
      <c r="I2523" s="2"/>
      <c r="J2523" s="2"/>
    </row>
    <row r="2524" spans="2:10" x14ac:dyDescent="0.2">
      <c r="B2524" s="2"/>
      <c r="C2524" s="46"/>
      <c r="D2524" s="46"/>
      <c r="E2524" s="46"/>
      <c r="F2524" s="2"/>
      <c r="G2524" s="46"/>
      <c r="H2524" s="2"/>
      <c r="I2524" s="2"/>
      <c r="J2524" s="2"/>
    </row>
    <row r="2525" spans="2:10" x14ac:dyDescent="0.2">
      <c r="B2525" s="2"/>
      <c r="C2525" s="46"/>
      <c r="D2525" s="46"/>
      <c r="E2525" s="46"/>
      <c r="F2525" s="6"/>
      <c r="G2525" s="46"/>
      <c r="H2525" s="2"/>
      <c r="I2525" s="2"/>
      <c r="J2525" s="2"/>
    </row>
    <row r="2526" spans="2:10" x14ac:dyDescent="0.2">
      <c r="B2526" s="2"/>
      <c r="C2526" s="46"/>
      <c r="D2526" s="46"/>
      <c r="E2526" s="46"/>
      <c r="F2526" s="2"/>
      <c r="G2526" s="46"/>
      <c r="H2526" s="2"/>
      <c r="I2526" s="2"/>
      <c r="J2526" s="2"/>
    </row>
    <row r="2527" spans="2:10" x14ac:dyDescent="0.2">
      <c r="B2527" s="2"/>
      <c r="C2527" s="46"/>
      <c r="D2527" s="46"/>
      <c r="E2527" s="46"/>
      <c r="F2527" s="2"/>
      <c r="G2527" s="46"/>
      <c r="H2527" s="2"/>
      <c r="I2527" s="2"/>
      <c r="J2527" s="2"/>
    </row>
    <row r="2528" spans="2:10" x14ac:dyDescent="0.2">
      <c r="B2528" s="2"/>
      <c r="C2528" s="46"/>
      <c r="D2528" s="46"/>
      <c r="E2528" s="46"/>
      <c r="F2528" s="2"/>
      <c r="G2528" s="46"/>
      <c r="H2528" s="2"/>
      <c r="I2528" s="2"/>
      <c r="J2528" s="2"/>
    </row>
    <row r="2529" spans="2:10" x14ac:dyDescent="0.2">
      <c r="B2529" s="2"/>
      <c r="C2529" s="46"/>
      <c r="D2529" s="46"/>
      <c r="E2529" s="46"/>
      <c r="F2529" s="2"/>
      <c r="G2529" s="46"/>
      <c r="H2529" s="2"/>
      <c r="I2529" s="2"/>
      <c r="J2529" s="2"/>
    </row>
    <row r="2530" spans="2:10" x14ac:dyDescent="0.2">
      <c r="B2530" s="2"/>
      <c r="C2530" s="46"/>
      <c r="D2530" s="46"/>
      <c r="E2530" s="46"/>
      <c r="F2530" s="6"/>
      <c r="G2530" s="46"/>
      <c r="H2530" s="2"/>
      <c r="I2530" s="2"/>
      <c r="J2530" s="2"/>
    </row>
    <row r="2531" spans="2:10" x14ac:dyDescent="0.2">
      <c r="B2531" s="2"/>
      <c r="C2531" s="46"/>
      <c r="D2531" s="46"/>
      <c r="E2531" s="46"/>
      <c r="F2531" s="2"/>
      <c r="G2531" s="46"/>
      <c r="H2531" s="2"/>
      <c r="I2531" s="2"/>
      <c r="J2531" s="2"/>
    </row>
    <row r="2532" spans="2:10" x14ac:dyDescent="0.2">
      <c r="B2532" s="2"/>
      <c r="C2532" s="46"/>
      <c r="D2532" s="46"/>
      <c r="E2532" s="46"/>
      <c r="F2532" s="2"/>
      <c r="G2532" s="46"/>
      <c r="H2532" s="2"/>
      <c r="I2532" s="2"/>
      <c r="J2532" s="2"/>
    </row>
    <row r="2533" spans="2:10" x14ac:dyDescent="0.2">
      <c r="B2533" s="2"/>
      <c r="C2533" s="46"/>
      <c r="D2533" s="46"/>
      <c r="E2533" s="46"/>
      <c r="F2533" s="2"/>
      <c r="G2533" s="46"/>
      <c r="H2533" s="2"/>
      <c r="I2533" s="2"/>
      <c r="J2533" s="2"/>
    </row>
    <row r="2534" spans="2:10" x14ac:dyDescent="0.2">
      <c r="B2534" s="2"/>
      <c r="C2534" s="46"/>
      <c r="D2534" s="46"/>
      <c r="E2534" s="46"/>
      <c r="F2534" s="2"/>
      <c r="G2534" s="46"/>
      <c r="H2534" s="2"/>
      <c r="I2534" s="2"/>
      <c r="J2534" s="2"/>
    </row>
    <row r="2535" spans="2:10" x14ac:dyDescent="0.2">
      <c r="B2535" s="2"/>
      <c r="C2535" s="46"/>
      <c r="D2535" s="46"/>
      <c r="E2535" s="46"/>
      <c r="F2535" s="2"/>
      <c r="G2535" s="46"/>
      <c r="H2535" s="2"/>
      <c r="I2535" s="2"/>
      <c r="J2535" s="2"/>
    </row>
    <row r="2536" spans="2:10" x14ac:dyDescent="0.2">
      <c r="B2536" s="2"/>
      <c r="C2536" s="46"/>
      <c r="D2536" s="46"/>
      <c r="E2536" s="46"/>
      <c r="F2536" s="2"/>
      <c r="G2536" s="46"/>
      <c r="H2536" s="2"/>
      <c r="I2536" s="2"/>
      <c r="J2536" s="2"/>
    </row>
    <row r="2537" spans="2:10" x14ac:dyDescent="0.2">
      <c r="B2537" s="2"/>
      <c r="C2537" s="46"/>
      <c r="D2537" s="46"/>
      <c r="E2537" s="46"/>
      <c r="F2537" s="2"/>
      <c r="G2537" s="46"/>
      <c r="H2537" s="2"/>
      <c r="I2537" s="2"/>
      <c r="J2537" s="2"/>
    </row>
    <row r="2538" spans="2:10" x14ac:dyDescent="0.2">
      <c r="B2538" s="2"/>
      <c r="C2538" s="46"/>
      <c r="D2538" s="46"/>
      <c r="E2538" s="46"/>
      <c r="F2538" s="2"/>
      <c r="G2538" s="46"/>
      <c r="H2538" s="2"/>
      <c r="I2538" s="2"/>
      <c r="J2538" s="2"/>
    </row>
    <row r="2539" spans="2:10" x14ac:dyDescent="0.2">
      <c r="B2539" s="2"/>
      <c r="C2539" s="46"/>
      <c r="D2539" s="46"/>
      <c r="E2539" s="46"/>
      <c r="F2539" s="6"/>
      <c r="G2539" s="46"/>
      <c r="H2539" s="2"/>
      <c r="I2539" s="2"/>
      <c r="J2539" s="2"/>
    </row>
    <row r="2540" spans="2:10" x14ac:dyDescent="0.2">
      <c r="B2540" s="2"/>
      <c r="C2540" s="46"/>
      <c r="D2540" s="46"/>
      <c r="E2540" s="46"/>
      <c r="F2540" s="2"/>
      <c r="G2540" s="46"/>
      <c r="H2540" s="2"/>
      <c r="I2540" s="2"/>
      <c r="J2540" s="2"/>
    </row>
    <row r="2541" spans="2:10" x14ac:dyDescent="0.2">
      <c r="B2541" s="2"/>
      <c r="C2541" s="46"/>
      <c r="D2541" s="46"/>
      <c r="E2541" s="46"/>
      <c r="F2541" s="2"/>
      <c r="G2541" s="46"/>
      <c r="H2541" s="2"/>
      <c r="I2541" s="2"/>
      <c r="J2541" s="2"/>
    </row>
    <row r="2542" spans="2:10" x14ac:dyDescent="0.2">
      <c r="B2542" s="2"/>
      <c r="C2542" s="46"/>
      <c r="D2542" s="46"/>
      <c r="E2542" s="46"/>
      <c r="F2542" s="2"/>
      <c r="G2542" s="46"/>
      <c r="H2542" s="2"/>
      <c r="I2542" s="2"/>
      <c r="J2542" s="2"/>
    </row>
    <row r="2543" spans="2:10" x14ac:dyDescent="0.2">
      <c r="B2543" s="2"/>
      <c r="C2543" s="46"/>
      <c r="D2543" s="46"/>
      <c r="E2543" s="46"/>
      <c r="F2543" s="2"/>
      <c r="G2543" s="46"/>
      <c r="H2543" s="2"/>
      <c r="I2543" s="2"/>
      <c r="J2543" s="2"/>
    </row>
    <row r="2544" spans="2:10" x14ac:dyDescent="0.2">
      <c r="B2544" s="2"/>
      <c r="C2544" s="46"/>
      <c r="D2544" s="46"/>
      <c r="E2544" s="46"/>
      <c r="F2544" s="2"/>
      <c r="G2544" s="46"/>
      <c r="H2544" s="2"/>
      <c r="I2544" s="2"/>
      <c r="J2544" s="2"/>
    </row>
    <row r="2545" spans="2:10" x14ac:dyDescent="0.2">
      <c r="B2545" s="2"/>
      <c r="C2545" s="46"/>
      <c r="D2545" s="46"/>
      <c r="E2545" s="46"/>
      <c r="F2545" s="2"/>
      <c r="G2545" s="46"/>
      <c r="H2545" s="2"/>
      <c r="I2545" s="2"/>
      <c r="J2545" s="2"/>
    </row>
    <row r="2546" spans="2:10" x14ac:dyDescent="0.2">
      <c r="B2546" s="2"/>
      <c r="C2546" s="46"/>
      <c r="D2546" s="46"/>
      <c r="E2546" s="46"/>
      <c r="F2546" s="6"/>
      <c r="G2546" s="46"/>
      <c r="H2546" s="2"/>
      <c r="I2546" s="2"/>
      <c r="J2546" s="2"/>
    </row>
    <row r="2547" spans="2:10" x14ac:dyDescent="0.2">
      <c r="B2547" s="2"/>
      <c r="C2547" s="46"/>
      <c r="D2547" s="46"/>
      <c r="E2547" s="46"/>
      <c r="F2547" s="2"/>
      <c r="G2547" s="46"/>
      <c r="H2547" s="2"/>
      <c r="I2547" s="2"/>
      <c r="J2547" s="2"/>
    </row>
    <row r="2548" spans="2:10" x14ac:dyDescent="0.2">
      <c r="B2548" s="2"/>
      <c r="C2548" s="46"/>
      <c r="D2548" s="46"/>
      <c r="E2548" s="46"/>
      <c r="F2548" s="6"/>
      <c r="G2548" s="46"/>
      <c r="H2548" s="2"/>
      <c r="I2548" s="2"/>
      <c r="J2548" s="2"/>
    </row>
    <row r="2549" spans="2:10" x14ac:dyDescent="0.2">
      <c r="B2549" s="2"/>
      <c r="C2549" s="46"/>
      <c r="D2549" s="46"/>
      <c r="E2549" s="46"/>
      <c r="F2549" s="2"/>
      <c r="G2549" s="46"/>
      <c r="H2549" s="2"/>
      <c r="I2549" s="2"/>
      <c r="J2549" s="2"/>
    </row>
    <row r="2550" spans="2:10" x14ac:dyDescent="0.2">
      <c r="B2550" s="2"/>
      <c r="C2550" s="46"/>
      <c r="D2550" s="46"/>
      <c r="E2550" s="46"/>
      <c r="F2550" s="2"/>
      <c r="G2550" s="46"/>
      <c r="H2550" s="2"/>
      <c r="I2550" s="2"/>
      <c r="J2550" s="2"/>
    </row>
    <row r="2551" spans="2:10" x14ac:dyDescent="0.2">
      <c r="B2551" s="2"/>
      <c r="C2551" s="46"/>
      <c r="D2551" s="46"/>
      <c r="E2551" s="46"/>
      <c r="F2551" s="2"/>
      <c r="G2551" s="46"/>
      <c r="H2551" s="2"/>
      <c r="I2551" s="2"/>
      <c r="J2551" s="2"/>
    </row>
    <row r="2552" spans="2:10" x14ac:dyDescent="0.2">
      <c r="B2552" s="2"/>
      <c r="C2552" s="46"/>
      <c r="D2552" s="46"/>
      <c r="E2552" s="46"/>
      <c r="F2552" s="2"/>
      <c r="G2552" s="46"/>
      <c r="H2552" s="2"/>
      <c r="I2552" s="2"/>
      <c r="J2552" s="2"/>
    </row>
    <row r="2553" spans="2:10" x14ac:dyDescent="0.2">
      <c r="B2553" s="2"/>
      <c r="C2553" s="46"/>
      <c r="D2553" s="46"/>
      <c r="E2553" s="46"/>
      <c r="F2553" s="2"/>
      <c r="G2553" s="46"/>
      <c r="H2553" s="2"/>
      <c r="I2553" s="2"/>
      <c r="J2553" s="2"/>
    </row>
    <row r="2554" spans="2:10" x14ac:dyDescent="0.2">
      <c r="B2554" s="2"/>
      <c r="C2554" s="46"/>
      <c r="D2554" s="46"/>
      <c r="E2554" s="46"/>
      <c r="F2554" s="2"/>
      <c r="G2554" s="46"/>
      <c r="H2554" s="2"/>
      <c r="I2554" s="2"/>
      <c r="J2554" s="2"/>
    </row>
    <row r="2555" spans="2:10" x14ac:dyDescent="0.2">
      <c r="B2555" s="2"/>
      <c r="C2555" s="46"/>
      <c r="D2555" s="46"/>
      <c r="E2555" s="46"/>
      <c r="F2555" s="6"/>
      <c r="G2555" s="46"/>
      <c r="H2555" s="2"/>
      <c r="I2555" s="2"/>
      <c r="J2555" s="2"/>
    </row>
    <row r="2556" spans="2:10" x14ac:dyDescent="0.2">
      <c r="B2556" s="2"/>
      <c r="C2556" s="46"/>
      <c r="D2556" s="46"/>
      <c r="E2556" s="46"/>
      <c r="F2556" s="2"/>
      <c r="G2556" s="46"/>
      <c r="H2556" s="2"/>
      <c r="I2556" s="2"/>
      <c r="J2556" s="2"/>
    </row>
    <row r="2557" spans="2:10" x14ac:dyDescent="0.2">
      <c r="B2557" s="2"/>
      <c r="C2557" s="46"/>
      <c r="D2557" s="46"/>
      <c r="E2557" s="46"/>
      <c r="F2557" s="2"/>
      <c r="G2557" s="46"/>
      <c r="H2557" s="2"/>
      <c r="I2557" s="2"/>
      <c r="J2557" s="2"/>
    </row>
    <row r="2558" spans="2:10" x14ac:dyDescent="0.2">
      <c r="B2558" s="2"/>
      <c r="C2558" s="46"/>
      <c r="D2558" s="46"/>
      <c r="E2558" s="46"/>
      <c r="F2558" s="2"/>
      <c r="G2558" s="46"/>
      <c r="H2558" s="2"/>
      <c r="I2558" s="2"/>
      <c r="J2558" s="2"/>
    </row>
    <row r="2559" spans="2:10" x14ac:dyDescent="0.2">
      <c r="B2559" s="2"/>
      <c r="C2559" s="46"/>
      <c r="D2559" s="46"/>
      <c r="E2559" s="46"/>
      <c r="F2559" s="6"/>
      <c r="G2559" s="46"/>
      <c r="H2559" s="2"/>
      <c r="I2559" s="2"/>
      <c r="J2559" s="2"/>
    </row>
    <row r="2560" spans="2:10" x14ac:dyDescent="0.2">
      <c r="B2560" s="2"/>
      <c r="C2560" s="46"/>
      <c r="D2560" s="46"/>
      <c r="E2560" s="46"/>
      <c r="F2560" s="2"/>
      <c r="G2560" s="46"/>
      <c r="H2560" s="2"/>
      <c r="I2560" s="2"/>
      <c r="J2560" s="2"/>
    </row>
    <row r="2561" spans="2:10" x14ac:dyDescent="0.2">
      <c r="B2561" s="2"/>
      <c r="C2561" s="46"/>
      <c r="D2561" s="46"/>
      <c r="E2561" s="46"/>
      <c r="F2561" s="2"/>
      <c r="G2561" s="46"/>
      <c r="H2561" s="2"/>
      <c r="I2561" s="2"/>
      <c r="J2561" s="2"/>
    </row>
    <row r="2562" spans="2:10" x14ac:dyDescent="0.2">
      <c r="B2562" s="2"/>
      <c r="C2562" s="46"/>
      <c r="D2562" s="46"/>
      <c r="E2562" s="46"/>
      <c r="F2562" s="2"/>
      <c r="G2562" s="46"/>
      <c r="H2562" s="2"/>
      <c r="I2562" s="2"/>
      <c r="J2562" s="2"/>
    </row>
    <row r="2563" spans="2:10" x14ac:dyDescent="0.2">
      <c r="B2563" s="2"/>
      <c r="C2563" s="46"/>
      <c r="D2563" s="46"/>
      <c r="E2563" s="46"/>
      <c r="F2563" s="2"/>
      <c r="G2563" s="46"/>
      <c r="H2563" s="2"/>
      <c r="I2563" s="2"/>
      <c r="J2563" s="2"/>
    </row>
    <row r="2564" spans="2:10" x14ac:dyDescent="0.2">
      <c r="B2564" s="2"/>
      <c r="C2564" s="46"/>
      <c r="D2564" s="46"/>
      <c r="E2564" s="46"/>
      <c r="F2564" s="6"/>
      <c r="G2564" s="46"/>
      <c r="H2564" s="2"/>
      <c r="I2564" s="2"/>
      <c r="J2564" s="2"/>
    </row>
    <row r="2565" spans="2:10" x14ac:dyDescent="0.2">
      <c r="B2565" s="2"/>
      <c r="C2565" s="46"/>
      <c r="D2565" s="46"/>
      <c r="E2565" s="46"/>
      <c r="F2565" s="2"/>
      <c r="G2565" s="46"/>
      <c r="H2565" s="2"/>
      <c r="I2565" s="2"/>
      <c r="J2565" s="2"/>
    </row>
    <row r="2566" spans="2:10" x14ac:dyDescent="0.2">
      <c r="B2566" s="2"/>
      <c r="C2566" s="46"/>
      <c r="D2566" s="46"/>
      <c r="E2566" s="46"/>
      <c r="F2566" s="6"/>
      <c r="G2566" s="46"/>
      <c r="H2566" s="2"/>
      <c r="I2566" s="2"/>
      <c r="J2566" s="2"/>
    </row>
    <row r="2567" spans="2:10" x14ac:dyDescent="0.2">
      <c r="B2567" s="2"/>
      <c r="C2567" s="46"/>
      <c r="D2567" s="46"/>
      <c r="E2567" s="46"/>
      <c r="F2567" s="2"/>
      <c r="G2567" s="46"/>
      <c r="H2567" s="2"/>
      <c r="I2567" s="2"/>
      <c r="J2567" s="2"/>
    </row>
    <row r="2568" spans="2:10" x14ac:dyDescent="0.2">
      <c r="B2568" s="2"/>
      <c r="C2568" s="46"/>
      <c r="D2568" s="46"/>
      <c r="E2568" s="46"/>
      <c r="F2568" s="6"/>
      <c r="G2568" s="46"/>
      <c r="H2568" s="2"/>
      <c r="I2568" s="2"/>
      <c r="J2568" s="2"/>
    </row>
    <row r="2569" spans="2:10" x14ac:dyDescent="0.2">
      <c r="B2569" s="2"/>
      <c r="C2569" s="46"/>
      <c r="D2569" s="46"/>
      <c r="E2569" s="46"/>
      <c r="F2569" s="2"/>
      <c r="G2569" s="46"/>
      <c r="H2569" s="2"/>
      <c r="I2569" s="2"/>
      <c r="J2569" s="2"/>
    </row>
    <row r="2570" spans="2:10" x14ac:dyDescent="0.2">
      <c r="B2570" s="2"/>
      <c r="C2570" s="46"/>
      <c r="D2570" s="46"/>
      <c r="E2570" s="46"/>
      <c r="F2570" s="6"/>
      <c r="G2570" s="46"/>
      <c r="H2570" s="2"/>
      <c r="I2570" s="2"/>
      <c r="J2570" s="2"/>
    </row>
    <row r="2571" spans="2:10" x14ac:dyDescent="0.2">
      <c r="B2571" s="2"/>
      <c r="C2571" s="46"/>
      <c r="D2571" s="46"/>
      <c r="E2571" s="46"/>
      <c r="F2571" s="6"/>
      <c r="G2571" s="46"/>
      <c r="H2571" s="2"/>
      <c r="I2571" s="2"/>
      <c r="J2571" s="2"/>
    </row>
    <row r="2572" spans="2:10" x14ac:dyDescent="0.2">
      <c r="B2572" s="2"/>
      <c r="C2572" s="46"/>
      <c r="D2572" s="46"/>
      <c r="E2572" s="46"/>
      <c r="F2572" s="2"/>
      <c r="G2572" s="46"/>
      <c r="H2572" s="2"/>
      <c r="I2572" s="2"/>
      <c r="J2572" s="2"/>
    </row>
    <row r="2573" spans="2:10" x14ac:dyDescent="0.2">
      <c r="B2573" s="2"/>
      <c r="C2573" s="46"/>
      <c r="D2573" s="46"/>
      <c r="E2573" s="46"/>
      <c r="F2573" s="6"/>
      <c r="G2573" s="46"/>
      <c r="H2573" s="2"/>
      <c r="I2573" s="2"/>
      <c r="J2573" s="2"/>
    </row>
    <row r="2574" spans="2:10" x14ac:dyDescent="0.2">
      <c r="B2574" s="2"/>
      <c r="C2574" s="46"/>
      <c r="D2574" s="46"/>
      <c r="E2574" s="46"/>
      <c r="F2574" s="2"/>
      <c r="G2574" s="46"/>
      <c r="H2574" s="2"/>
      <c r="I2574" s="2"/>
      <c r="J2574" s="2"/>
    </row>
    <row r="2575" spans="2:10" x14ac:dyDescent="0.2">
      <c r="B2575" s="2"/>
      <c r="C2575" s="46"/>
      <c r="D2575" s="46"/>
      <c r="E2575" s="46"/>
      <c r="F2575" s="2"/>
      <c r="G2575" s="46"/>
      <c r="H2575" s="2"/>
      <c r="I2575" s="2"/>
      <c r="J2575" s="2"/>
    </row>
    <row r="2576" spans="2:10" x14ac:dyDescent="0.2">
      <c r="B2576" s="2"/>
      <c r="C2576" s="46"/>
      <c r="D2576" s="46"/>
      <c r="E2576" s="46"/>
      <c r="F2576" s="6"/>
      <c r="G2576" s="46"/>
      <c r="H2576" s="2"/>
      <c r="I2576" s="2"/>
      <c r="J2576" s="2"/>
    </row>
    <row r="2577" spans="2:10" x14ac:dyDescent="0.2">
      <c r="B2577" s="2"/>
      <c r="C2577" s="46"/>
      <c r="D2577" s="46"/>
      <c r="E2577" s="46"/>
      <c r="F2577" s="2"/>
      <c r="G2577" s="46"/>
      <c r="H2577" s="2"/>
      <c r="I2577" s="2"/>
      <c r="J2577" s="2"/>
    </row>
    <row r="2578" spans="2:10" x14ac:dyDescent="0.2">
      <c r="B2578" s="2"/>
      <c r="C2578" s="46"/>
      <c r="D2578" s="46"/>
      <c r="E2578" s="46"/>
      <c r="F2578" s="2"/>
      <c r="G2578" s="46"/>
      <c r="H2578" s="2"/>
      <c r="I2578" s="2"/>
      <c r="J2578" s="2"/>
    </row>
    <row r="2579" spans="2:10" x14ac:dyDescent="0.2">
      <c r="B2579" s="2"/>
      <c r="C2579" s="46"/>
      <c r="D2579" s="46"/>
      <c r="E2579" s="46"/>
      <c r="F2579" s="2"/>
      <c r="G2579" s="46"/>
      <c r="H2579" s="2"/>
      <c r="I2579" s="2"/>
      <c r="J2579" s="2"/>
    </row>
    <row r="2580" spans="2:10" x14ac:dyDescent="0.2">
      <c r="B2580" s="2"/>
      <c r="C2580" s="46"/>
      <c r="D2580" s="46"/>
      <c r="E2580" s="46"/>
      <c r="F2580" s="6"/>
      <c r="G2580" s="46"/>
      <c r="H2580" s="2"/>
      <c r="I2580" s="2"/>
      <c r="J2580" s="2"/>
    </row>
    <row r="2581" spans="2:10" x14ac:dyDescent="0.2">
      <c r="B2581" s="2"/>
      <c r="C2581" s="46"/>
      <c r="D2581" s="46"/>
      <c r="E2581" s="46"/>
      <c r="F2581" s="2"/>
      <c r="G2581" s="46"/>
      <c r="H2581" s="2"/>
      <c r="I2581" s="2"/>
      <c r="J2581" s="2"/>
    </row>
    <row r="2582" spans="2:10" x14ac:dyDescent="0.2">
      <c r="B2582" s="2"/>
      <c r="C2582" s="46"/>
      <c r="D2582" s="46"/>
      <c r="E2582" s="46"/>
      <c r="F2582" s="2"/>
      <c r="G2582" s="46"/>
      <c r="H2582" s="2"/>
      <c r="I2582" s="2"/>
      <c r="J2582" s="2"/>
    </row>
    <row r="2583" spans="2:10" x14ac:dyDescent="0.2">
      <c r="B2583" s="2"/>
      <c r="C2583" s="46"/>
      <c r="D2583" s="46"/>
      <c r="E2583" s="46"/>
      <c r="F2583" s="6"/>
      <c r="G2583" s="46"/>
      <c r="H2583" s="2"/>
      <c r="I2583" s="2"/>
      <c r="J2583" s="2"/>
    </row>
    <row r="2584" spans="2:10" x14ac:dyDescent="0.2">
      <c r="B2584" s="2"/>
      <c r="C2584" s="46"/>
      <c r="D2584" s="46"/>
      <c r="E2584" s="46"/>
      <c r="F2584" s="2"/>
      <c r="G2584" s="46"/>
      <c r="H2584" s="2"/>
      <c r="I2584" s="2"/>
      <c r="J2584" s="2"/>
    </row>
    <row r="2585" spans="2:10" x14ac:dyDescent="0.2">
      <c r="B2585" s="2"/>
      <c r="C2585" s="46"/>
      <c r="D2585" s="46"/>
      <c r="E2585" s="46"/>
      <c r="F2585" s="2"/>
      <c r="G2585" s="46"/>
      <c r="H2585" s="2"/>
      <c r="I2585" s="2"/>
      <c r="J2585" s="2"/>
    </row>
    <row r="2586" spans="2:10" x14ac:dyDescent="0.2">
      <c r="B2586" s="2"/>
      <c r="C2586" s="46"/>
      <c r="D2586" s="46"/>
      <c r="E2586" s="46"/>
      <c r="F2586" s="2"/>
      <c r="G2586" s="46"/>
      <c r="H2586" s="2"/>
      <c r="I2586" s="2"/>
      <c r="J2586" s="2"/>
    </row>
    <row r="2587" spans="2:10" x14ac:dyDescent="0.2">
      <c r="B2587" s="2"/>
      <c r="C2587" s="46"/>
      <c r="D2587" s="46"/>
      <c r="E2587" s="46"/>
      <c r="F2587" s="2"/>
      <c r="G2587" s="46"/>
      <c r="H2587" s="2"/>
      <c r="I2587" s="2"/>
      <c r="J2587" s="2"/>
    </row>
    <row r="2588" spans="2:10" x14ac:dyDescent="0.2">
      <c r="B2588" s="2"/>
      <c r="C2588" s="46"/>
      <c r="D2588" s="46"/>
      <c r="E2588" s="46"/>
      <c r="F2588" s="2"/>
      <c r="G2588" s="46"/>
      <c r="H2588" s="2"/>
      <c r="I2588" s="2"/>
      <c r="J2588" s="2"/>
    </row>
    <row r="2589" spans="2:10" x14ac:dyDescent="0.2">
      <c r="B2589" s="2"/>
      <c r="C2589" s="46"/>
      <c r="D2589" s="46"/>
      <c r="E2589" s="46"/>
      <c r="F2589" s="2"/>
      <c r="G2589" s="46"/>
      <c r="H2589" s="2"/>
      <c r="I2589" s="2"/>
      <c r="J2589" s="2"/>
    </row>
    <row r="2590" spans="2:10" x14ac:dyDescent="0.2">
      <c r="B2590" s="2"/>
      <c r="C2590" s="46"/>
      <c r="D2590" s="46"/>
      <c r="E2590" s="46"/>
      <c r="F2590" s="6"/>
      <c r="G2590" s="46"/>
      <c r="H2590" s="2"/>
      <c r="I2590" s="2"/>
      <c r="J2590" s="2"/>
    </row>
    <row r="2591" spans="2:10" x14ac:dyDescent="0.2">
      <c r="B2591" s="2"/>
      <c r="C2591" s="46"/>
      <c r="D2591" s="46"/>
      <c r="E2591" s="46"/>
      <c r="F2591" s="2"/>
      <c r="G2591" s="46"/>
      <c r="H2591" s="2"/>
      <c r="I2591" s="2"/>
      <c r="J2591" s="2"/>
    </row>
    <row r="2592" spans="2:10" x14ac:dyDescent="0.2">
      <c r="B2592" s="2"/>
      <c r="C2592" s="46"/>
      <c r="D2592" s="46"/>
      <c r="E2592" s="46"/>
      <c r="F2592" s="2"/>
      <c r="G2592" s="46"/>
      <c r="H2592" s="2"/>
      <c r="I2592" s="2"/>
      <c r="J2592" s="2"/>
    </row>
    <row r="2593" spans="2:10" x14ac:dyDescent="0.2">
      <c r="B2593" s="2"/>
      <c r="C2593" s="46"/>
      <c r="D2593" s="46"/>
      <c r="E2593" s="46"/>
      <c r="F2593" s="6"/>
      <c r="G2593" s="46"/>
      <c r="H2593" s="2"/>
      <c r="I2593" s="2"/>
      <c r="J2593" s="2"/>
    </row>
    <row r="2594" spans="2:10" x14ac:dyDescent="0.2">
      <c r="B2594" s="2"/>
      <c r="C2594" s="46"/>
      <c r="D2594" s="46"/>
      <c r="E2594" s="46"/>
      <c r="F2594" s="6"/>
      <c r="G2594" s="46"/>
      <c r="H2594" s="2"/>
      <c r="I2594" s="2"/>
      <c r="J2594" s="2"/>
    </row>
    <row r="2595" spans="2:10" x14ac:dyDescent="0.2">
      <c r="B2595" s="2"/>
      <c r="C2595" s="46"/>
      <c r="D2595" s="46"/>
      <c r="E2595" s="46"/>
      <c r="F2595" s="2"/>
      <c r="G2595" s="46"/>
      <c r="H2595" s="2"/>
      <c r="I2595" s="2"/>
      <c r="J2595" s="2"/>
    </row>
    <row r="2596" spans="2:10" x14ac:dyDescent="0.2">
      <c r="B2596" s="2"/>
      <c r="C2596" s="46"/>
      <c r="D2596" s="46"/>
      <c r="E2596" s="46"/>
      <c r="F2596" s="2"/>
      <c r="G2596" s="46"/>
      <c r="H2596" s="2"/>
      <c r="I2596" s="2"/>
      <c r="J2596" s="2"/>
    </row>
    <row r="2597" spans="2:10" x14ac:dyDescent="0.2">
      <c r="B2597" s="2"/>
      <c r="C2597" s="46"/>
      <c r="D2597" s="46"/>
      <c r="E2597" s="46"/>
      <c r="F2597" s="2"/>
      <c r="G2597" s="46"/>
      <c r="H2597" s="2"/>
      <c r="I2597" s="2"/>
      <c r="J2597" s="2"/>
    </row>
    <row r="2598" spans="2:10" x14ac:dyDescent="0.2">
      <c r="B2598" s="2"/>
      <c r="C2598" s="46"/>
      <c r="D2598" s="46"/>
      <c r="E2598" s="46"/>
      <c r="F2598" s="2"/>
      <c r="G2598" s="46"/>
      <c r="H2598" s="2"/>
      <c r="I2598" s="2"/>
      <c r="J2598" s="2"/>
    </row>
    <row r="2599" spans="2:10" x14ac:dyDescent="0.2">
      <c r="B2599" s="2"/>
      <c r="C2599" s="46"/>
      <c r="D2599" s="46"/>
      <c r="E2599" s="46"/>
      <c r="F2599" s="2"/>
      <c r="G2599" s="46"/>
      <c r="H2599" s="2"/>
      <c r="I2599" s="2"/>
      <c r="J2599" s="2"/>
    </row>
    <row r="2600" spans="2:10" x14ac:dyDescent="0.2">
      <c r="B2600" s="2"/>
      <c r="C2600" s="46"/>
      <c r="D2600" s="46"/>
      <c r="E2600" s="46"/>
      <c r="F2600" s="2"/>
      <c r="G2600" s="46"/>
      <c r="H2600" s="2"/>
      <c r="I2600" s="2"/>
      <c r="J2600" s="2"/>
    </row>
    <row r="2601" spans="2:10" x14ac:dyDescent="0.2">
      <c r="B2601" s="2"/>
      <c r="C2601" s="46"/>
      <c r="D2601" s="46"/>
      <c r="E2601" s="46"/>
      <c r="F2601" s="2"/>
      <c r="G2601" s="46"/>
      <c r="H2601" s="2"/>
      <c r="I2601" s="2"/>
      <c r="J2601" s="2"/>
    </row>
    <row r="2602" spans="2:10" x14ac:dyDescent="0.2">
      <c r="B2602" s="2"/>
      <c r="C2602" s="46"/>
      <c r="D2602" s="46"/>
      <c r="E2602" s="46"/>
      <c r="F2602" s="2"/>
      <c r="G2602" s="46"/>
      <c r="H2602" s="2"/>
      <c r="I2602" s="2"/>
      <c r="J2602" s="2"/>
    </row>
    <row r="2603" spans="2:10" x14ac:dyDescent="0.2">
      <c r="B2603" s="2"/>
      <c r="C2603" s="46"/>
      <c r="D2603" s="46"/>
      <c r="E2603" s="46"/>
      <c r="F2603" s="2"/>
      <c r="G2603" s="46"/>
      <c r="H2603" s="2"/>
      <c r="I2603" s="2"/>
      <c r="J2603" s="2"/>
    </row>
    <row r="2604" spans="2:10" x14ac:dyDescent="0.2">
      <c r="B2604" s="2"/>
      <c r="C2604" s="46"/>
      <c r="D2604" s="46"/>
      <c r="E2604" s="46"/>
      <c r="F2604" s="2"/>
      <c r="G2604" s="46"/>
      <c r="H2604" s="2"/>
      <c r="I2604" s="2"/>
      <c r="J2604" s="2"/>
    </row>
    <row r="2605" spans="2:10" x14ac:dyDescent="0.2">
      <c r="B2605" s="2"/>
      <c r="C2605" s="46"/>
      <c r="D2605" s="46"/>
      <c r="E2605" s="46"/>
      <c r="F2605" s="2"/>
      <c r="G2605" s="46"/>
      <c r="H2605" s="2"/>
      <c r="I2605" s="2"/>
      <c r="J2605" s="2"/>
    </row>
    <row r="2606" spans="2:10" x14ac:dyDescent="0.2">
      <c r="B2606" s="2"/>
      <c r="C2606" s="46"/>
      <c r="D2606" s="46"/>
      <c r="E2606" s="46"/>
      <c r="F2606" s="2"/>
      <c r="G2606" s="46"/>
      <c r="H2606" s="2"/>
      <c r="I2606" s="2"/>
      <c r="J2606" s="2"/>
    </row>
    <row r="2607" spans="2:10" x14ac:dyDescent="0.2">
      <c r="B2607" s="2"/>
      <c r="C2607" s="46"/>
      <c r="D2607" s="46"/>
      <c r="E2607" s="46"/>
      <c r="F2607" s="2"/>
      <c r="G2607" s="46"/>
      <c r="H2607" s="2"/>
      <c r="I2607" s="2"/>
      <c r="J2607" s="2"/>
    </row>
    <row r="2608" spans="2:10" x14ac:dyDescent="0.2">
      <c r="B2608" s="2"/>
      <c r="C2608" s="46"/>
      <c r="D2608" s="46"/>
      <c r="E2608" s="46"/>
      <c r="F2608" s="2"/>
      <c r="G2608" s="46"/>
      <c r="H2608" s="2"/>
      <c r="I2608" s="2"/>
      <c r="J2608" s="2"/>
    </row>
    <row r="2609" spans="2:10" x14ac:dyDescent="0.2">
      <c r="B2609" s="2"/>
      <c r="C2609" s="46"/>
      <c r="D2609" s="46"/>
      <c r="E2609" s="46"/>
      <c r="F2609" s="2"/>
      <c r="G2609" s="46"/>
      <c r="H2609" s="2"/>
      <c r="I2609" s="2"/>
      <c r="J2609" s="2"/>
    </row>
    <row r="2610" spans="2:10" x14ac:dyDescent="0.2">
      <c r="B2610" s="2"/>
      <c r="C2610" s="46"/>
      <c r="D2610" s="46"/>
      <c r="E2610" s="46"/>
      <c r="F2610" s="2"/>
      <c r="G2610" s="46"/>
      <c r="H2610" s="2"/>
      <c r="I2610" s="2"/>
      <c r="J2610" s="2"/>
    </row>
    <row r="2611" spans="2:10" x14ac:dyDescent="0.2">
      <c r="B2611" s="2"/>
      <c r="C2611" s="46"/>
      <c r="D2611" s="46"/>
      <c r="E2611" s="46"/>
      <c r="F2611" s="2"/>
      <c r="G2611" s="46"/>
      <c r="H2611" s="2"/>
      <c r="I2611" s="2"/>
      <c r="J2611" s="2"/>
    </row>
    <row r="2612" spans="2:10" x14ac:dyDescent="0.2">
      <c r="B2612" s="2"/>
      <c r="C2612" s="46"/>
      <c r="D2612" s="46"/>
      <c r="E2612" s="46"/>
      <c r="F2612" s="2"/>
      <c r="G2612" s="46"/>
      <c r="H2612" s="2"/>
      <c r="I2612" s="2"/>
      <c r="J2612" s="2"/>
    </row>
    <row r="2613" spans="2:10" x14ac:dyDescent="0.2">
      <c r="B2613" s="2"/>
      <c r="C2613" s="46"/>
      <c r="D2613" s="46"/>
      <c r="E2613" s="46"/>
      <c r="F2613" s="2"/>
      <c r="G2613" s="46"/>
      <c r="H2613" s="2"/>
      <c r="I2613" s="2"/>
      <c r="J2613" s="2"/>
    </row>
    <row r="2614" spans="2:10" x14ac:dyDescent="0.2">
      <c r="B2614" s="2"/>
      <c r="C2614" s="46"/>
      <c r="D2614" s="46"/>
      <c r="E2614" s="46"/>
      <c r="F2614" s="2"/>
      <c r="G2614" s="46"/>
      <c r="H2614" s="2"/>
      <c r="I2614" s="2"/>
      <c r="J2614" s="2"/>
    </row>
    <row r="2615" spans="2:10" x14ac:dyDescent="0.2">
      <c r="B2615" s="2"/>
      <c r="C2615" s="46"/>
      <c r="D2615" s="46"/>
      <c r="E2615" s="46"/>
      <c r="F2615" s="2"/>
      <c r="G2615" s="46"/>
      <c r="H2615" s="2"/>
      <c r="I2615" s="2"/>
      <c r="J2615" s="2"/>
    </row>
    <row r="2616" spans="2:10" x14ac:dyDescent="0.2">
      <c r="B2616" s="2"/>
      <c r="C2616" s="46"/>
      <c r="D2616" s="46"/>
      <c r="E2616" s="46"/>
      <c r="F2616" s="2"/>
      <c r="G2616" s="46"/>
      <c r="H2616" s="2"/>
      <c r="I2616" s="2"/>
      <c r="J2616" s="2"/>
    </row>
    <row r="2617" spans="2:10" x14ac:dyDescent="0.2">
      <c r="B2617" s="2"/>
      <c r="C2617" s="46"/>
      <c r="D2617" s="46"/>
      <c r="E2617" s="46"/>
      <c r="F2617" s="2"/>
      <c r="G2617" s="46"/>
      <c r="H2617" s="2"/>
      <c r="I2617" s="2"/>
      <c r="J2617" s="2"/>
    </row>
    <row r="2618" spans="2:10" x14ac:dyDescent="0.2">
      <c r="B2618" s="2"/>
      <c r="C2618" s="46"/>
      <c r="D2618" s="46"/>
      <c r="E2618" s="46"/>
      <c r="F2618" s="2"/>
      <c r="G2618" s="46"/>
      <c r="H2618" s="2"/>
      <c r="I2618" s="2"/>
      <c r="J2618" s="2"/>
    </row>
    <row r="2619" spans="2:10" x14ac:dyDescent="0.2">
      <c r="B2619" s="2"/>
      <c r="C2619" s="46"/>
      <c r="D2619" s="46"/>
      <c r="E2619" s="46"/>
      <c r="F2619" s="2"/>
      <c r="G2619" s="46"/>
      <c r="H2619" s="2"/>
      <c r="I2619" s="2"/>
      <c r="J2619" s="2"/>
    </row>
    <row r="2620" spans="2:10" x14ac:dyDescent="0.2">
      <c r="B2620" s="2"/>
      <c r="C2620" s="46"/>
      <c r="D2620" s="46"/>
      <c r="E2620" s="46"/>
      <c r="F2620" s="2"/>
      <c r="G2620" s="46"/>
      <c r="H2620" s="2"/>
      <c r="I2620" s="2"/>
      <c r="J2620" s="2"/>
    </row>
    <row r="2621" spans="2:10" x14ac:dyDescent="0.2">
      <c r="B2621" s="2"/>
      <c r="C2621" s="46"/>
      <c r="D2621" s="46"/>
      <c r="E2621" s="46"/>
      <c r="F2621" s="6"/>
      <c r="G2621" s="46"/>
      <c r="H2621" s="2"/>
      <c r="I2621" s="2"/>
      <c r="J2621" s="2"/>
    </row>
    <row r="2622" spans="2:10" x14ac:dyDescent="0.2">
      <c r="B2622" s="2"/>
      <c r="C2622" s="46"/>
      <c r="D2622" s="46"/>
      <c r="E2622" s="46"/>
      <c r="F2622" s="2"/>
      <c r="G2622" s="46"/>
      <c r="H2622" s="2"/>
      <c r="I2622" s="2"/>
      <c r="J2622" s="2"/>
    </row>
    <row r="2623" spans="2:10" x14ac:dyDescent="0.2">
      <c r="B2623" s="2"/>
      <c r="C2623" s="46"/>
      <c r="D2623" s="46"/>
      <c r="E2623" s="46"/>
      <c r="F2623" s="2"/>
      <c r="G2623" s="46"/>
      <c r="H2623" s="2"/>
      <c r="I2623" s="2"/>
      <c r="J2623" s="2"/>
    </row>
    <row r="2624" spans="2:10" x14ac:dyDescent="0.2">
      <c r="B2624" s="2"/>
      <c r="C2624" s="46"/>
      <c r="D2624" s="46"/>
      <c r="E2624" s="46"/>
      <c r="F2624" s="2"/>
      <c r="G2624" s="46"/>
      <c r="H2624" s="2"/>
      <c r="I2624" s="2"/>
      <c r="J2624" s="2"/>
    </row>
    <row r="2625" spans="2:10" x14ac:dyDescent="0.2">
      <c r="B2625" s="2"/>
      <c r="C2625" s="46"/>
      <c r="D2625" s="46"/>
      <c r="E2625" s="46"/>
      <c r="F2625" s="6"/>
      <c r="G2625" s="46"/>
      <c r="H2625" s="2"/>
      <c r="I2625" s="2"/>
      <c r="J2625" s="2"/>
    </row>
    <row r="2626" spans="2:10" x14ac:dyDescent="0.2">
      <c r="B2626" s="2"/>
      <c r="C2626" s="46"/>
      <c r="D2626" s="46"/>
      <c r="E2626" s="46"/>
      <c r="F2626" s="6"/>
      <c r="G2626" s="46"/>
      <c r="H2626" s="2"/>
      <c r="I2626" s="2"/>
      <c r="J2626" s="2"/>
    </row>
    <row r="2627" spans="2:10" x14ac:dyDescent="0.2">
      <c r="B2627" s="2"/>
      <c r="C2627" s="46"/>
      <c r="D2627" s="46"/>
      <c r="E2627" s="46"/>
      <c r="F2627" s="6"/>
      <c r="G2627" s="46"/>
      <c r="H2627" s="2"/>
      <c r="I2627" s="2"/>
      <c r="J2627" s="2"/>
    </row>
    <row r="2628" spans="2:10" x14ac:dyDescent="0.2">
      <c r="B2628" s="2"/>
      <c r="C2628" s="46"/>
      <c r="D2628" s="46"/>
      <c r="E2628" s="46"/>
      <c r="F2628" s="2"/>
      <c r="G2628" s="46"/>
      <c r="H2628" s="2"/>
      <c r="I2628" s="2"/>
      <c r="J2628" s="2"/>
    </row>
    <row r="2629" spans="2:10" x14ac:dyDescent="0.2">
      <c r="B2629" s="2"/>
      <c r="C2629" s="46"/>
      <c r="D2629" s="46"/>
      <c r="E2629" s="46"/>
      <c r="F2629" s="2"/>
      <c r="G2629" s="46"/>
      <c r="H2629" s="2"/>
      <c r="I2629" s="2"/>
      <c r="J2629" s="2"/>
    </row>
    <row r="2630" spans="2:10" x14ac:dyDescent="0.2">
      <c r="B2630" s="2"/>
      <c r="C2630" s="46"/>
      <c r="D2630" s="46"/>
      <c r="E2630" s="46"/>
      <c r="F2630" s="2"/>
      <c r="G2630" s="46"/>
      <c r="H2630" s="2"/>
      <c r="I2630" s="2"/>
      <c r="J2630" s="2"/>
    </row>
    <row r="2631" spans="2:10" x14ac:dyDescent="0.2">
      <c r="B2631" s="2"/>
      <c r="C2631" s="46"/>
      <c r="D2631" s="46"/>
      <c r="E2631" s="46"/>
      <c r="F2631" s="2"/>
      <c r="G2631" s="46"/>
      <c r="H2631" s="2"/>
      <c r="I2631" s="2"/>
      <c r="J2631" s="2"/>
    </row>
    <row r="2632" spans="2:10" x14ac:dyDescent="0.2">
      <c r="B2632" s="2"/>
      <c r="C2632" s="46"/>
      <c r="D2632" s="46"/>
      <c r="E2632" s="46"/>
      <c r="F2632" s="2"/>
      <c r="G2632" s="46"/>
      <c r="H2632" s="2"/>
      <c r="I2632" s="2"/>
      <c r="J2632" s="2"/>
    </row>
    <row r="2633" spans="2:10" x14ac:dyDescent="0.2">
      <c r="B2633" s="2"/>
      <c r="C2633" s="46"/>
      <c r="D2633" s="46"/>
      <c r="E2633" s="46"/>
      <c r="F2633" s="2"/>
      <c r="G2633" s="46"/>
      <c r="H2633" s="2"/>
      <c r="I2633" s="2"/>
      <c r="J2633" s="2"/>
    </row>
    <row r="2634" spans="2:10" x14ac:dyDescent="0.2">
      <c r="B2634" s="2"/>
      <c r="C2634" s="46"/>
      <c r="D2634" s="46"/>
      <c r="E2634" s="46"/>
      <c r="F2634" s="2"/>
      <c r="G2634" s="46"/>
      <c r="H2634" s="2"/>
      <c r="I2634" s="2"/>
      <c r="J2634" s="2"/>
    </row>
    <row r="2635" spans="2:10" x14ac:dyDescent="0.2">
      <c r="B2635" s="2"/>
      <c r="C2635" s="46"/>
      <c r="D2635" s="46"/>
      <c r="E2635" s="46"/>
      <c r="F2635" s="2"/>
      <c r="G2635" s="46"/>
      <c r="H2635" s="2"/>
      <c r="I2635" s="2"/>
      <c r="J2635" s="2"/>
    </row>
    <row r="2636" spans="2:10" x14ac:dyDescent="0.2">
      <c r="B2636" s="2"/>
      <c r="C2636" s="46"/>
      <c r="D2636" s="46"/>
      <c r="E2636" s="46"/>
      <c r="F2636" s="2"/>
      <c r="G2636" s="46"/>
      <c r="H2636" s="2"/>
      <c r="I2636" s="2"/>
      <c r="J2636" s="2"/>
    </row>
    <row r="2637" spans="2:10" x14ac:dyDescent="0.2">
      <c r="B2637" s="2"/>
      <c r="C2637" s="46"/>
      <c r="D2637" s="46"/>
      <c r="E2637" s="46"/>
      <c r="F2637" s="2"/>
      <c r="G2637" s="46"/>
      <c r="H2637" s="2"/>
      <c r="I2637" s="2"/>
      <c r="J2637" s="2"/>
    </row>
    <row r="2638" spans="2:10" x14ac:dyDescent="0.2">
      <c r="B2638" s="2"/>
      <c r="C2638" s="46"/>
      <c r="D2638" s="46"/>
      <c r="E2638" s="46"/>
      <c r="F2638" s="2"/>
      <c r="G2638" s="46"/>
      <c r="H2638" s="2"/>
      <c r="I2638" s="2"/>
      <c r="J2638" s="2"/>
    </row>
    <row r="2639" spans="2:10" x14ac:dyDescent="0.2">
      <c r="B2639" s="2"/>
      <c r="C2639" s="46"/>
      <c r="D2639" s="46"/>
      <c r="E2639" s="46"/>
      <c r="F2639" s="6"/>
      <c r="G2639" s="46"/>
      <c r="H2639" s="2"/>
      <c r="I2639" s="2"/>
      <c r="J2639" s="2"/>
    </row>
    <row r="2640" spans="2:10" x14ac:dyDescent="0.2">
      <c r="B2640" s="2"/>
      <c r="C2640" s="46"/>
      <c r="D2640" s="46"/>
      <c r="E2640" s="46"/>
      <c r="F2640" s="2"/>
      <c r="G2640" s="46"/>
      <c r="H2640" s="2"/>
      <c r="I2640" s="2"/>
      <c r="J2640" s="2"/>
    </row>
    <row r="2641" spans="2:10" x14ac:dyDescent="0.2">
      <c r="B2641" s="2"/>
      <c r="C2641" s="46"/>
      <c r="D2641" s="46"/>
      <c r="E2641" s="46"/>
      <c r="F2641" s="2"/>
      <c r="G2641" s="46"/>
      <c r="H2641" s="2"/>
      <c r="I2641" s="2"/>
      <c r="J2641" s="2"/>
    </row>
    <row r="2642" spans="2:10" x14ac:dyDescent="0.2">
      <c r="B2642" s="2"/>
      <c r="C2642" s="46"/>
      <c r="D2642" s="46"/>
      <c r="E2642" s="46"/>
      <c r="F2642" s="2"/>
      <c r="G2642" s="46"/>
      <c r="H2642" s="2"/>
      <c r="I2642" s="2"/>
      <c r="J2642" s="2"/>
    </row>
    <row r="2643" spans="2:10" x14ac:dyDescent="0.2">
      <c r="B2643" s="2"/>
      <c r="C2643" s="46"/>
      <c r="D2643" s="46"/>
      <c r="E2643" s="46"/>
      <c r="F2643" s="2"/>
      <c r="G2643" s="46"/>
      <c r="H2643" s="2"/>
      <c r="I2643" s="2"/>
      <c r="J2643" s="2"/>
    </row>
    <row r="2644" spans="2:10" x14ac:dyDescent="0.2">
      <c r="B2644" s="2"/>
      <c r="C2644" s="46"/>
      <c r="D2644" s="46"/>
      <c r="E2644" s="46"/>
      <c r="F2644" s="2"/>
      <c r="G2644" s="46"/>
      <c r="H2644" s="2"/>
      <c r="I2644" s="2"/>
      <c r="J2644" s="2"/>
    </row>
    <row r="2645" spans="2:10" x14ac:dyDescent="0.2">
      <c r="B2645" s="2"/>
      <c r="C2645" s="46"/>
      <c r="D2645" s="46"/>
      <c r="E2645" s="46"/>
      <c r="F2645" s="6"/>
      <c r="G2645" s="46"/>
      <c r="H2645" s="2"/>
      <c r="I2645" s="2"/>
      <c r="J2645" s="2"/>
    </row>
    <row r="2646" spans="2:10" x14ac:dyDescent="0.2">
      <c r="B2646" s="2"/>
      <c r="C2646" s="46"/>
      <c r="D2646" s="46"/>
      <c r="E2646" s="46"/>
      <c r="F2646" s="2"/>
      <c r="G2646" s="46"/>
      <c r="H2646" s="2"/>
      <c r="I2646" s="2"/>
      <c r="J2646" s="2"/>
    </row>
    <row r="2647" spans="2:10" x14ac:dyDescent="0.2">
      <c r="B2647" s="2"/>
      <c r="C2647" s="46"/>
      <c r="D2647" s="46"/>
      <c r="E2647" s="46"/>
      <c r="F2647" s="2"/>
      <c r="G2647" s="46"/>
      <c r="H2647" s="2"/>
      <c r="I2647" s="2"/>
      <c r="J2647" s="2"/>
    </row>
    <row r="2648" spans="2:10" x14ac:dyDescent="0.2">
      <c r="B2648" s="2"/>
      <c r="C2648" s="46"/>
      <c r="D2648" s="46"/>
      <c r="E2648" s="46"/>
      <c r="F2648" s="2"/>
      <c r="G2648" s="46"/>
      <c r="H2648" s="2"/>
      <c r="I2648" s="2"/>
      <c r="J2648" s="2"/>
    </row>
    <row r="2649" spans="2:10" x14ac:dyDescent="0.2">
      <c r="B2649" s="2"/>
      <c r="C2649" s="46"/>
      <c r="D2649" s="46"/>
      <c r="E2649" s="46"/>
      <c r="F2649" s="2"/>
      <c r="G2649" s="46"/>
      <c r="H2649" s="2"/>
      <c r="I2649" s="2"/>
      <c r="J2649" s="2"/>
    </row>
    <row r="2650" spans="2:10" x14ac:dyDescent="0.2">
      <c r="B2650" s="2"/>
      <c r="C2650" s="46"/>
      <c r="D2650" s="46"/>
      <c r="E2650" s="46"/>
      <c r="F2650" s="2"/>
      <c r="G2650" s="46"/>
      <c r="H2650" s="2"/>
      <c r="I2650" s="2"/>
      <c r="J2650" s="2"/>
    </row>
    <row r="2651" spans="2:10" x14ac:dyDescent="0.2">
      <c r="B2651" s="2"/>
      <c r="C2651" s="46"/>
      <c r="D2651" s="46"/>
      <c r="E2651" s="46"/>
      <c r="F2651" s="2"/>
      <c r="G2651" s="46"/>
      <c r="H2651" s="2"/>
      <c r="I2651" s="2"/>
      <c r="J2651" s="2"/>
    </row>
    <row r="2652" spans="2:10" x14ac:dyDescent="0.2">
      <c r="B2652" s="2"/>
      <c r="C2652" s="46"/>
      <c r="D2652" s="46"/>
      <c r="E2652" s="46"/>
      <c r="F2652" s="2"/>
      <c r="G2652" s="46"/>
      <c r="H2652" s="2"/>
      <c r="I2652" s="2"/>
      <c r="J2652" s="2"/>
    </row>
    <row r="2653" spans="2:10" x14ac:dyDescent="0.2">
      <c r="B2653" s="2"/>
      <c r="C2653" s="46"/>
      <c r="D2653" s="46"/>
      <c r="E2653" s="46"/>
      <c r="F2653" s="2"/>
      <c r="G2653" s="46"/>
      <c r="H2653" s="2"/>
      <c r="I2653" s="2"/>
      <c r="J2653" s="2"/>
    </row>
    <row r="2654" spans="2:10" x14ac:dyDescent="0.2">
      <c r="B2654" s="2"/>
      <c r="C2654" s="46"/>
      <c r="D2654" s="46"/>
      <c r="E2654" s="46"/>
      <c r="F2654" s="6"/>
      <c r="G2654" s="46"/>
      <c r="H2654" s="2"/>
      <c r="I2654" s="2"/>
      <c r="J2654" s="2"/>
    </row>
    <row r="2655" spans="2:10" x14ac:dyDescent="0.2">
      <c r="B2655" s="2"/>
      <c r="C2655" s="46"/>
      <c r="D2655" s="46"/>
      <c r="E2655" s="46"/>
      <c r="F2655" s="2"/>
      <c r="G2655" s="46"/>
      <c r="H2655" s="2"/>
      <c r="I2655" s="2"/>
      <c r="J2655" s="2"/>
    </row>
    <row r="2656" spans="2:10" x14ac:dyDescent="0.2">
      <c r="B2656" s="2"/>
      <c r="C2656" s="46"/>
      <c r="D2656" s="46"/>
      <c r="E2656" s="46"/>
      <c r="F2656" s="6"/>
      <c r="G2656" s="46"/>
      <c r="H2656" s="2"/>
      <c r="I2656" s="2"/>
      <c r="J2656" s="2"/>
    </row>
    <row r="2657" spans="2:10" x14ac:dyDescent="0.2">
      <c r="B2657" s="2"/>
      <c r="C2657" s="46"/>
      <c r="D2657" s="46"/>
      <c r="E2657" s="46"/>
      <c r="F2657" s="2"/>
      <c r="G2657" s="46"/>
      <c r="H2657" s="2"/>
      <c r="I2657" s="2"/>
      <c r="J2657" s="2"/>
    </row>
    <row r="2658" spans="2:10" x14ac:dyDescent="0.2">
      <c r="B2658" s="2"/>
      <c r="C2658" s="46"/>
      <c r="D2658" s="46"/>
      <c r="E2658" s="46"/>
      <c r="F2658" s="2"/>
      <c r="G2658" s="46"/>
      <c r="H2658" s="2"/>
      <c r="I2658" s="2"/>
      <c r="J2658" s="2"/>
    </row>
    <row r="2659" spans="2:10" x14ac:dyDescent="0.2">
      <c r="B2659" s="2"/>
      <c r="C2659" s="46"/>
      <c r="D2659" s="46"/>
      <c r="E2659" s="46"/>
      <c r="F2659" s="2"/>
      <c r="G2659" s="46"/>
      <c r="H2659" s="2"/>
      <c r="I2659" s="2"/>
      <c r="J2659" s="2"/>
    </row>
    <row r="2660" spans="2:10" x14ac:dyDescent="0.2">
      <c r="B2660" s="2"/>
      <c r="C2660" s="46"/>
      <c r="D2660" s="46"/>
      <c r="E2660" s="46"/>
      <c r="F2660" s="2"/>
      <c r="G2660" s="46"/>
      <c r="H2660" s="2"/>
      <c r="I2660" s="2"/>
      <c r="J2660" s="2"/>
    </row>
    <row r="2661" spans="2:10" x14ac:dyDescent="0.2">
      <c r="B2661" s="2"/>
      <c r="C2661" s="46"/>
      <c r="D2661" s="46"/>
      <c r="E2661" s="46"/>
      <c r="F2661" s="2"/>
      <c r="G2661" s="46"/>
      <c r="H2661" s="2"/>
      <c r="I2661" s="2"/>
      <c r="J2661" s="2"/>
    </row>
    <row r="2662" spans="2:10" x14ac:dyDescent="0.2">
      <c r="B2662" s="2"/>
      <c r="C2662" s="46"/>
      <c r="D2662" s="46"/>
      <c r="E2662" s="46"/>
      <c r="F2662" s="2"/>
      <c r="G2662" s="46"/>
      <c r="H2662" s="2"/>
      <c r="I2662" s="2"/>
      <c r="J2662" s="2"/>
    </row>
    <row r="2663" spans="2:10" x14ac:dyDescent="0.2">
      <c r="B2663" s="2"/>
      <c r="C2663" s="46"/>
      <c r="D2663" s="46"/>
      <c r="E2663" s="46"/>
      <c r="F2663" s="2"/>
      <c r="G2663" s="46"/>
      <c r="H2663" s="2"/>
      <c r="I2663" s="2"/>
      <c r="J2663" s="2"/>
    </row>
    <row r="2664" spans="2:10" x14ac:dyDescent="0.2">
      <c r="B2664" s="2"/>
      <c r="C2664" s="46"/>
      <c r="D2664" s="46"/>
      <c r="E2664" s="46"/>
      <c r="F2664" s="2"/>
      <c r="G2664" s="46"/>
      <c r="H2664" s="2"/>
      <c r="I2664" s="2"/>
      <c r="J2664" s="2"/>
    </row>
    <row r="2665" spans="2:10" x14ac:dyDescent="0.2">
      <c r="B2665" s="2"/>
      <c r="C2665" s="46"/>
      <c r="D2665" s="46"/>
      <c r="E2665" s="46"/>
      <c r="F2665" s="2"/>
      <c r="G2665" s="46"/>
      <c r="H2665" s="2"/>
      <c r="I2665" s="2"/>
      <c r="J2665" s="2"/>
    </row>
    <row r="2666" spans="2:10" x14ac:dyDescent="0.2">
      <c r="B2666" s="2"/>
      <c r="C2666" s="46"/>
      <c r="D2666" s="46"/>
      <c r="E2666" s="46"/>
      <c r="F2666" s="2"/>
      <c r="G2666" s="46"/>
      <c r="H2666" s="2"/>
      <c r="I2666" s="2"/>
      <c r="J2666" s="2"/>
    </row>
    <row r="2667" spans="2:10" x14ac:dyDescent="0.2">
      <c r="B2667" s="2"/>
      <c r="C2667" s="46"/>
      <c r="D2667" s="46"/>
      <c r="E2667" s="46"/>
      <c r="F2667" s="2"/>
      <c r="G2667" s="46"/>
      <c r="H2667" s="2"/>
      <c r="I2667" s="2"/>
      <c r="J2667" s="2"/>
    </row>
    <row r="2668" spans="2:10" x14ac:dyDescent="0.2">
      <c r="B2668" s="2"/>
      <c r="C2668" s="46"/>
      <c r="D2668" s="46"/>
      <c r="E2668" s="46"/>
      <c r="F2668" s="6"/>
      <c r="G2668" s="46"/>
      <c r="H2668" s="2"/>
      <c r="I2668" s="2"/>
      <c r="J2668" s="2"/>
    </row>
    <row r="2669" spans="2:10" x14ac:dyDescent="0.2">
      <c r="B2669" s="2"/>
      <c r="C2669" s="46"/>
      <c r="D2669" s="46"/>
      <c r="E2669" s="46"/>
      <c r="F2669" s="2"/>
      <c r="G2669" s="46"/>
      <c r="H2669" s="2"/>
      <c r="I2669" s="2"/>
      <c r="J2669" s="2"/>
    </row>
    <row r="2670" spans="2:10" x14ac:dyDescent="0.2">
      <c r="B2670" s="2"/>
      <c r="C2670" s="46"/>
      <c r="D2670" s="46"/>
      <c r="E2670" s="46"/>
      <c r="F2670" s="2"/>
      <c r="G2670" s="46"/>
      <c r="H2670" s="2"/>
      <c r="I2670" s="2"/>
      <c r="J2670" s="2"/>
    </row>
    <row r="2671" spans="2:10" x14ac:dyDescent="0.2">
      <c r="B2671" s="2"/>
      <c r="C2671" s="46"/>
      <c r="D2671" s="46"/>
      <c r="E2671" s="46"/>
      <c r="F2671" s="2"/>
      <c r="G2671" s="46"/>
      <c r="H2671" s="2"/>
      <c r="I2671" s="2"/>
      <c r="J2671" s="2"/>
    </row>
    <row r="2672" spans="2:10" x14ac:dyDescent="0.2">
      <c r="B2672" s="2"/>
      <c r="C2672" s="46"/>
      <c r="D2672" s="46"/>
      <c r="E2672" s="46"/>
      <c r="F2672" s="2"/>
      <c r="G2672" s="46"/>
      <c r="H2672" s="2"/>
      <c r="I2672" s="2"/>
      <c r="J2672" s="2"/>
    </row>
    <row r="2673" spans="2:10" x14ac:dyDescent="0.2">
      <c r="B2673" s="2"/>
      <c r="C2673" s="46"/>
      <c r="D2673" s="46"/>
      <c r="E2673" s="46"/>
      <c r="F2673" s="2"/>
      <c r="G2673" s="46"/>
      <c r="H2673" s="2"/>
      <c r="I2673" s="2"/>
      <c r="J2673" s="2"/>
    </row>
    <row r="2674" spans="2:10" x14ac:dyDescent="0.2">
      <c r="B2674" s="2"/>
      <c r="C2674" s="46"/>
      <c r="D2674" s="46"/>
      <c r="E2674" s="46"/>
      <c r="F2674" s="2"/>
      <c r="G2674" s="46"/>
      <c r="H2674" s="2"/>
      <c r="I2674" s="2"/>
      <c r="J2674" s="2"/>
    </row>
    <row r="2675" spans="2:10" x14ac:dyDescent="0.2">
      <c r="B2675" s="2"/>
      <c r="C2675" s="46"/>
      <c r="D2675" s="46"/>
      <c r="E2675" s="46"/>
      <c r="F2675" s="2"/>
      <c r="G2675" s="46"/>
      <c r="H2675" s="2"/>
      <c r="I2675" s="2"/>
      <c r="J2675" s="2"/>
    </row>
    <row r="2676" spans="2:10" x14ac:dyDescent="0.2">
      <c r="B2676" s="2"/>
      <c r="C2676" s="46"/>
      <c r="D2676" s="46"/>
      <c r="E2676" s="46"/>
      <c r="F2676" s="2"/>
      <c r="G2676" s="46"/>
      <c r="H2676" s="2"/>
      <c r="I2676" s="2"/>
      <c r="J2676" s="2"/>
    </row>
    <row r="2677" spans="2:10" x14ac:dyDescent="0.2">
      <c r="B2677" s="2"/>
      <c r="C2677" s="46"/>
      <c r="D2677" s="46"/>
      <c r="E2677" s="46"/>
      <c r="F2677" s="2"/>
      <c r="G2677" s="46"/>
      <c r="H2677" s="2"/>
      <c r="I2677" s="2"/>
      <c r="J2677" s="2"/>
    </row>
    <row r="2678" spans="2:10" x14ac:dyDescent="0.2">
      <c r="B2678" s="2"/>
      <c r="C2678" s="46"/>
      <c r="D2678" s="46"/>
      <c r="E2678" s="46"/>
      <c r="F2678" s="2"/>
      <c r="G2678" s="46"/>
      <c r="H2678" s="2"/>
      <c r="I2678" s="2"/>
      <c r="J2678" s="2"/>
    </row>
    <row r="2679" spans="2:10" x14ac:dyDescent="0.2">
      <c r="B2679" s="2"/>
      <c r="C2679" s="46"/>
      <c r="D2679" s="46"/>
      <c r="E2679" s="46"/>
      <c r="F2679" s="6"/>
      <c r="G2679" s="46"/>
      <c r="H2679" s="2"/>
      <c r="I2679" s="2"/>
      <c r="J2679" s="2"/>
    </row>
    <row r="2680" spans="2:10" x14ac:dyDescent="0.2">
      <c r="B2680" s="2"/>
      <c r="C2680" s="46"/>
      <c r="D2680" s="46"/>
      <c r="E2680" s="46"/>
      <c r="F2680" s="2"/>
      <c r="G2680" s="46"/>
      <c r="H2680" s="2"/>
      <c r="I2680" s="2"/>
      <c r="J2680" s="2"/>
    </row>
    <row r="2681" spans="2:10" x14ac:dyDescent="0.2">
      <c r="B2681" s="2"/>
      <c r="C2681" s="46"/>
      <c r="D2681" s="46"/>
      <c r="E2681" s="46"/>
      <c r="F2681" s="2"/>
      <c r="G2681" s="46"/>
      <c r="H2681" s="2"/>
      <c r="I2681" s="2"/>
      <c r="J2681" s="2"/>
    </row>
    <row r="2682" spans="2:10" x14ac:dyDescent="0.2">
      <c r="B2682" s="2"/>
      <c r="C2682" s="46"/>
      <c r="D2682" s="46"/>
      <c r="E2682" s="46"/>
      <c r="F2682" s="6"/>
      <c r="G2682" s="46"/>
      <c r="H2682" s="2"/>
      <c r="I2682" s="2"/>
      <c r="J2682" s="2"/>
    </row>
    <row r="2683" spans="2:10" x14ac:dyDescent="0.2">
      <c r="B2683" s="2"/>
      <c r="C2683" s="46"/>
      <c r="D2683" s="46"/>
      <c r="E2683" s="46"/>
      <c r="F2683" s="2"/>
      <c r="G2683" s="46"/>
      <c r="H2683" s="2"/>
      <c r="I2683" s="2"/>
      <c r="J2683" s="2"/>
    </row>
    <row r="2684" spans="2:10" x14ac:dyDescent="0.2">
      <c r="B2684" s="2"/>
      <c r="C2684" s="46"/>
      <c r="D2684" s="46"/>
      <c r="E2684" s="46"/>
      <c r="F2684" s="6"/>
      <c r="G2684" s="46"/>
      <c r="H2684" s="2"/>
      <c r="I2684" s="2"/>
      <c r="J2684" s="2"/>
    </row>
    <row r="2685" spans="2:10" x14ac:dyDescent="0.2">
      <c r="B2685" s="2"/>
      <c r="C2685" s="46"/>
      <c r="D2685" s="46"/>
      <c r="E2685" s="46"/>
      <c r="F2685" s="2"/>
      <c r="G2685" s="46"/>
      <c r="H2685" s="2"/>
      <c r="I2685" s="2"/>
      <c r="J2685" s="2"/>
    </row>
    <row r="2686" spans="2:10" x14ac:dyDescent="0.2">
      <c r="B2686" s="2"/>
      <c r="C2686" s="46"/>
      <c r="D2686" s="46"/>
      <c r="E2686" s="46"/>
      <c r="F2686" s="6"/>
      <c r="G2686" s="46"/>
      <c r="H2686" s="2"/>
      <c r="I2686" s="2"/>
      <c r="J2686" s="2"/>
    </row>
    <row r="2687" spans="2:10" x14ac:dyDescent="0.2">
      <c r="B2687" s="2"/>
      <c r="C2687" s="46"/>
      <c r="D2687" s="46"/>
      <c r="E2687" s="46"/>
      <c r="F2687" s="2"/>
      <c r="G2687" s="46"/>
      <c r="H2687" s="2"/>
      <c r="I2687" s="2"/>
      <c r="J2687" s="2"/>
    </row>
    <row r="2688" spans="2:10" x14ac:dyDescent="0.2">
      <c r="B2688" s="2"/>
      <c r="C2688" s="46"/>
      <c r="D2688" s="46"/>
      <c r="E2688" s="46"/>
      <c r="F2688" s="2"/>
      <c r="G2688" s="46"/>
      <c r="H2688" s="2"/>
      <c r="I2688" s="2"/>
      <c r="J2688" s="2"/>
    </row>
    <row r="2689" spans="2:10" x14ac:dyDescent="0.2">
      <c r="B2689" s="2"/>
      <c r="C2689" s="46"/>
      <c r="D2689" s="46"/>
      <c r="E2689" s="46"/>
      <c r="F2689" s="2"/>
      <c r="G2689" s="46"/>
      <c r="H2689" s="2"/>
      <c r="I2689" s="2"/>
      <c r="J2689" s="2"/>
    </row>
    <row r="2690" spans="2:10" x14ac:dyDescent="0.2">
      <c r="B2690" s="2"/>
      <c r="C2690" s="46"/>
      <c r="D2690" s="46"/>
      <c r="E2690" s="46"/>
      <c r="F2690" s="2"/>
      <c r="G2690" s="46"/>
      <c r="H2690" s="2"/>
      <c r="I2690" s="2"/>
      <c r="J2690" s="2"/>
    </row>
    <row r="2691" spans="2:10" x14ac:dyDescent="0.2">
      <c r="B2691" s="2"/>
      <c r="C2691" s="46"/>
      <c r="D2691" s="46"/>
      <c r="E2691" s="46"/>
      <c r="F2691" s="2"/>
      <c r="G2691" s="46"/>
      <c r="H2691" s="2"/>
      <c r="I2691" s="2"/>
      <c r="J2691" s="2"/>
    </row>
    <row r="2692" spans="2:10" x14ac:dyDescent="0.2">
      <c r="B2692" s="2"/>
      <c r="C2692" s="46"/>
      <c r="D2692" s="46"/>
      <c r="E2692" s="46"/>
      <c r="F2692" s="2"/>
      <c r="G2692" s="46"/>
      <c r="H2692" s="2"/>
      <c r="I2692" s="2"/>
      <c r="J2692" s="2"/>
    </row>
    <row r="2693" spans="2:10" x14ac:dyDescent="0.2">
      <c r="B2693" s="2"/>
      <c r="C2693" s="46"/>
      <c r="D2693" s="46"/>
      <c r="E2693" s="46"/>
      <c r="F2693" s="2"/>
      <c r="G2693" s="46"/>
      <c r="H2693" s="2"/>
      <c r="I2693" s="2"/>
      <c r="J2693" s="2"/>
    </row>
    <row r="2694" spans="2:10" x14ac:dyDescent="0.2">
      <c r="B2694" s="2"/>
      <c r="C2694" s="46"/>
      <c r="D2694" s="46"/>
      <c r="E2694" s="46"/>
      <c r="F2694" s="2"/>
      <c r="G2694" s="46"/>
      <c r="H2694" s="2"/>
      <c r="I2694" s="2"/>
      <c r="J2694" s="2"/>
    </row>
    <row r="2695" spans="2:10" x14ac:dyDescent="0.2">
      <c r="B2695" s="2"/>
      <c r="C2695" s="46"/>
      <c r="D2695" s="46"/>
      <c r="E2695" s="46"/>
      <c r="F2695" s="2"/>
      <c r="G2695" s="46"/>
      <c r="H2695" s="2"/>
      <c r="I2695" s="2"/>
      <c r="J2695" s="2"/>
    </row>
    <row r="2696" spans="2:10" x14ac:dyDescent="0.2">
      <c r="B2696" s="2"/>
      <c r="C2696" s="46"/>
      <c r="D2696" s="46"/>
      <c r="E2696" s="46"/>
      <c r="F2696" s="2"/>
      <c r="G2696" s="46"/>
      <c r="H2696" s="2"/>
      <c r="I2696" s="2"/>
      <c r="J2696" s="2"/>
    </row>
    <row r="2697" spans="2:10" x14ac:dyDescent="0.2">
      <c r="B2697" s="2"/>
      <c r="C2697" s="46"/>
      <c r="D2697" s="46"/>
      <c r="E2697" s="46"/>
      <c r="F2697" s="2"/>
      <c r="G2697" s="46"/>
      <c r="H2697" s="2"/>
      <c r="I2697" s="2"/>
      <c r="J2697" s="2"/>
    </row>
    <row r="2698" spans="2:10" x14ac:dyDescent="0.2">
      <c r="B2698" s="2"/>
      <c r="C2698" s="46"/>
      <c r="D2698" s="46"/>
      <c r="E2698" s="46"/>
      <c r="F2698" s="2"/>
      <c r="G2698" s="46"/>
      <c r="H2698" s="2"/>
      <c r="I2698" s="2"/>
      <c r="J2698" s="2"/>
    </row>
    <row r="2699" spans="2:10" x14ac:dyDescent="0.2">
      <c r="B2699" s="2"/>
      <c r="C2699" s="46"/>
      <c r="D2699" s="46"/>
      <c r="E2699" s="46"/>
      <c r="F2699" s="2"/>
      <c r="G2699" s="46"/>
      <c r="H2699" s="2"/>
      <c r="I2699" s="2"/>
      <c r="J2699" s="2"/>
    </row>
    <row r="2700" spans="2:10" x14ac:dyDescent="0.2">
      <c r="B2700" s="2"/>
      <c r="C2700" s="46"/>
      <c r="D2700" s="46"/>
      <c r="E2700" s="46"/>
      <c r="F2700" s="2"/>
      <c r="G2700" s="46"/>
      <c r="H2700" s="2"/>
      <c r="I2700" s="2"/>
      <c r="J2700" s="2"/>
    </row>
    <row r="2701" spans="2:10" x14ac:dyDescent="0.2">
      <c r="B2701" s="2"/>
      <c r="C2701" s="46"/>
      <c r="D2701" s="46"/>
      <c r="E2701" s="46"/>
      <c r="F2701" s="6"/>
      <c r="G2701" s="46"/>
      <c r="H2701" s="2"/>
      <c r="I2701" s="2"/>
      <c r="J2701" s="2"/>
    </row>
    <row r="2702" spans="2:10" x14ac:dyDescent="0.2">
      <c r="B2702" s="2"/>
      <c r="C2702" s="46"/>
      <c r="D2702" s="46"/>
      <c r="E2702" s="46"/>
      <c r="F2702" s="6"/>
      <c r="G2702" s="46"/>
      <c r="H2702" s="2"/>
      <c r="I2702" s="2"/>
      <c r="J2702" s="2"/>
    </row>
    <row r="2703" spans="2:10" x14ac:dyDescent="0.2">
      <c r="B2703" s="2"/>
      <c r="C2703" s="46"/>
      <c r="D2703" s="46"/>
      <c r="E2703" s="46"/>
      <c r="F2703" s="2"/>
      <c r="G2703" s="46"/>
      <c r="H2703" s="2"/>
      <c r="I2703" s="2"/>
      <c r="J2703" s="2"/>
    </row>
    <row r="2704" spans="2:10" x14ac:dyDescent="0.2">
      <c r="B2704" s="2"/>
      <c r="C2704" s="46"/>
      <c r="D2704" s="46"/>
      <c r="E2704" s="46"/>
      <c r="F2704" s="2"/>
      <c r="G2704" s="46"/>
      <c r="H2704" s="2"/>
      <c r="I2704" s="2"/>
      <c r="J2704" s="2"/>
    </row>
    <row r="2705" spans="2:10" x14ac:dyDescent="0.2">
      <c r="B2705" s="2"/>
      <c r="C2705" s="46"/>
      <c r="D2705" s="46"/>
      <c r="E2705" s="46"/>
      <c r="F2705" s="2"/>
      <c r="G2705" s="46"/>
      <c r="H2705" s="2"/>
      <c r="I2705" s="2"/>
      <c r="J2705" s="2"/>
    </row>
    <row r="2706" spans="2:10" x14ac:dyDescent="0.2">
      <c r="B2706" s="2"/>
      <c r="C2706" s="46"/>
      <c r="D2706" s="46"/>
      <c r="E2706" s="46"/>
      <c r="F2706" s="2"/>
      <c r="G2706" s="46"/>
      <c r="H2706" s="2"/>
      <c r="I2706" s="2"/>
      <c r="J2706" s="2"/>
    </row>
    <row r="2707" spans="2:10" x14ac:dyDescent="0.2">
      <c r="B2707" s="2"/>
      <c r="C2707" s="46"/>
      <c r="D2707" s="46"/>
      <c r="E2707" s="46"/>
      <c r="F2707" s="6"/>
      <c r="G2707" s="46"/>
      <c r="H2707" s="2"/>
      <c r="I2707" s="2"/>
      <c r="J2707" s="2"/>
    </row>
    <row r="2708" spans="2:10" x14ac:dyDescent="0.2">
      <c r="B2708" s="2"/>
      <c r="C2708" s="46"/>
      <c r="D2708" s="46"/>
      <c r="E2708" s="46"/>
      <c r="F2708" s="2"/>
      <c r="G2708" s="46"/>
      <c r="H2708" s="2"/>
      <c r="I2708" s="2"/>
      <c r="J2708" s="2"/>
    </row>
    <row r="2709" spans="2:10" x14ac:dyDescent="0.2">
      <c r="B2709" s="2"/>
      <c r="C2709" s="46"/>
      <c r="D2709" s="46"/>
      <c r="E2709" s="46"/>
      <c r="F2709" s="6"/>
      <c r="G2709" s="46"/>
      <c r="H2709" s="2"/>
      <c r="I2709" s="2"/>
      <c r="J2709" s="2"/>
    </row>
    <row r="2710" spans="2:10" x14ac:dyDescent="0.2">
      <c r="B2710" s="2"/>
      <c r="C2710" s="46"/>
      <c r="D2710" s="46"/>
      <c r="E2710" s="46"/>
      <c r="F2710" s="6"/>
      <c r="G2710" s="46"/>
      <c r="H2710" s="2"/>
      <c r="I2710" s="2"/>
      <c r="J2710" s="2"/>
    </row>
    <row r="2711" spans="2:10" x14ac:dyDescent="0.2">
      <c r="B2711" s="2"/>
      <c r="C2711" s="46"/>
      <c r="D2711" s="46"/>
      <c r="E2711" s="46"/>
      <c r="F2711" s="6"/>
      <c r="G2711" s="46"/>
      <c r="H2711" s="2"/>
      <c r="I2711" s="2"/>
      <c r="J2711" s="2"/>
    </row>
    <row r="2712" spans="2:10" x14ac:dyDescent="0.2">
      <c r="B2712" s="2"/>
      <c r="C2712" s="46"/>
      <c r="D2712" s="46"/>
      <c r="E2712" s="46"/>
      <c r="F2712" s="6"/>
      <c r="G2712" s="46"/>
      <c r="H2712" s="2"/>
      <c r="I2712" s="2"/>
      <c r="J2712" s="2"/>
    </row>
    <row r="2713" spans="2:10" x14ac:dyDescent="0.2">
      <c r="B2713" s="2"/>
      <c r="C2713" s="46"/>
      <c r="D2713" s="46"/>
      <c r="E2713" s="46"/>
      <c r="F2713" s="6"/>
      <c r="G2713" s="46"/>
      <c r="H2713" s="2"/>
      <c r="I2713" s="2"/>
      <c r="J2713" s="2"/>
    </row>
    <row r="2714" spans="2:10" x14ac:dyDescent="0.2">
      <c r="B2714" s="2"/>
      <c r="C2714" s="46"/>
      <c r="D2714" s="46"/>
      <c r="E2714" s="46"/>
      <c r="F2714" s="6"/>
      <c r="G2714" s="46"/>
      <c r="H2714" s="2"/>
      <c r="I2714" s="2"/>
      <c r="J2714" s="2"/>
    </row>
    <row r="2715" spans="2:10" x14ac:dyDescent="0.2">
      <c r="B2715" s="2"/>
      <c r="C2715" s="46"/>
      <c r="D2715" s="46"/>
      <c r="E2715" s="46"/>
      <c r="F2715" s="2"/>
      <c r="G2715" s="46"/>
      <c r="H2715" s="2"/>
      <c r="I2715" s="2"/>
      <c r="J2715" s="2"/>
    </row>
    <row r="2716" spans="2:10" x14ac:dyDescent="0.2">
      <c r="B2716" s="2"/>
      <c r="C2716" s="46"/>
      <c r="D2716" s="46"/>
      <c r="E2716" s="46"/>
      <c r="F2716" s="6"/>
      <c r="G2716" s="46"/>
      <c r="H2716" s="2"/>
      <c r="I2716" s="2"/>
      <c r="J2716" s="2"/>
    </row>
    <row r="2717" spans="2:10" x14ac:dyDescent="0.2">
      <c r="B2717" s="2"/>
      <c r="C2717" s="46"/>
      <c r="D2717" s="46"/>
      <c r="E2717" s="46"/>
      <c r="F2717" s="2"/>
      <c r="G2717" s="46"/>
      <c r="H2717" s="2"/>
      <c r="I2717" s="2"/>
      <c r="J2717" s="2"/>
    </row>
    <row r="2718" spans="2:10" x14ac:dyDescent="0.2">
      <c r="B2718" s="2"/>
      <c r="C2718" s="46"/>
      <c r="D2718" s="46"/>
      <c r="E2718" s="46"/>
      <c r="F2718" s="2"/>
      <c r="G2718" s="46"/>
      <c r="H2718" s="2"/>
      <c r="I2718" s="2"/>
      <c r="J2718" s="2"/>
    </row>
    <row r="2719" spans="2:10" x14ac:dyDescent="0.2">
      <c r="B2719" s="2"/>
      <c r="C2719" s="46"/>
      <c r="D2719" s="46"/>
      <c r="E2719" s="46"/>
      <c r="F2719" s="2"/>
      <c r="G2719" s="46"/>
      <c r="H2719" s="2"/>
      <c r="I2719" s="2"/>
      <c r="J2719" s="2"/>
    </row>
    <row r="2720" spans="2:10" x14ac:dyDescent="0.2">
      <c r="B2720" s="2"/>
      <c r="C2720" s="46"/>
      <c r="D2720" s="46"/>
      <c r="E2720" s="46"/>
      <c r="F2720" s="6"/>
      <c r="G2720" s="46"/>
      <c r="H2720" s="2"/>
      <c r="I2720" s="2"/>
      <c r="J2720" s="2"/>
    </row>
    <row r="2721" spans="2:10" x14ac:dyDescent="0.2">
      <c r="B2721" s="2"/>
      <c r="C2721" s="46"/>
      <c r="D2721" s="46"/>
      <c r="E2721" s="46"/>
      <c r="F2721" s="6"/>
      <c r="G2721" s="46"/>
      <c r="H2721" s="2"/>
      <c r="I2721" s="2"/>
      <c r="J2721" s="2"/>
    </row>
    <row r="2722" spans="2:10" x14ac:dyDescent="0.2">
      <c r="B2722" s="2"/>
      <c r="C2722" s="46"/>
      <c r="D2722" s="46"/>
      <c r="E2722" s="46"/>
      <c r="F2722" s="6"/>
      <c r="G2722" s="46"/>
      <c r="H2722" s="2"/>
      <c r="I2722" s="2"/>
      <c r="J2722" s="2"/>
    </row>
    <row r="2723" spans="2:10" x14ac:dyDescent="0.2">
      <c r="B2723" s="2"/>
      <c r="C2723" s="46"/>
      <c r="D2723" s="46"/>
      <c r="E2723" s="46"/>
      <c r="F2723" s="2"/>
      <c r="G2723" s="46"/>
      <c r="H2723" s="2"/>
      <c r="I2723" s="2"/>
      <c r="J2723" s="2"/>
    </row>
    <row r="2724" spans="2:10" x14ac:dyDescent="0.2">
      <c r="B2724" s="2"/>
      <c r="C2724" s="46"/>
      <c r="D2724" s="46"/>
      <c r="E2724" s="46"/>
      <c r="F2724" s="6"/>
      <c r="G2724" s="46"/>
      <c r="H2724" s="2"/>
      <c r="I2724" s="2"/>
      <c r="J2724" s="2"/>
    </row>
    <row r="2725" spans="2:10" x14ac:dyDescent="0.2">
      <c r="B2725" s="2"/>
      <c r="C2725" s="46"/>
      <c r="D2725" s="46"/>
      <c r="E2725" s="46"/>
      <c r="F2725" s="6"/>
      <c r="G2725" s="46"/>
      <c r="H2725" s="2"/>
      <c r="I2725" s="2"/>
      <c r="J2725" s="2"/>
    </row>
    <row r="2726" spans="2:10" x14ac:dyDescent="0.2">
      <c r="B2726" s="2"/>
      <c r="C2726" s="46"/>
      <c r="D2726" s="46"/>
      <c r="E2726" s="46"/>
      <c r="F2726" s="2"/>
      <c r="G2726" s="46"/>
      <c r="H2726" s="2"/>
      <c r="I2726" s="2"/>
      <c r="J2726" s="2"/>
    </row>
    <row r="2727" spans="2:10" x14ac:dyDescent="0.2">
      <c r="B2727" s="2"/>
      <c r="C2727" s="46"/>
      <c r="D2727" s="46"/>
      <c r="E2727" s="46"/>
      <c r="F2727" s="6"/>
      <c r="G2727" s="46"/>
      <c r="H2727" s="2"/>
      <c r="I2727" s="2"/>
      <c r="J2727" s="2"/>
    </row>
    <row r="2728" spans="2:10" x14ac:dyDescent="0.2">
      <c r="B2728" s="2"/>
      <c r="C2728" s="46"/>
      <c r="D2728" s="46"/>
      <c r="E2728" s="46"/>
      <c r="F2728" s="6"/>
      <c r="G2728" s="46"/>
      <c r="H2728" s="2"/>
      <c r="I2728" s="2"/>
      <c r="J2728" s="2"/>
    </row>
    <row r="2729" spans="2:10" x14ac:dyDescent="0.2">
      <c r="B2729" s="2"/>
      <c r="C2729" s="46"/>
      <c r="D2729" s="46"/>
      <c r="E2729" s="46"/>
      <c r="F2729" s="6"/>
      <c r="G2729" s="46"/>
      <c r="H2729" s="2"/>
      <c r="I2729" s="2"/>
      <c r="J2729" s="2"/>
    </row>
    <row r="2730" spans="2:10" x14ac:dyDescent="0.2">
      <c r="B2730" s="2"/>
      <c r="C2730" s="46"/>
      <c r="D2730" s="46"/>
      <c r="E2730" s="46"/>
      <c r="F2730" s="2"/>
      <c r="G2730" s="46"/>
      <c r="H2730" s="2"/>
      <c r="I2730" s="2"/>
      <c r="J2730" s="2"/>
    </row>
    <row r="2731" spans="2:10" x14ac:dyDescent="0.2">
      <c r="B2731" s="2"/>
      <c r="C2731" s="46"/>
      <c r="D2731" s="46"/>
      <c r="E2731" s="46"/>
      <c r="F2731" s="2"/>
      <c r="G2731" s="46"/>
      <c r="H2731" s="2"/>
      <c r="I2731" s="2"/>
      <c r="J2731" s="2"/>
    </row>
    <row r="2732" spans="2:10" x14ac:dyDescent="0.2">
      <c r="B2732" s="2"/>
      <c r="C2732" s="46"/>
      <c r="D2732" s="46"/>
      <c r="E2732" s="46"/>
      <c r="F2732" s="2"/>
      <c r="G2732" s="46"/>
      <c r="H2732" s="2"/>
      <c r="I2732" s="2"/>
      <c r="J2732" s="2"/>
    </row>
    <row r="2733" spans="2:10" x14ac:dyDescent="0.2">
      <c r="B2733" s="2"/>
      <c r="C2733" s="46"/>
      <c r="D2733" s="46"/>
      <c r="E2733" s="46"/>
      <c r="F2733" s="2"/>
      <c r="G2733" s="46"/>
      <c r="H2733" s="2"/>
      <c r="I2733" s="2"/>
      <c r="J2733" s="2"/>
    </row>
    <row r="2734" spans="2:10" x14ac:dyDescent="0.2">
      <c r="B2734" s="2"/>
      <c r="C2734" s="46"/>
      <c r="D2734" s="46"/>
      <c r="E2734" s="46"/>
      <c r="F2734" s="2"/>
      <c r="G2734" s="46"/>
      <c r="H2734" s="2"/>
      <c r="I2734" s="2"/>
      <c r="J2734" s="2"/>
    </row>
    <row r="2735" spans="2:10" x14ac:dyDescent="0.2">
      <c r="B2735" s="2"/>
      <c r="C2735" s="46"/>
      <c r="D2735" s="46"/>
      <c r="E2735" s="46"/>
      <c r="F2735" s="2"/>
      <c r="G2735" s="46"/>
      <c r="H2735" s="2"/>
      <c r="I2735" s="2"/>
      <c r="J2735" s="2"/>
    </row>
    <row r="2736" spans="2:10" x14ac:dyDescent="0.2">
      <c r="B2736" s="2"/>
      <c r="C2736" s="46"/>
      <c r="D2736" s="46"/>
      <c r="E2736" s="46"/>
      <c r="F2736" s="6"/>
      <c r="G2736" s="46"/>
      <c r="H2736" s="2"/>
      <c r="I2736" s="2"/>
      <c r="J2736" s="2"/>
    </row>
    <row r="2737" spans="2:10" x14ac:dyDescent="0.2">
      <c r="B2737" s="2"/>
      <c r="C2737" s="46"/>
      <c r="D2737" s="46"/>
      <c r="E2737" s="46"/>
      <c r="F2737" s="6"/>
      <c r="G2737" s="46"/>
      <c r="H2737" s="2"/>
      <c r="I2737" s="2"/>
      <c r="J2737" s="2"/>
    </row>
    <row r="2738" spans="2:10" x14ac:dyDescent="0.2">
      <c r="B2738" s="2"/>
      <c r="C2738" s="46"/>
      <c r="D2738" s="46"/>
      <c r="E2738" s="46"/>
      <c r="F2738" s="2"/>
      <c r="G2738" s="46"/>
      <c r="H2738" s="2"/>
      <c r="I2738" s="2"/>
      <c r="J2738" s="2"/>
    </row>
    <row r="2739" spans="2:10" x14ac:dyDescent="0.2">
      <c r="B2739" s="2"/>
      <c r="C2739" s="46"/>
      <c r="D2739" s="46"/>
      <c r="E2739" s="46"/>
      <c r="F2739" s="6"/>
      <c r="G2739" s="46"/>
      <c r="H2739" s="2"/>
      <c r="I2739" s="2"/>
      <c r="J2739" s="2"/>
    </row>
    <row r="2740" spans="2:10" x14ac:dyDescent="0.2">
      <c r="B2740" s="2"/>
      <c r="C2740" s="46"/>
      <c r="D2740" s="46"/>
      <c r="E2740" s="46"/>
      <c r="F2740" s="2"/>
      <c r="G2740" s="46"/>
      <c r="H2740" s="2"/>
      <c r="I2740" s="2"/>
      <c r="J2740" s="2"/>
    </row>
    <row r="2741" spans="2:10" x14ac:dyDescent="0.2">
      <c r="B2741" s="2"/>
      <c r="C2741" s="46"/>
      <c r="D2741" s="46"/>
      <c r="E2741" s="46"/>
      <c r="F2741" s="6"/>
      <c r="G2741" s="46"/>
      <c r="H2741" s="2"/>
      <c r="I2741" s="2"/>
      <c r="J2741" s="2"/>
    </row>
    <row r="2742" spans="2:10" x14ac:dyDescent="0.2">
      <c r="B2742" s="2"/>
      <c r="C2742" s="46"/>
      <c r="D2742" s="46"/>
      <c r="E2742" s="46"/>
      <c r="F2742" s="2"/>
      <c r="G2742" s="46"/>
      <c r="H2742" s="2"/>
      <c r="I2742" s="2"/>
      <c r="J2742" s="2"/>
    </row>
    <row r="2743" spans="2:10" x14ac:dyDescent="0.2">
      <c r="B2743" s="2"/>
      <c r="C2743" s="46"/>
      <c r="D2743" s="46"/>
      <c r="E2743" s="46"/>
      <c r="F2743" s="6"/>
      <c r="G2743" s="46"/>
      <c r="H2743" s="2"/>
      <c r="I2743" s="2"/>
      <c r="J2743" s="2"/>
    </row>
    <row r="2744" spans="2:10" x14ac:dyDescent="0.2">
      <c r="B2744" s="2"/>
      <c r="C2744" s="46"/>
      <c r="D2744" s="46"/>
      <c r="E2744" s="46"/>
      <c r="F2744" s="2"/>
      <c r="G2744" s="46"/>
      <c r="H2744" s="2"/>
      <c r="I2744" s="2"/>
      <c r="J2744" s="2"/>
    </row>
    <row r="2745" spans="2:10" x14ac:dyDescent="0.2">
      <c r="B2745" s="2"/>
      <c r="C2745" s="46"/>
      <c r="D2745" s="46"/>
      <c r="E2745" s="46"/>
      <c r="F2745" s="2"/>
      <c r="G2745" s="46"/>
      <c r="H2745" s="2"/>
      <c r="I2745" s="2"/>
      <c r="J2745" s="2"/>
    </row>
    <row r="2746" spans="2:10" x14ac:dyDescent="0.2">
      <c r="B2746" s="2"/>
      <c r="C2746" s="46"/>
      <c r="D2746" s="46"/>
      <c r="E2746" s="46"/>
      <c r="F2746" s="2"/>
      <c r="G2746" s="46"/>
      <c r="H2746" s="2"/>
      <c r="I2746" s="2"/>
      <c r="J2746" s="2"/>
    </row>
    <row r="2747" spans="2:10" x14ac:dyDescent="0.2">
      <c r="B2747" s="2"/>
      <c r="C2747" s="46"/>
      <c r="D2747" s="46"/>
      <c r="E2747" s="46"/>
      <c r="F2747" s="2"/>
      <c r="G2747" s="46"/>
      <c r="H2747" s="2"/>
      <c r="I2747" s="2"/>
      <c r="J2747" s="2"/>
    </row>
    <row r="2748" spans="2:10" x14ac:dyDescent="0.2">
      <c r="B2748" s="2"/>
      <c r="C2748" s="46"/>
      <c r="D2748" s="46"/>
      <c r="E2748" s="46"/>
      <c r="F2748" s="2"/>
      <c r="G2748" s="46"/>
      <c r="H2748" s="2"/>
      <c r="I2748" s="2"/>
      <c r="J2748" s="2"/>
    </row>
    <row r="2749" spans="2:10" x14ac:dyDescent="0.2">
      <c r="B2749" s="2"/>
      <c r="C2749" s="46"/>
      <c r="D2749" s="46"/>
      <c r="E2749" s="46"/>
      <c r="F2749" s="2"/>
      <c r="G2749" s="46"/>
      <c r="H2749" s="2"/>
      <c r="I2749" s="2"/>
      <c r="J2749" s="2"/>
    </row>
    <row r="2750" spans="2:10" x14ac:dyDescent="0.2">
      <c r="B2750" s="2"/>
      <c r="C2750" s="46"/>
      <c r="D2750" s="46"/>
      <c r="E2750" s="46"/>
      <c r="F2750" s="6"/>
      <c r="G2750" s="46"/>
      <c r="H2750" s="2"/>
      <c r="I2750" s="2"/>
      <c r="J2750" s="2"/>
    </row>
    <row r="2751" spans="2:10" x14ac:dyDescent="0.2">
      <c r="B2751" s="2"/>
      <c r="C2751" s="46"/>
      <c r="D2751" s="46"/>
      <c r="E2751" s="46"/>
      <c r="F2751" s="2"/>
      <c r="G2751" s="46"/>
      <c r="H2751" s="2"/>
      <c r="I2751" s="2"/>
      <c r="J2751" s="2"/>
    </row>
    <row r="2752" spans="2:10" x14ac:dyDescent="0.2">
      <c r="B2752" s="2"/>
      <c r="C2752" s="46"/>
      <c r="D2752" s="46"/>
      <c r="E2752" s="46"/>
      <c r="F2752" s="6"/>
      <c r="G2752" s="46"/>
      <c r="H2752" s="2"/>
      <c r="I2752" s="2"/>
      <c r="J2752" s="2"/>
    </row>
    <row r="2753" spans="2:10" x14ac:dyDescent="0.2">
      <c r="B2753" s="2"/>
      <c r="C2753" s="46"/>
      <c r="D2753" s="46"/>
      <c r="E2753" s="46"/>
      <c r="F2753" s="2"/>
      <c r="G2753" s="46"/>
      <c r="H2753" s="2"/>
      <c r="I2753" s="2"/>
      <c r="J2753" s="2"/>
    </row>
    <row r="2754" spans="2:10" x14ac:dyDescent="0.2">
      <c r="B2754" s="2"/>
      <c r="C2754" s="46"/>
      <c r="D2754" s="46"/>
      <c r="E2754" s="46"/>
      <c r="F2754" s="6"/>
      <c r="G2754" s="46"/>
      <c r="H2754" s="2"/>
      <c r="I2754" s="2"/>
      <c r="J2754" s="2"/>
    </row>
    <row r="2755" spans="2:10" x14ac:dyDescent="0.2">
      <c r="B2755" s="2"/>
      <c r="C2755" s="46"/>
      <c r="D2755" s="46"/>
      <c r="E2755" s="46"/>
      <c r="F2755" s="6"/>
      <c r="G2755" s="46"/>
      <c r="H2755" s="2"/>
      <c r="I2755" s="2"/>
      <c r="J2755" s="2"/>
    </row>
    <row r="2756" spans="2:10" x14ac:dyDescent="0.2">
      <c r="B2756" s="2"/>
      <c r="C2756" s="46"/>
      <c r="D2756" s="46"/>
      <c r="E2756" s="46"/>
      <c r="F2756" s="2"/>
      <c r="G2756" s="46"/>
      <c r="H2756" s="2"/>
      <c r="I2756" s="2"/>
      <c r="J2756" s="2"/>
    </row>
    <row r="2757" spans="2:10" x14ac:dyDescent="0.2">
      <c r="B2757" s="2"/>
      <c r="C2757" s="46"/>
      <c r="D2757" s="46"/>
      <c r="E2757" s="46"/>
      <c r="F2757" s="2"/>
      <c r="G2757" s="46"/>
      <c r="H2757" s="2"/>
      <c r="I2757" s="2"/>
      <c r="J2757" s="2"/>
    </row>
    <row r="2758" spans="2:10" x14ac:dyDescent="0.2">
      <c r="B2758" s="2"/>
      <c r="C2758" s="46"/>
      <c r="D2758" s="46"/>
      <c r="E2758" s="46"/>
      <c r="F2758" s="2"/>
      <c r="G2758" s="46"/>
      <c r="H2758" s="2"/>
      <c r="I2758" s="2"/>
      <c r="J2758" s="2"/>
    </row>
    <row r="2759" spans="2:10" x14ac:dyDescent="0.2">
      <c r="B2759" s="2"/>
      <c r="C2759" s="46"/>
      <c r="D2759" s="46"/>
      <c r="E2759" s="46"/>
      <c r="F2759" s="2"/>
      <c r="G2759" s="46"/>
      <c r="H2759" s="2"/>
      <c r="I2759" s="2"/>
      <c r="J2759" s="2"/>
    </row>
    <row r="2760" spans="2:10" x14ac:dyDescent="0.2">
      <c r="B2760" s="2"/>
      <c r="C2760" s="46"/>
      <c r="D2760" s="46"/>
      <c r="E2760" s="46"/>
      <c r="F2760" s="6"/>
      <c r="G2760" s="46"/>
      <c r="H2760" s="2"/>
      <c r="I2760" s="2"/>
      <c r="J2760" s="2"/>
    </row>
    <row r="2761" spans="2:10" x14ac:dyDescent="0.2">
      <c r="B2761" s="2"/>
      <c r="C2761" s="46"/>
      <c r="D2761" s="46"/>
      <c r="E2761" s="46"/>
      <c r="F2761" s="2"/>
      <c r="G2761" s="46"/>
      <c r="H2761" s="2"/>
      <c r="I2761" s="2"/>
      <c r="J2761" s="2"/>
    </row>
    <row r="2762" spans="2:10" x14ac:dyDescent="0.2">
      <c r="B2762" s="2"/>
      <c r="C2762" s="46"/>
      <c r="D2762" s="46"/>
      <c r="E2762" s="46"/>
      <c r="F2762" s="6"/>
      <c r="G2762" s="46"/>
      <c r="H2762" s="2"/>
      <c r="I2762" s="2"/>
      <c r="J2762" s="2"/>
    </row>
    <row r="2763" spans="2:10" x14ac:dyDescent="0.2">
      <c r="B2763" s="2"/>
      <c r="C2763" s="46"/>
      <c r="D2763" s="46"/>
      <c r="E2763" s="46"/>
      <c r="F2763" s="6"/>
      <c r="G2763" s="46"/>
      <c r="H2763" s="2"/>
      <c r="I2763" s="2"/>
      <c r="J2763" s="2"/>
    </row>
    <row r="2764" spans="2:10" x14ac:dyDescent="0.2">
      <c r="B2764" s="2"/>
      <c r="C2764" s="46"/>
      <c r="D2764" s="46"/>
      <c r="E2764" s="46"/>
      <c r="F2764" s="6"/>
      <c r="G2764" s="46"/>
      <c r="H2764" s="2"/>
      <c r="I2764" s="2"/>
      <c r="J2764" s="2"/>
    </row>
    <row r="2765" spans="2:10" x14ac:dyDescent="0.2">
      <c r="B2765" s="2"/>
      <c r="C2765" s="46"/>
      <c r="D2765" s="46"/>
      <c r="E2765" s="46"/>
      <c r="F2765" s="6"/>
      <c r="G2765" s="46"/>
      <c r="H2765" s="2"/>
      <c r="I2765" s="2"/>
      <c r="J2765" s="2"/>
    </row>
    <row r="2766" spans="2:10" x14ac:dyDescent="0.2">
      <c r="B2766" s="2"/>
      <c r="C2766" s="46"/>
      <c r="D2766" s="46"/>
      <c r="E2766" s="46"/>
      <c r="F2766" s="6"/>
      <c r="G2766" s="46"/>
      <c r="H2766" s="2"/>
      <c r="I2766" s="2"/>
      <c r="J2766" s="2"/>
    </row>
    <row r="2767" spans="2:10" x14ac:dyDescent="0.2">
      <c r="B2767" s="2"/>
      <c r="C2767" s="46"/>
      <c r="D2767" s="46"/>
      <c r="E2767" s="46"/>
      <c r="F2767" s="6"/>
      <c r="G2767" s="46"/>
      <c r="H2767" s="2"/>
      <c r="I2767" s="2"/>
      <c r="J2767" s="2"/>
    </row>
    <row r="2768" spans="2:10" x14ac:dyDescent="0.2">
      <c r="B2768" s="2"/>
      <c r="C2768" s="46"/>
      <c r="D2768" s="46"/>
      <c r="E2768" s="46"/>
      <c r="F2768" s="2"/>
      <c r="G2768" s="46"/>
      <c r="H2768" s="2"/>
      <c r="I2768" s="2"/>
      <c r="J2768" s="2"/>
    </row>
    <row r="2769" spans="2:10" x14ac:dyDescent="0.2">
      <c r="B2769" s="2"/>
      <c r="C2769" s="46"/>
      <c r="D2769" s="46"/>
      <c r="E2769" s="46"/>
      <c r="F2769" s="6"/>
      <c r="G2769" s="46"/>
      <c r="H2769" s="2"/>
      <c r="I2769" s="2"/>
      <c r="J2769" s="2"/>
    </row>
    <row r="2770" spans="2:10" x14ac:dyDescent="0.2">
      <c r="B2770" s="2"/>
      <c r="C2770" s="46"/>
      <c r="D2770" s="46"/>
      <c r="E2770" s="46"/>
      <c r="F2770" s="2"/>
      <c r="G2770" s="46"/>
      <c r="H2770" s="2"/>
      <c r="I2770" s="2"/>
      <c r="J2770" s="2"/>
    </row>
    <row r="2771" spans="2:10" x14ac:dyDescent="0.2">
      <c r="B2771" s="2"/>
      <c r="C2771" s="46"/>
      <c r="D2771" s="46"/>
      <c r="E2771" s="46"/>
      <c r="F2771" s="2"/>
      <c r="G2771" s="46"/>
      <c r="H2771" s="2"/>
      <c r="I2771" s="2"/>
      <c r="J2771" s="2"/>
    </row>
    <row r="2772" spans="2:10" x14ac:dyDescent="0.2">
      <c r="B2772" s="2"/>
      <c r="C2772" s="46"/>
      <c r="D2772" s="46"/>
      <c r="E2772" s="46"/>
      <c r="F2772" s="2"/>
      <c r="G2772" s="46"/>
      <c r="H2772" s="2"/>
      <c r="I2772" s="2"/>
      <c r="J2772" s="2"/>
    </row>
    <row r="2773" spans="2:10" x14ac:dyDescent="0.2">
      <c r="B2773" s="2"/>
      <c r="C2773" s="46"/>
      <c r="D2773" s="46"/>
      <c r="E2773" s="46"/>
      <c r="F2773" s="6"/>
      <c r="G2773" s="46"/>
      <c r="H2773" s="2"/>
      <c r="I2773" s="2"/>
      <c r="J2773" s="2"/>
    </row>
    <row r="2774" spans="2:10" x14ac:dyDescent="0.2">
      <c r="B2774" s="2"/>
      <c r="C2774" s="46"/>
      <c r="D2774" s="46"/>
      <c r="E2774" s="46"/>
      <c r="F2774" s="6"/>
      <c r="G2774" s="46"/>
      <c r="H2774" s="2"/>
      <c r="I2774" s="2"/>
      <c r="J2774" s="2"/>
    </row>
    <row r="2775" spans="2:10" x14ac:dyDescent="0.2">
      <c r="B2775" s="2"/>
      <c r="C2775" s="46"/>
      <c r="D2775" s="46"/>
      <c r="E2775" s="46"/>
      <c r="F2775" s="6"/>
      <c r="G2775" s="46"/>
      <c r="H2775" s="2"/>
      <c r="I2775" s="2"/>
      <c r="J2775" s="2"/>
    </row>
    <row r="2776" spans="2:10" x14ac:dyDescent="0.2">
      <c r="B2776" s="2"/>
      <c r="C2776" s="46"/>
      <c r="D2776" s="46"/>
      <c r="E2776" s="46"/>
      <c r="F2776" s="6"/>
      <c r="G2776" s="46"/>
      <c r="H2776" s="2"/>
      <c r="I2776" s="2"/>
      <c r="J2776" s="2"/>
    </row>
    <row r="2777" spans="2:10" x14ac:dyDescent="0.2">
      <c r="B2777" s="2"/>
      <c r="C2777" s="46"/>
      <c r="D2777" s="46"/>
      <c r="E2777" s="46"/>
      <c r="F2777" s="2"/>
      <c r="G2777" s="46"/>
      <c r="H2777" s="2"/>
      <c r="I2777" s="2"/>
      <c r="J2777" s="2"/>
    </row>
    <row r="2778" spans="2:10" x14ac:dyDescent="0.2">
      <c r="B2778" s="2"/>
      <c r="C2778" s="46"/>
      <c r="D2778" s="46"/>
      <c r="E2778" s="46"/>
      <c r="F2778" s="6"/>
      <c r="G2778" s="46"/>
      <c r="H2778" s="2"/>
      <c r="I2778" s="2"/>
      <c r="J2778" s="2"/>
    </row>
    <row r="2779" spans="2:10" x14ac:dyDescent="0.2">
      <c r="B2779" s="2"/>
      <c r="C2779" s="46"/>
      <c r="D2779" s="46"/>
      <c r="E2779" s="46"/>
      <c r="F2779" s="6"/>
      <c r="G2779" s="46"/>
      <c r="H2779" s="2"/>
      <c r="I2779" s="2"/>
      <c r="J2779" s="2"/>
    </row>
    <row r="2780" spans="2:10" x14ac:dyDescent="0.2">
      <c r="B2780" s="2"/>
      <c r="C2780" s="46"/>
      <c r="D2780" s="46"/>
      <c r="E2780" s="46"/>
      <c r="F2780" s="2"/>
      <c r="G2780" s="46"/>
      <c r="H2780" s="2"/>
      <c r="I2780" s="2"/>
      <c r="J2780" s="2"/>
    </row>
    <row r="2781" spans="2:10" x14ac:dyDescent="0.2">
      <c r="B2781" s="2"/>
      <c r="C2781" s="46"/>
      <c r="D2781" s="46"/>
      <c r="E2781" s="46"/>
      <c r="F2781" s="6"/>
      <c r="G2781" s="46"/>
      <c r="H2781" s="2"/>
      <c r="I2781" s="2"/>
      <c r="J2781" s="2"/>
    </row>
    <row r="2782" spans="2:10" x14ac:dyDescent="0.2">
      <c r="B2782" s="2"/>
      <c r="C2782" s="46"/>
      <c r="D2782" s="46"/>
      <c r="E2782" s="46"/>
      <c r="F2782" s="6"/>
      <c r="G2782" s="46"/>
      <c r="H2782" s="2"/>
      <c r="I2782" s="2"/>
      <c r="J2782" s="2"/>
    </row>
    <row r="2783" spans="2:10" x14ac:dyDescent="0.2">
      <c r="B2783" s="2"/>
      <c r="C2783" s="46"/>
      <c r="D2783" s="46"/>
      <c r="E2783" s="46"/>
      <c r="F2783" s="6"/>
      <c r="G2783" s="46"/>
      <c r="H2783" s="2"/>
      <c r="I2783" s="2"/>
      <c r="J2783" s="2"/>
    </row>
    <row r="2784" spans="2:10" x14ac:dyDescent="0.2">
      <c r="B2784" s="2"/>
      <c r="C2784" s="46"/>
      <c r="D2784" s="46"/>
      <c r="E2784" s="46"/>
      <c r="F2784" s="2"/>
      <c r="G2784" s="46"/>
      <c r="H2784" s="2"/>
      <c r="I2784" s="2"/>
      <c r="J2784" s="2"/>
    </row>
    <row r="2785" spans="2:10" x14ac:dyDescent="0.2">
      <c r="B2785" s="2"/>
      <c r="C2785" s="46"/>
      <c r="D2785" s="46"/>
      <c r="E2785" s="46"/>
      <c r="F2785" s="2"/>
      <c r="G2785" s="46"/>
      <c r="H2785" s="2"/>
      <c r="I2785" s="2"/>
      <c r="J2785" s="2"/>
    </row>
    <row r="2786" spans="2:10" x14ac:dyDescent="0.2">
      <c r="B2786" s="2"/>
      <c r="C2786" s="46"/>
      <c r="D2786" s="46"/>
      <c r="E2786" s="46"/>
      <c r="F2786" s="2"/>
      <c r="G2786" s="46"/>
      <c r="H2786" s="2"/>
      <c r="I2786" s="2"/>
      <c r="J2786" s="2"/>
    </row>
    <row r="2787" spans="2:10" x14ac:dyDescent="0.2">
      <c r="B2787" s="2"/>
      <c r="C2787" s="46"/>
      <c r="D2787" s="46"/>
      <c r="E2787" s="46"/>
      <c r="F2787" s="2"/>
      <c r="G2787" s="46"/>
      <c r="H2787" s="2"/>
      <c r="I2787" s="2"/>
      <c r="J2787" s="2"/>
    </row>
    <row r="2788" spans="2:10" x14ac:dyDescent="0.2">
      <c r="B2788" s="2"/>
      <c r="C2788" s="46"/>
      <c r="D2788" s="46"/>
      <c r="E2788" s="46"/>
      <c r="F2788" s="2"/>
      <c r="G2788" s="46"/>
      <c r="H2788" s="2"/>
      <c r="I2788" s="2"/>
      <c r="J2788" s="2"/>
    </row>
    <row r="2789" spans="2:10" x14ac:dyDescent="0.2">
      <c r="B2789" s="2"/>
      <c r="C2789" s="46"/>
      <c r="D2789" s="46"/>
      <c r="E2789" s="46"/>
      <c r="F2789" s="2"/>
      <c r="G2789" s="46"/>
      <c r="H2789" s="2"/>
      <c r="I2789" s="2"/>
      <c r="J2789" s="2"/>
    </row>
    <row r="2790" spans="2:10" x14ac:dyDescent="0.2">
      <c r="B2790" s="2"/>
      <c r="C2790" s="46"/>
      <c r="D2790" s="46"/>
      <c r="E2790" s="46"/>
      <c r="F2790" s="6"/>
      <c r="G2790" s="46"/>
      <c r="H2790" s="2"/>
      <c r="I2790" s="2"/>
      <c r="J2790" s="2"/>
    </row>
    <row r="2791" spans="2:10" x14ac:dyDescent="0.2">
      <c r="B2791" s="2"/>
      <c r="C2791" s="46"/>
      <c r="D2791" s="46"/>
      <c r="E2791" s="46"/>
      <c r="F2791" s="6"/>
      <c r="G2791" s="46"/>
      <c r="H2791" s="2"/>
      <c r="I2791" s="2"/>
      <c r="J2791" s="2"/>
    </row>
    <row r="2792" spans="2:10" x14ac:dyDescent="0.2">
      <c r="B2792" s="2"/>
      <c r="C2792" s="46"/>
      <c r="D2792" s="46"/>
      <c r="E2792" s="46"/>
      <c r="F2792" s="2"/>
      <c r="G2792" s="46"/>
      <c r="H2792" s="2"/>
      <c r="I2792" s="2"/>
      <c r="J2792" s="2"/>
    </row>
    <row r="2793" spans="2:10" x14ac:dyDescent="0.2">
      <c r="B2793" s="2"/>
      <c r="C2793" s="46"/>
      <c r="D2793" s="46"/>
      <c r="E2793" s="46"/>
      <c r="F2793" s="6"/>
      <c r="G2793" s="46"/>
      <c r="H2793" s="2"/>
      <c r="I2793" s="2"/>
      <c r="J2793" s="2"/>
    </row>
    <row r="2794" spans="2:10" x14ac:dyDescent="0.2">
      <c r="B2794" s="2"/>
      <c r="C2794" s="46"/>
      <c r="D2794" s="46"/>
      <c r="E2794" s="46"/>
      <c r="F2794" s="2"/>
      <c r="G2794" s="46"/>
      <c r="H2794" s="2"/>
      <c r="I2794" s="2"/>
      <c r="J2794" s="2"/>
    </row>
    <row r="2795" spans="2:10" x14ac:dyDescent="0.2">
      <c r="B2795" s="2"/>
      <c r="C2795" s="46"/>
      <c r="D2795" s="46"/>
      <c r="E2795" s="46"/>
      <c r="F2795" s="6"/>
      <c r="G2795" s="46"/>
      <c r="H2795" s="2"/>
      <c r="I2795" s="2"/>
      <c r="J2795" s="2"/>
    </row>
    <row r="2796" spans="2:10" x14ac:dyDescent="0.2">
      <c r="B2796" s="2"/>
      <c r="C2796" s="46"/>
      <c r="D2796" s="46"/>
      <c r="E2796" s="46"/>
      <c r="F2796" s="2"/>
      <c r="G2796" s="46"/>
      <c r="H2796" s="2"/>
      <c r="I2796" s="2"/>
      <c r="J2796" s="2"/>
    </row>
    <row r="2797" spans="2:10" x14ac:dyDescent="0.2">
      <c r="B2797" s="2"/>
      <c r="C2797" s="46"/>
      <c r="D2797" s="46"/>
      <c r="E2797" s="46"/>
      <c r="F2797" s="6"/>
      <c r="G2797" s="46"/>
      <c r="H2797" s="2"/>
      <c r="I2797" s="2"/>
      <c r="J2797" s="2"/>
    </row>
    <row r="2798" spans="2:10" x14ac:dyDescent="0.2">
      <c r="B2798" s="2"/>
      <c r="C2798" s="46"/>
      <c r="D2798" s="46"/>
      <c r="E2798" s="46"/>
      <c r="F2798" s="2"/>
      <c r="G2798" s="46"/>
      <c r="H2798" s="2"/>
      <c r="I2798" s="2"/>
      <c r="J2798" s="2"/>
    </row>
    <row r="2799" spans="2:10" x14ac:dyDescent="0.2">
      <c r="B2799" s="2"/>
      <c r="C2799" s="46"/>
      <c r="D2799" s="46"/>
      <c r="E2799" s="46"/>
      <c r="F2799" s="2"/>
      <c r="G2799" s="46"/>
      <c r="H2799" s="2"/>
      <c r="I2799" s="2"/>
      <c r="J2799" s="2"/>
    </row>
    <row r="2800" spans="2:10" x14ac:dyDescent="0.2">
      <c r="B2800" s="2"/>
      <c r="C2800" s="46"/>
      <c r="D2800" s="46"/>
      <c r="E2800" s="46"/>
      <c r="F2800" s="2"/>
      <c r="G2800" s="46"/>
      <c r="H2800" s="2"/>
      <c r="I2800" s="2"/>
      <c r="J2800" s="2"/>
    </row>
    <row r="2801" spans="2:10" x14ac:dyDescent="0.2">
      <c r="B2801" s="2"/>
      <c r="C2801" s="46"/>
      <c r="D2801" s="46"/>
      <c r="E2801" s="46"/>
      <c r="F2801" s="2"/>
      <c r="G2801" s="46"/>
      <c r="H2801" s="2"/>
      <c r="I2801" s="2"/>
      <c r="J2801" s="2"/>
    </row>
    <row r="2802" spans="2:10" x14ac:dyDescent="0.2">
      <c r="B2802" s="2"/>
      <c r="C2802" s="46"/>
      <c r="D2802" s="46"/>
      <c r="E2802" s="46"/>
      <c r="F2802" s="2"/>
      <c r="G2802" s="46"/>
      <c r="H2802" s="2"/>
      <c r="I2802" s="2"/>
      <c r="J2802" s="2"/>
    </row>
    <row r="2803" spans="2:10" x14ac:dyDescent="0.2">
      <c r="B2803" s="2"/>
      <c r="C2803" s="46"/>
      <c r="D2803" s="46"/>
      <c r="E2803" s="46"/>
      <c r="F2803" s="2"/>
      <c r="G2803" s="46"/>
      <c r="H2803" s="2"/>
      <c r="I2803" s="2"/>
      <c r="J2803" s="2"/>
    </row>
    <row r="2804" spans="2:10" x14ac:dyDescent="0.2">
      <c r="B2804" s="2"/>
      <c r="C2804" s="46"/>
      <c r="D2804" s="46"/>
      <c r="E2804" s="46"/>
      <c r="F2804" s="6"/>
      <c r="G2804" s="46"/>
      <c r="H2804" s="2"/>
      <c r="I2804" s="2"/>
      <c r="J2804" s="2"/>
    </row>
    <row r="2805" spans="2:10" x14ac:dyDescent="0.2">
      <c r="B2805" s="2"/>
      <c r="C2805" s="46"/>
      <c r="D2805" s="46"/>
      <c r="E2805" s="46"/>
      <c r="F2805" s="2"/>
      <c r="G2805" s="46"/>
      <c r="H2805" s="2"/>
      <c r="I2805" s="2"/>
      <c r="J2805" s="2"/>
    </row>
    <row r="2806" spans="2:10" x14ac:dyDescent="0.2">
      <c r="B2806" s="2"/>
      <c r="C2806" s="46"/>
      <c r="D2806" s="46"/>
      <c r="E2806" s="46"/>
      <c r="F2806" s="6"/>
      <c r="G2806" s="46"/>
      <c r="H2806" s="2"/>
      <c r="I2806" s="2"/>
      <c r="J2806" s="2"/>
    </row>
    <row r="5001" spans="11:11" x14ac:dyDescent="0.2">
      <c r="K5001" s="1">
        <f t="shared" ref="K5001:K5064" si="5">H5001+AG5001</f>
        <v>0</v>
      </c>
    </row>
    <row r="5002" spans="11:11" x14ac:dyDescent="0.2">
      <c r="K5002" s="1">
        <f t="shared" si="5"/>
        <v>0</v>
      </c>
    </row>
    <row r="5003" spans="11:11" x14ac:dyDescent="0.2">
      <c r="K5003" s="1">
        <f t="shared" si="5"/>
        <v>0</v>
      </c>
    </row>
    <row r="5004" spans="11:11" x14ac:dyDescent="0.2">
      <c r="K5004" s="1">
        <f t="shared" si="5"/>
        <v>0</v>
      </c>
    </row>
    <row r="5005" spans="11:11" x14ac:dyDescent="0.2">
      <c r="K5005" s="1">
        <f t="shared" si="5"/>
        <v>0</v>
      </c>
    </row>
    <row r="5006" spans="11:11" x14ac:dyDescent="0.2">
      <c r="K5006" s="1">
        <f t="shared" si="5"/>
        <v>0</v>
      </c>
    </row>
    <row r="5007" spans="11:11" x14ac:dyDescent="0.2">
      <c r="K5007" s="1">
        <f t="shared" si="5"/>
        <v>0</v>
      </c>
    </row>
    <row r="5008" spans="11:11" x14ac:dyDescent="0.2">
      <c r="K5008" s="1">
        <f t="shared" si="5"/>
        <v>0</v>
      </c>
    </row>
    <row r="5009" spans="11:11" x14ac:dyDescent="0.2">
      <c r="K5009" s="1">
        <f t="shared" si="5"/>
        <v>0</v>
      </c>
    </row>
    <row r="5010" spans="11:11" x14ac:dyDescent="0.2">
      <c r="K5010" s="1">
        <f t="shared" si="5"/>
        <v>0</v>
      </c>
    </row>
    <row r="5011" spans="11:11" x14ac:dyDescent="0.2">
      <c r="K5011" s="1">
        <f t="shared" si="5"/>
        <v>0</v>
      </c>
    </row>
    <row r="5012" spans="11:11" x14ac:dyDescent="0.2">
      <c r="K5012" s="1">
        <f t="shared" si="5"/>
        <v>0</v>
      </c>
    </row>
    <row r="5013" spans="11:11" x14ac:dyDescent="0.2">
      <c r="K5013" s="1">
        <f t="shared" si="5"/>
        <v>0</v>
      </c>
    </row>
    <row r="5014" spans="11:11" x14ac:dyDescent="0.2">
      <c r="K5014" s="1">
        <f t="shared" si="5"/>
        <v>0</v>
      </c>
    </row>
    <row r="5015" spans="11:11" x14ac:dyDescent="0.2">
      <c r="K5015" s="1">
        <f t="shared" si="5"/>
        <v>0</v>
      </c>
    </row>
    <row r="5016" spans="11:11" x14ac:dyDescent="0.2">
      <c r="K5016" s="1">
        <f t="shared" si="5"/>
        <v>0</v>
      </c>
    </row>
    <row r="5017" spans="11:11" x14ac:dyDescent="0.2">
      <c r="K5017" s="1">
        <f t="shared" si="5"/>
        <v>0</v>
      </c>
    </row>
    <row r="5018" spans="11:11" x14ac:dyDescent="0.2">
      <c r="K5018" s="1">
        <f t="shared" si="5"/>
        <v>0</v>
      </c>
    </row>
    <row r="5019" spans="11:11" x14ac:dyDescent="0.2">
      <c r="K5019" s="1">
        <f t="shared" si="5"/>
        <v>0</v>
      </c>
    </row>
    <row r="5020" spans="11:11" x14ac:dyDescent="0.2">
      <c r="K5020" s="1">
        <f t="shared" si="5"/>
        <v>0</v>
      </c>
    </row>
    <row r="5021" spans="11:11" x14ac:dyDescent="0.2">
      <c r="K5021" s="1">
        <f t="shared" si="5"/>
        <v>0</v>
      </c>
    </row>
    <row r="5022" spans="11:11" x14ac:dyDescent="0.2">
      <c r="K5022" s="1">
        <f t="shared" si="5"/>
        <v>0</v>
      </c>
    </row>
    <row r="5023" spans="11:11" x14ac:dyDescent="0.2">
      <c r="K5023" s="1">
        <f t="shared" si="5"/>
        <v>0</v>
      </c>
    </row>
    <row r="5024" spans="11:11" x14ac:dyDescent="0.2">
      <c r="K5024" s="1">
        <f t="shared" si="5"/>
        <v>0</v>
      </c>
    </row>
    <row r="5025" spans="11:11" x14ac:dyDescent="0.2">
      <c r="K5025" s="1">
        <f t="shared" si="5"/>
        <v>0</v>
      </c>
    </row>
    <row r="5026" spans="11:11" x14ac:dyDescent="0.2">
      <c r="K5026" s="1">
        <f t="shared" si="5"/>
        <v>0</v>
      </c>
    </row>
    <row r="5027" spans="11:11" x14ac:dyDescent="0.2">
      <c r="K5027" s="1">
        <f t="shared" si="5"/>
        <v>0</v>
      </c>
    </row>
    <row r="5028" spans="11:11" x14ac:dyDescent="0.2">
      <c r="K5028" s="1">
        <f t="shared" si="5"/>
        <v>0</v>
      </c>
    </row>
    <row r="5029" spans="11:11" x14ac:dyDescent="0.2">
      <c r="K5029" s="1">
        <f t="shared" si="5"/>
        <v>0</v>
      </c>
    </row>
    <row r="5030" spans="11:11" x14ac:dyDescent="0.2">
      <c r="K5030" s="1">
        <f t="shared" si="5"/>
        <v>0</v>
      </c>
    </row>
    <row r="5031" spans="11:11" x14ac:dyDescent="0.2">
      <c r="K5031" s="1">
        <f t="shared" si="5"/>
        <v>0</v>
      </c>
    </row>
    <row r="5032" spans="11:11" x14ac:dyDescent="0.2">
      <c r="K5032" s="1">
        <f t="shared" si="5"/>
        <v>0</v>
      </c>
    </row>
    <row r="5033" spans="11:11" x14ac:dyDescent="0.2">
      <c r="K5033" s="1">
        <f t="shared" si="5"/>
        <v>0</v>
      </c>
    </row>
    <row r="5034" spans="11:11" x14ac:dyDescent="0.2">
      <c r="K5034" s="1">
        <f t="shared" si="5"/>
        <v>0</v>
      </c>
    </row>
    <row r="5035" spans="11:11" x14ac:dyDescent="0.2">
      <c r="K5035" s="1">
        <f t="shared" si="5"/>
        <v>0</v>
      </c>
    </row>
    <row r="5036" spans="11:11" x14ac:dyDescent="0.2">
      <c r="K5036" s="1">
        <f t="shared" si="5"/>
        <v>0</v>
      </c>
    </row>
    <row r="5037" spans="11:11" x14ac:dyDescent="0.2">
      <c r="K5037" s="1">
        <f t="shared" si="5"/>
        <v>0</v>
      </c>
    </row>
    <row r="5038" spans="11:11" x14ac:dyDescent="0.2">
      <c r="K5038" s="1">
        <f t="shared" si="5"/>
        <v>0</v>
      </c>
    </row>
    <row r="5039" spans="11:11" x14ac:dyDescent="0.2">
      <c r="K5039" s="1">
        <f t="shared" si="5"/>
        <v>0</v>
      </c>
    </row>
    <row r="5040" spans="11:11" x14ac:dyDescent="0.2">
      <c r="K5040" s="1">
        <f t="shared" si="5"/>
        <v>0</v>
      </c>
    </row>
    <row r="5041" spans="11:11" x14ac:dyDescent="0.2">
      <c r="K5041" s="1">
        <f t="shared" si="5"/>
        <v>0</v>
      </c>
    </row>
    <row r="5042" spans="11:11" x14ac:dyDescent="0.2">
      <c r="K5042" s="1">
        <f t="shared" si="5"/>
        <v>0</v>
      </c>
    </row>
    <row r="5043" spans="11:11" x14ac:dyDescent="0.2">
      <c r="K5043" s="1">
        <f t="shared" si="5"/>
        <v>0</v>
      </c>
    </row>
    <row r="5044" spans="11:11" x14ac:dyDescent="0.2">
      <c r="K5044" s="1">
        <f t="shared" si="5"/>
        <v>0</v>
      </c>
    </row>
    <row r="5045" spans="11:11" x14ac:dyDescent="0.2">
      <c r="K5045" s="1">
        <f t="shared" si="5"/>
        <v>0</v>
      </c>
    </row>
    <row r="5046" spans="11:11" x14ac:dyDescent="0.2">
      <c r="K5046" s="1">
        <f t="shared" si="5"/>
        <v>0</v>
      </c>
    </row>
    <row r="5047" spans="11:11" x14ac:dyDescent="0.2">
      <c r="K5047" s="1">
        <f t="shared" si="5"/>
        <v>0</v>
      </c>
    </row>
    <row r="5048" spans="11:11" x14ac:dyDescent="0.2">
      <c r="K5048" s="1">
        <f t="shared" si="5"/>
        <v>0</v>
      </c>
    </row>
    <row r="5049" spans="11:11" x14ac:dyDescent="0.2">
      <c r="K5049" s="1">
        <f t="shared" si="5"/>
        <v>0</v>
      </c>
    </row>
    <row r="5050" spans="11:11" x14ac:dyDescent="0.2">
      <c r="K5050" s="1">
        <f t="shared" si="5"/>
        <v>0</v>
      </c>
    </row>
    <row r="5051" spans="11:11" x14ac:dyDescent="0.2">
      <c r="K5051" s="1">
        <f t="shared" si="5"/>
        <v>0</v>
      </c>
    </row>
    <row r="5052" spans="11:11" x14ac:dyDescent="0.2">
      <c r="K5052" s="1">
        <f t="shared" si="5"/>
        <v>0</v>
      </c>
    </row>
    <row r="5053" spans="11:11" x14ac:dyDescent="0.2">
      <c r="K5053" s="1">
        <f t="shared" si="5"/>
        <v>0</v>
      </c>
    </row>
    <row r="5054" spans="11:11" x14ac:dyDescent="0.2">
      <c r="K5054" s="1">
        <f t="shared" si="5"/>
        <v>0</v>
      </c>
    </row>
    <row r="5055" spans="11:11" x14ac:dyDescent="0.2">
      <c r="K5055" s="1">
        <f t="shared" si="5"/>
        <v>0</v>
      </c>
    </row>
    <row r="5056" spans="11:11" x14ac:dyDescent="0.2">
      <c r="K5056" s="1">
        <f t="shared" si="5"/>
        <v>0</v>
      </c>
    </row>
    <row r="5057" spans="11:11" x14ac:dyDescent="0.2">
      <c r="K5057" s="1">
        <f t="shared" si="5"/>
        <v>0</v>
      </c>
    </row>
    <row r="5058" spans="11:11" x14ac:dyDescent="0.2">
      <c r="K5058" s="1">
        <f t="shared" si="5"/>
        <v>0</v>
      </c>
    </row>
    <row r="5059" spans="11:11" x14ac:dyDescent="0.2">
      <c r="K5059" s="1">
        <f t="shared" si="5"/>
        <v>0</v>
      </c>
    </row>
    <row r="5060" spans="11:11" x14ac:dyDescent="0.2">
      <c r="K5060" s="1">
        <f t="shared" si="5"/>
        <v>0</v>
      </c>
    </row>
    <row r="5061" spans="11:11" x14ac:dyDescent="0.2">
      <c r="K5061" s="1">
        <f t="shared" si="5"/>
        <v>0</v>
      </c>
    </row>
    <row r="5062" spans="11:11" x14ac:dyDescent="0.2">
      <c r="K5062" s="1">
        <f t="shared" si="5"/>
        <v>0</v>
      </c>
    </row>
    <row r="5063" spans="11:11" x14ac:dyDescent="0.2">
      <c r="K5063" s="1">
        <f t="shared" si="5"/>
        <v>0</v>
      </c>
    </row>
    <row r="5064" spans="11:11" x14ac:dyDescent="0.2">
      <c r="K5064" s="1">
        <f t="shared" si="5"/>
        <v>0</v>
      </c>
    </row>
    <row r="5065" spans="11:11" x14ac:dyDescent="0.2">
      <c r="K5065" s="1">
        <f t="shared" ref="K5065:K5128" si="6">H5065+AG5065</f>
        <v>0</v>
      </c>
    </row>
    <row r="5066" spans="11:11" x14ac:dyDescent="0.2">
      <c r="K5066" s="1">
        <f t="shared" si="6"/>
        <v>0</v>
      </c>
    </row>
    <row r="5067" spans="11:11" x14ac:dyDescent="0.2">
      <c r="K5067" s="1">
        <f t="shared" si="6"/>
        <v>0</v>
      </c>
    </row>
    <row r="5068" spans="11:11" x14ac:dyDescent="0.2">
      <c r="K5068" s="1">
        <f t="shared" si="6"/>
        <v>0</v>
      </c>
    </row>
    <row r="5069" spans="11:11" x14ac:dyDescent="0.2">
      <c r="K5069" s="1">
        <f t="shared" si="6"/>
        <v>0</v>
      </c>
    </row>
    <row r="5070" spans="11:11" x14ac:dyDescent="0.2">
      <c r="K5070" s="1">
        <f t="shared" si="6"/>
        <v>0</v>
      </c>
    </row>
    <row r="5071" spans="11:11" x14ac:dyDescent="0.2">
      <c r="K5071" s="1">
        <f t="shared" si="6"/>
        <v>0</v>
      </c>
    </row>
    <row r="5072" spans="11:11" x14ac:dyDescent="0.2">
      <c r="K5072" s="1">
        <f t="shared" si="6"/>
        <v>0</v>
      </c>
    </row>
    <row r="5073" spans="11:11" x14ac:dyDescent="0.2">
      <c r="K5073" s="1">
        <f t="shared" si="6"/>
        <v>0</v>
      </c>
    </row>
    <row r="5074" spans="11:11" x14ac:dyDescent="0.2">
      <c r="K5074" s="1">
        <f t="shared" si="6"/>
        <v>0</v>
      </c>
    </row>
    <row r="5075" spans="11:11" x14ac:dyDescent="0.2">
      <c r="K5075" s="1">
        <f t="shared" si="6"/>
        <v>0</v>
      </c>
    </row>
    <row r="5076" spans="11:11" x14ac:dyDescent="0.2">
      <c r="K5076" s="1">
        <f t="shared" si="6"/>
        <v>0</v>
      </c>
    </row>
    <row r="5077" spans="11:11" x14ac:dyDescent="0.2">
      <c r="K5077" s="1">
        <f t="shared" si="6"/>
        <v>0</v>
      </c>
    </row>
    <row r="5078" spans="11:11" x14ac:dyDescent="0.2">
      <c r="K5078" s="1">
        <f t="shared" si="6"/>
        <v>0</v>
      </c>
    </row>
    <row r="5079" spans="11:11" x14ac:dyDescent="0.2">
      <c r="K5079" s="1">
        <f t="shared" si="6"/>
        <v>0</v>
      </c>
    </row>
    <row r="5080" spans="11:11" x14ac:dyDescent="0.2">
      <c r="K5080" s="1">
        <f t="shared" si="6"/>
        <v>0</v>
      </c>
    </row>
    <row r="5081" spans="11:11" x14ac:dyDescent="0.2">
      <c r="K5081" s="1">
        <f t="shared" si="6"/>
        <v>0</v>
      </c>
    </row>
    <row r="5082" spans="11:11" x14ac:dyDescent="0.2">
      <c r="K5082" s="1">
        <f t="shared" si="6"/>
        <v>0</v>
      </c>
    </row>
    <row r="5083" spans="11:11" x14ac:dyDescent="0.2">
      <c r="K5083" s="1">
        <f t="shared" si="6"/>
        <v>0</v>
      </c>
    </row>
    <row r="5084" spans="11:11" x14ac:dyDescent="0.2">
      <c r="K5084" s="1">
        <f t="shared" si="6"/>
        <v>0</v>
      </c>
    </row>
    <row r="5085" spans="11:11" x14ac:dyDescent="0.2">
      <c r="K5085" s="1">
        <f t="shared" si="6"/>
        <v>0</v>
      </c>
    </row>
    <row r="5086" spans="11:11" x14ac:dyDescent="0.2">
      <c r="K5086" s="1">
        <f t="shared" si="6"/>
        <v>0</v>
      </c>
    </row>
    <row r="5087" spans="11:11" x14ac:dyDescent="0.2">
      <c r="K5087" s="1">
        <f t="shared" si="6"/>
        <v>0</v>
      </c>
    </row>
    <row r="5088" spans="11:11" x14ac:dyDescent="0.2">
      <c r="K5088" s="1">
        <f t="shared" si="6"/>
        <v>0</v>
      </c>
    </row>
    <row r="5089" spans="11:11" x14ac:dyDescent="0.2">
      <c r="K5089" s="1">
        <f t="shared" si="6"/>
        <v>0</v>
      </c>
    </row>
    <row r="5090" spans="11:11" x14ac:dyDescent="0.2">
      <c r="K5090" s="1">
        <f t="shared" si="6"/>
        <v>0</v>
      </c>
    </row>
    <row r="5091" spans="11:11" x14ac:dyDescent="0.2">
      <c r="K5091" s="1">
        <f t="shared" si="6"/>
        <v>0</v>
      </c>
    </row>
    <row r="5092" spans="11:11" x14ac:dyDescent="0.2">
      <c r="K5092" s="1">
        <f t="shared" si="6"/>
        <v>0</v>
      </c>
    </row>
    <row r="5093" spans="11:11" x14ac:dyDescent="0.2">
      <c r="K5093" s="1">
        <f t="shared" si="6"/>
        <v>0</v>
      </c>
    </row>
    <row r="5094" spans="11:11" x14ac:dyDescent="0.2">
      <c r="K5094" s="1">
        <f t="shared" si="6"/>
        <v>0</v>
      </c>
    </row>
    <row r="5095" spans="11:11" x14ac:dyDescent="0.2">
      <c r="K5095" s="1">
        <f t="shared" si="6"/>
        <v>0</v>
      </c>
    </row>
    <row r="5096" spans="11:11" x14ac:dyDescent="0.2">
      <c r="K5096" s="1">
        <f t="shared" si="6"/>
        <v>0</v>
      </c>
    </row>
    <row r="5097" spans="11:11" x14ac:dyDescent="0.2">
      <c r="K5097" s="1">
        <f t="shared" si="6"/>
        <v>0</v>
      </c>
    </row>
    <row r="5098" spans="11:11" x14ac:dyDescent="0.2">
      <c r="K5098" s="1">
        <f t="shared" si="6"/>
        <v>0</v>
      </c>
    </row>
    <row r="5099" spans="11:11" x14ac:dyDescent="0.2">
      <c r="K5099" s="1">
        <f t="shared" si="6"/>
        <v>0</v>
      </c>
    </row>
    <row r="5100" spans="11:11" x14ac:dyDescent="0.2">
      <c r="K5100" s="1">
        <f t="shared" si="6"/>
        <v>0</v>
      </c>
    </row>
    <row r="5101" spans="11:11" x14ac:dyDescent="0.2">
      <c r="K5101" s="1">
        <f t="shared" si="6"/>
        <v>0</v>
      </c>
    </row>
    <row r="5102" spans="11:11" x14ac:dyDescent="0.2">
      <c r="K5102" s="1">
        <f t="shared" si="6"/>
        <v>0</v>
      </c>
    </row>
    <row r="5103" spans="11:11" x14ac:dyDescent="0.2">
      <c r="K5103" s="1">
        <f t="shared" si="6"/>
        <v>0</v>
      </c>
    </row>
    <row r="5104" spans="11:11" x14ac:dyDescent="0.2">
      <c r="K5104" s="1">
        <f t="shared" si="6"/>
        <v>0</v>
      </c>
    </row>
    <row r="5105" spans="11:11" x14ac:dyDescent="0.2">
      <c r="K5105" s="1">
        <f t="shared" si="6"/>
        <v>0</v>
      </c>
    </row>
    <row r="5106" spans="11:11" x14ac:dyDescent="0.2">
      <c r="K5106" s="1">
        <f t="shared" si="6"/>
        <v>0</v>
      </c>
    </row>
    <row r="5107" spans="11:11" x14ac:dyDescent="0.2">
      <c r="K5107" s="1">
        <f t="shared" si="6"/>
        <v>0</v>
      </c>
    </row>
    <row r="5108" spans="11:11" x14ac:dyDescent="0.2">
      <c r="K5108" s="1">
        <f t="shared" si="6"/>
        <v>0</v>
      </c>
    </row>
    <row r="5109" spans="11:11" x14ac:dyDescent="0.2">
      <c r="K5109" s="1">
        <f t="shared" si="6"/>
        <v>0</v>
      </c>
    </row>
    <row r="5110" spans="11:11" x14ac:dyDescent="0.2">
      <c r="K5110" s="1">
        <f t="shared" si="6"/>
        <v>0</v>
      </c>
    </row>
    <row r="5111" spans="11:11" x14ac:dyDescent="0.2">
      <c r="K5111" s="1">
        <f t="shared" si="6"/>
        <v>0</v>
      </c>
    </row>
    <row r="5112" spans="11:11" x14ac:dyDescent="0.2">
      <c r="K5112" s="1">
        <f t="shared" si="6"/>
        <v>0</v>
      </c>
    </row>
    <row r="5113" spans="11:11" x14ac:dyDescent="0.2">
      <c r="K5113" s="1">
        <f t="shared" si="6"/>
        <v>0</v>
      </c>
    </row>
    <row r="5114" spans="11:11" x14ac:dyDescent="0.2">
      <c r="K5114" s="1">
        <f t="shared" si="6"/>
        <v>0</v>
      </c>
    </row>
    <row r="5115" spans="11:11" x14ac:dyDescent="0.2">
      <c r="K5115" s="1">
        <f t="shared" si="6"/>
        <v>0</v>
      </c>
    </row>
    <row r="5116" spans="11:11" x14ac:dyDescent="0.2">
      <c r="K5116" s="1">
        <f t="shared" si="6"/>
        <v>0</v>
      </c>
    </row>
    <row r="5117" spans="11:11" x14ac:dyDescent="0.2">
      <c r="K5117" s="1">
        <f t="shared" si="6"/>
        <v>0</v>
      </c>
    </row>
    <row r="5118" spans="11:11" x14ac:dyDescent="0.2">
      <c r="K5118" s="1">
        <f t="shared" si="6"/>
        <v>0</v>
      </c>
    </row>
    <row r="5119" spans="11:11" x14ac:dyDescent="0.2">
      <c r="K5119" s="1">
        <f t="shared" si="6"/>
        <v>0</v>
      </c>
    </row>
    <row r="5120" spans="11:11" x14ac:dyDescent="0.2">
      <c r="K5120" s="1">
        <f t="shared" si="6"/>
        <v>0</v>
      </c>
    </row>
    <row r="5121" spans="11:11" x14ac:dyDescent="0.2">
      <c r="K5121" s="1">
        <f t="shared" si="6"/>
        <v>0</v>
      </c>
    </row>
    <row r="5122" spans="11:11" x14ac:dyDescent="0.2">
      <c r="K5122" s="1">
        <f t="shared" si="6"/>
        <v>0</v>
      </c>
    </row>
    <row r="5123" spans="11:11" x14ac:dyDescent="0.2">
      <c r="K5123" s="1">
        <f t="shared" si="6"/>
        <v>0</v>
      </c>
    </row>
    <row r="5124" spans="11:11" x14ac:dyDescent="0.2">
      <c r="K5124" s="1">
        <f t="shared" si="6"/>
        <v>0</v>
      </c>
    </row>
    <row r="5125" spans="11:11" x14ac:dyDescent="0.2">
      <c r="K5125" s="1">
        <f t="shared" si="6"/>
        <v>0</v>
      </c>
    </row>
    <row r="5126" spans="11:11" x14ac:dyDescent="0.2">
      <c r="K5126" s="1">
        <f t="shared" si="6"/>
        <v>0</v>
      </c>
    </row>
    <row r="5127" spans="11:11" x14ac:dyDescent="0.2">
      <c r="K5127" s="1">
        <f t="shared" si="6"/>
        <v>0</v>
      </c>
    </row>
    <row r="5128" spans="11:11" x14ac:dyDescent="0.2">
      <c r="K5128" s="1">
        <f t="shared" si="6"/>
        <v>0</v>
      </c>
    </row>
    <row r="5129" spans="11:11" x14ac:dyDescent="0.2">
      <c r="K5129" s="1">
        <f t="shared" ref="K5129:K5192" si="7">H5129+AG5129</f>
        <v>0</v>
      </c>
    </row>
    <row r="5130" spans="11:11" x14ac:dyDescent="0.2">
      <c r="K5130" s="1">
        <f t="shared" si="7"/>
        <v>0</v>
      </c>
    </row>
    <row r="5131" spans="11:11" x14ac:dyDescent="0.2">
      <c r="K5131" s="1">
        <f t="shared" si="7"/>
        <v>0</v>
      </c>
    </row>
    <row r="5132" spans="11:11" x14ac:dyDescent="0.2">
      <c r="K5132" s="1">
        <f t="shared" si="7"/>
        <v>0</v>
      </c>
    </row>
    <row r="5133" spans="11:11" x14ac:dyDescent="0.2">
      <c r="K5133" s="1">
        <f t="shared" si="7"/>
        <v>0</v>
      </c>
    </row>
    <row r="5134" spans="11:11" x14ac:dyDescent="0.2">
      <c r="K5134" s="1">
        <f t="shared" si="7"/>
        <v>0</v>
      </c>
    </row>
    <row r="5135" spans="11:11" x14ac:dyDescent="0.2">
      <c r="K5135" s="1">
        <f t="shared" si="7"/>
        <v>0</v>
      </c>
    </row>
    <row r="5136" spans="11:11" x14ac:dyDescent="0.2">
      <c r="K5136" s="1">
        <f t="shared" si="7"/>
        <v>0</v>
      </c>
    </row>
    <row r="5137" spans="11:11" x14ac:dyDescent="0.2">
      <c r="K5137" s="1">
        <f t="shared" si="7"/>
        <v>0</v>
      </c>
    </row>
    <row r="5138" spans="11:11" x14ac:dyDescent="0.2">
      <c r="K5138" s="1">
        <f t="shared" si="7"/>
        <v>0</v>
      </c>
    </row>
    <row r="5139" spans="11:11" x14ac:dyDescent="0.2">
      <c r="K5139" s="1">
        <f t="shared" si="7"/>
        <v>0</v>
      </c>
    </row>
    <row r="5140" spans="11:11" x14ac:dyDescent="0.2">
      <c r="K5140" s="1">
        <f t="shared" si="7"/>
        <v>0</v>
      </c>
    </row>
    <row r="5141" spans="11:11" x14ac:dyDescent="0.2">
      <c r="K5141" s="1">
        <f t="shared" si="7"/>
        <v>0</v>
      </c>
    </row>
    <row r="5142" spans="11:11" x14ac:dyDescent="0.2">
      <c r="K5142" s="1">
        <f t="shared" si="7"/>
        <v>0</v>
      </c>
    </row>
    <row r="5143" spans="11:11" x14ac:dyDescent="0.2">
      <c r="K5143" s="1">
        <f t="shared" si="7"/>
        <v>0</v>
      </c>
    </row>
    <row r="5144" spans="11:11" x14ac:dyDescent="0.2">
      <c r="K5144" s="1">
        <f t="shared" si="7"/>
        <v>0</v>
      </c>
    </row>
    <row r="5145" spans="11:11" x14ac:dyDescent="0.2">
      <c r="K5145" s="1">
        <f t="shared" si="7"/>
        <v>0</v>
      </c>
    </row>
    <row r="5146" spans="11:11" x14ac:dyDescent="0.2">
      <c r="K5146" s="1">
        <f t="shared" si="7"/>
        <v>0</v>
      </c>
    </row>
    <row r="5147" spans="11:11" x14ac:dyDescent="0.2">
      <c r="K5147" s="1">
        <f t="shared" si="7"/>
        <v>0</v>
      </c>
    </row>
    <row r="5148" spans="11:11" x14ac:dyDescent="0.2">
      <c r="K5148" s="1">
        <f t="shared" si="7"/>
        <v>0</v>
      </c>
    </row>
    <row r="5149" spans="11:11" x14ac:dyDescent="0.2">
      <c r="K5149" s="1">
        <f t="shared" si="7"/>
        <v>0</v>
      </c>
    </row>
    <row r="5150" spans="11:11" x14ac:dyDescent="0.2">
      <c r="K5150" s="1">
        <f t="shared" si="7"/>
        <v>0</v>
      </c>
    </row>
    <row r="5151" spans="11:11" x14ac:dyDescent="0.2">
      <c r="K5151" s="1">
        <f t="shared" si="7"/>
        <v>0</v>
      </c>
    </row>
    <row r="5152" spans="11:11" x14ac:dyDescent="0.2">
      <c r="K5152" s="1">
        <f t="shared" si="7"/>
        <v>0</v>
      </c>
    </row>
    <row r="5153" spans="11:11" x14ac:dyDescent="0.2">
      <c r="K5153" s="1">
        <f t="shared" si="7"/>
        <v>0</v>
      </c>
    </row>
    <row r="5154" spans="11:11" x14ac:dyDescent="0.2">
      <c r="K5154" s="1">
        <f t="shared" si="7"/>
        <v>0</v>
      </c>
    </row>
    <row r="5155" spans="11:11" x14ac:dyDescent="0.2">
      <c r="K5155" s="1">
        <f t="shared" si="7"/>
        <v>0</v>
      </c>
    </row>
    <row r="5156" spans="11:11" x14ac:dyDescent="0.2">
      <c r="K5156" s="1">
        <f t="shared" si="7"/>
        <v>0</v>
      </c>
    </row>
    <row r="5157" spans="11:11" x14ac:dyDescent="0.2">
      <c r="K5157" s="1">
        <f t="shared" si="7"/>
        <v>0</v>
      </c>
    </row>
    <row r="5158" spans="11:11" x14ac:dyDescent="0.2">
      <c r="K5158" s="1">
        <f t="shared" si="7"/>
        <v>0</v>
      </c>
    </row>
    <row r="5159" spans="11:11" x14ac:dyDescent="0.2">
      <c r="K5159" s="1">
        <f t="shared" si="7"/>
        <v>0</v>
      </c>
    </row>
    <row r="5160" spans="11:11" x14ac:dyDescent="0.2">
      <c r="K5160" s="1">
        <f t="shared" si="7"/>
        <v>0</v>
      </c>
    </row>
    <row r="5161" spans="11:11" x14ac:dyDescent="0.2">
      <c r="K5161" s="1">
        <f t="shared" si="7"/>
        <v>0</v>
      </c>
    </row>
    <row r="5162" spans="11:11" x14ac:dyDescent="0.2">
      <c r="K5162" s="1">
        <f t="shared" si="7"/>
        <v>0</v>
      </c>
    </row>
    <row r="5163" spans="11:11" x14ac:dyDescent="0.2">
      <c r="K5163" s="1">
        <f t="shared" si="7"/>
        <v>0</v>
      </c>
    </row>
    <row r="5164" spans="11:11" x14ac:dyDescent="0.2">
      <c r="K5164" s="1">
        <f t="shared" si="7"/>
        <v>0</v>
      </c>
    </row>
    <row r="5165" spans="11:11" x14ac:dyDescent="0.2">
      <c r="K5165" s="1">
        <f t="shared" si="7"/>
        <v>0</v>
      </c>
    </row>
    <row r="5166" spans="11:11" x14ac:dyDescent="0.2">
      <c r="K5166" s="1">
        <f t="shared" si="7"/>
        <v>0</v>
      </c>
    </row>
    <row r="5167" spans="11:11" x14ac:dyDescent="0.2">
      <c r="K5167" s="1">
        <f t="shared" si="7"/>
        <v>0</v>
      </c>
    </row>
    <row r="5168" spans="11:11" x14ac:dyDescent="0.2">
      <c r="K5168" s="1">
        <f t="shared" si="7"/>
        <v>0</v>
      </c>
    </row>
    <row r="5169" spans="11:11" x14ac:dyDescent="0.2">
      <c r="K5169" s="1">
        <f t="shared" si="7"/>
        <v>0</v>
      </c>
    </row>
    <row r="5170" spans="11:11" x14ac:dyDescent="0.2">
      <c r="K5170" s="1">
        <f t="shared" si="7"/>
        <v>0</v>
      </c>
    </row>
    <row r="5171" spans="11:11" x14ac:dyDescent="0.2">
      <c r="K5171" s="1">
        <f t="shared" si="7"/>
        <v>0</v>
      </c>
    </row>
    <row r="5172" spans="11:11" x14ac:dyDescent="0.2">
      <c r="K5172" s="1">
        <f t="shared" si="7"/>
        <v>0</v>
      </c>
    </row>
    <row r="5173" spans="11:11" x14ac:dyDescent="0.2">
      <c r="K5173" s="1">
        <f t="shared" si="7"/>
        <v>0</v>
      </c>
    </row>
    <row r="5174" spans="11:11" x14ac:dyDescent="0.2">
      <c r="K5174" s="1">
        <f t="shared" si="7"/>
        <v>0</v>
      </c>
    </row>
    <row r="5175" spans="11:11" x14ac:dyDescent="0.2">
      <c r="K5175" s="1">
        <f t="shared" si="7"/>
        <v>0</v>
      </c>
    </row>
    <row r="5176" spans="11:11" x14ac:dyDescent="0.2">
      <c r="K5176" s="1">
        <f t="shared" si="7"/>
        <v>0</v>
      </c>
    </row>
    <row r="5177" spans="11:11" x14ac:dyDescent="0.2">
      <c r="K5177" s="1">
        <f t="shared" si="7"/>
        <v>0</v>
      </c>
    </row>
    <row r="5178" spans="11:11" x14ac:dyDescent="0.2">
      <c r="K5178" s="1">
        <f t="shared" si="7"/>
        <v>0</v>
      </c>
    </row>
    <row r="5179" spans="11:11" x14ac:dyDescent="0.2">
      <c r="K5179" s="1">
        <f t="shared" si="7"/>
        <v>0</v>
      </c>
    </row>
    <row r="5180" spans="11:11" x14ac:dyDescent="0.2">
      <c r="K5180" s="1">
        <f t="shared" si="7"/>
        <v>0</v>
      </c>
    </row>
    <row r="5181" spans="11:11" x14ac:dyDescent="0.2">
      <c r="K5181" s="1">
        <f t="shared" si="7"/>
        <v>0</v>
      </c>
    </row>
    <row r="5182" spans="11:11" x14ac:dyDescent="0.2">
      <c r="K5182" s="1">
        <f t="shared" si="7"/>
        <v>0</v>
      </c>
    </row>
    <row r="5183" spans="11:11" x14ac:dyDescent="0.2">
      <c r="K5183" s="1">
        <f t="shared" si="7"/>
        <v>0</v>
      </c>
    </row>
    <row r="5184" spans="11:11" x14ac:dyDescent="0.2">
      <c r="K5184" s="1">
        <f t="shared" si="7"/>
        <v>0</v>
      </c>
    </row>
    <row r="5185" spans="11:11" x14ac:dyDescent="0.2">
      <c r="K5185" s="1">
        <f t="shared" si="7"/>
        <v>0</v>
      </c>
    </row>
    <row r="5186" spans="11:11" x14ac:dyDescent="0.2">
      <c r="K5186" s="1">
        <f t="shared" si="7"/>
        <v>0</v>
      </c>
    </row>
    <row r="5187" spans="11:11" x14ac:dyDescent="0.2">
      <c r="K5187" s="1">
        <f t="shared" si="7"/>
        <v>0</v>
      </c>
    </row>
    <row r="5188" spans="11:11" x14ac:dyDescent="0.2">
      <c r="K5188" s="1">
        <f t="shared" si="7"/>
        <v>0</v>
      </c>
    </row>
    <row r="5189" spans="11:11" x14ac:dyDescent="0.2">
      <c r="K5189" s="1">
        <f t="shared" si="7"/>
        <v>0</v>
      </c>
    </row>
    <row r="5190" spans="11:11" x14ac:dyDescent="0.2">
      <c r="K5190" s="1">
        <f t="shared" si="7"/>
        <v>0</v>
      </c>
    </row>
    <row r="5191" spans="11:11" x14ac:dyDescent="0.2">
      <c r="K5191" s="1">
        <f t="shared" si="7"/>
        <v>0</v>
      </c>
    </row>
    <row r="5192" spans="11:11" x14ac:dyDescent="0.2">
      <c r="K5192" s="1">
        <f t="shared" si="7"/>
        <v>0</v>
      </c>
    </row>
    <row r="5193" spans="11:11" x14ac:dyDescent="0.2">
      <c r="K5193" s="1">
        <f t="shared" ref="K5193:K5256" si="8">H5193+AG5193</f>
        <v>0</v>
      </c>
    </row>
    <row r="5194" spans="11:11" x14ac:dyDescent="0.2">
      <c r="K5194" s="1">
        <f t="shared" si="8"/>
        <v>0</v>
      </c>
    </row>
    <row r="5195" spans="11:11" x14ac:dyDescent="0.2">
      <c r="K5195" s="1">
        <f t="shared" si="8"/>
        <v>0</v>
      </c>
    </row>
    <row r="5196" spans="11:11" x14ac:dyDescent="0.2">
      <c r="K5196" s="1">
        <f t="shared" si="8"/>
        <v>0</v>
      </c>
    </row>
    <row r="5197" spans="11:11" x14ac:dyDescent="0.2">
      <c r="K5197" s="1">
        <f t="shared" si="8"/>
        <v>0</v>
      </c>
    </row>
    <row r="5198" spans="11:11" x14ac:dyDescent="0.2">
      <c r="K5198" s="1">
        <f t="shared" si="8"/>
        <v>0</v>
      </c>
    </row>
    <row r="5199" spans="11:11" x14ac:dyDescent="0.2">
      <c r="K5199" s="1">
        <f t="shared" si="8"/>
        <v>0</v>
      </c>
    </row>
    <row r="5200" spans="11:11" x14ac:dyDescent="0.2">
      <c r="K5200" s="1">
        <f t="shared" si="8"/>
        <v>0</v>
      </c>
    </row>
    <row r="5201" spans="11:11" x14ac:dyDescent="0.2">
      <c r="K5201" s="1">
        <f t="shared" si="8"/>
        <v>0</v>
      </c>
    </row>
    <row r="5202" spans="11:11" x14ac:dyDescent="0.2">
      <c r="K5202" s="1">
        <f t="shared" si="8"/>
        <v>0</v>
      </c>
    </row>
    <row r="5203" spans="11:11" x14ac:dyDescent="0.2">
      <c r="K5203" s="1">
        <f t="shared" si="8"/>
        <v>0</v>
      </c>
    </row>
    <row r="5204" spans="11:11" x14ac:dyDescent="0.2">
      <c r="K5204" s="1">
        <f t="shared" si="8"/>
        <v>0</v>
      </c>
    </row>
    <row r="5205" spans="11:11" x14ac:dyDescent="0.2">
      <c r="K5205" s="1">
        <f t="shared" si="8"/>
        <v>0</v>
      </c>
    </row>
    <row r="5206" spans="11:11" x14ac:dyDescent="0.2">
      <c r="K5206" s="1">
        <f t="shared" si="8"/>
        <v>0</v>
      </c>
    </row>
    <row r="5207" spans="11:11" x14ac:dyDescent="0.2">
      <c r="K5207" s="1">
        <f t="shared" si="8"/>
        <v>0</v>
      </c>
    </row>
    <row r="5208" spans="11:11" x14ac:dyDescent="0.2">
      <c r="K5208" s="1">
        <f t="shared" si="8"/>
        <v>0</v>
      </c>
    </row>
    <row r="5209" spans="11:11" x14ac:dyDescent="0.2">
      <c r="K5209" s="1">
        <f t="shared" si="8"/>
        <v>0</v>
      </c>
    </row>
    <row r="5210" spans="11:11" x14ac:dyDescent="0.2">
      <c r="K5210" s="1">
        <f t="shared" si="8"/>
        <v>0</v>
      </c>
    </row>
    <row r="5211" spans="11:11" x14ac:dyDescent="0.2">
      <c r="K5211" s="1">
        <f t="shared" si="8"/>
        <v>0</v>
      </c>
    </row>
    <row r="5212" spans="11:11" x14ac:dyDescent="0.2">
      <c r="K5212" s="1">
        <f t="shared" si="8"/>
        <v>0</v>
      </c>
    </row>
    <row r="5213" spans="11:11" x14ac:dyDescent="0.2">
      <c r="K5213" s="1">
        <f t="shared" si="8"/>
        <v>0</v>
      </c>
    </row>
    <row r="5214" spans="11:11" x14ac:dyDescent="0.2">
      <c r="K5214" s="1">
        <f t="shared" si="8"/>
        <v>0</v>
      </c>
    </row>
    <row r="5215" spans="11:11" x14ac:dyDescent="0.2">
      <c r="K5215" s="1">
        <f t="shared" si="8"/>
        <v>0</v>
      </c>
    </row>
    <row r="5216" spans="11:11" x14ac:dyDescent="0.2">
      <c r="K5216" s="1">
        <f t="shared" si="8"/>
        <v>0</v>
      </c>
    </row>
    <row r="5217" spans="11:11" x14ac:dyDescent="0.2">
      <c r="K5217" s="1">
        <f t="shared" si="8"/>
        <v>0</v>
      </c>
    </row>
    <row r="5218" spans="11:11" x14ac:dyDescent="0.2">
      <c r="K5218" s="1">
        <f t="shared" si="8"/>
        <v>0</v>
      </c>
    </row>
    <row r="5219" spans="11:11" x14ac:dyDescent="0.2">
      <c r="K5219" s="1">
        <f t="shared" si="8"/>
        <v>0</v>
      </c>
    </row>
    <row r="5220" spans="11:11" x14ac:dyDescent="0.2">
      <c r="K5220" s="1">
        <f t="shared" si="8"/>
        <v>0</v>
      </c>
    </row>
    <row r="5221" spans="11:11" x14ac:dyDescent="0.2">
      <c r="K5221" s="1">
        <f t="shared" si="8"/>
        <v>0</v>
      </c>
    </row>
    <row r="5222" spans="11:11" x14ac:dyDescent="0.2">
      <c r="K5222" s="1">
        <f t="shared" si="8"/>
        <v>0</v>
      </c>
    </row>
    <row r="5223" spans="11:11" x14ac:dyDescent="0.2">
      <c r="K5223" s="1">
        <f t="shared" si="8"/>
        <v>0</v>
      </c>
    </row>
    <row r="5224" spans="11:11" x14ac:dyDescent="0.2">
      <c r="K5224" s="1">
        <f t="shared" si="8"/>
        <v>0</v>
      </c>
    </row>
    <row r="5225" spans="11:11" x14ac:dyDescent="0.2">
      <c r="K5225" s="1">
        <f t="shared" si="8"/>
        <v>0</v>
      </c>
    </row>
    <row r="5226" spans="11:11" x14ac:dyDescent="0.2">
      <c r="K5226" s="1">
        <f t="shared" si="8"/>
        <v>0</v>
      </c>
    </row>
    <row r="5227" spans="11:11" x14ac:dyDescent="0.2">
      <c r="K5227" s="1">
        <f t="shared" si="8"/>
        <v>0</v>
      </c>
    </row>
    <row r="5228" spans="11:11" x14ac:dyDescent="0.2">
      <c r="K5228" s="1">
        <f t="shared" si="8"/>
        <v>0</v>
      </c>
    </row>
    <row r="5229" spans="11:11" x14ac:dyDescent="0.2">
      <c r="K5229" s="1">
        <f t="shared" si="8"/>
        <v>0</v>
      </c>
    </row>
    <row r="5230" spans="11:11" x14ac:dyDescent="0.2">
      <c r="K5230" s="1">
        <f t="shared" si="8"/>
        <v>0</v>
      </c>
    </row>
    <row r="5231" spans="11:11" x14ac:dyDescent="0.2">
      <c r="K5231" s="1">
        <f t="shared" si="8"/>
        <v>0</v>
      </c>
    </row>
    <row r="5232" spans="11:11" x14ac:dyDescent="0.2">
      <c r="K5232" s="1">
        <f t="shared" si="8"/>
        <v>0</v>
      </c>
    </row>
    <row r="5233" spans="11:11" x14ac:dyDescent="0.2">
      <c r="K5233" s="1">
        <f t="shared" si="8"/>
        <v>0</v>
      </c>
    </row>
    <row r="5234" spans="11:11" x14ac:dyDescent="0.2">
      <c r="K5234" s="1">
        <f t="shared" si="8"/>
        <v>0</v>
      </c>
    </row>
    <row r="5235" spans="11:11" x14ac:dyDescent="0.2">
      <c r="K5235" s="1">
        <f t="shared" si="8"/>
        <v>0</v>
      </c>
    </row>
    <row r="5236" spans="11:11" x14ac:dyDescent="0.2">
      <c r="K5236" s="1">
        <f t="shared" si="8"/>
        <v>0</v>
      </c>
    </row>
    <row r="5237" spans="11:11" x14ac:dyDescent="0.2">
      <c r="K5237" s="1">
        <f t="shared" si="8"/>
        <v>0</v>
      </c>
    </row>
    <row r="5238" spans="11:11" x14ac:dyDescent="0.2">
      <c r="K5238" s="1">
        <f t="shared" si="8"/>
        <v>0</v>
      </c>
    </row>
    <row r="5239" spans="11:11" x14ac:dyDescent="0.2">
      <c r="K5239" s="1">
        <f t="shared" si="8"/>
        <v>0</v>
      </c>
    </row>
    <row r="5240" spans="11:11" x14ac:dyDescent="0.2">
      <c r="K5240" s="1">
        <f t="shared" si="8"/>
        <v>0</v>
      </c>
    </row>
    <row r="5241" spans="11:11" x14ac:dyDescent="0.2">
      <c r="K5241" s="1">
        <f t="shared" si="8"/>
        <v>0</v>
      </c>
    </row>
    <row r="5242" spans="11:11" x14ac:dyDescent="0.2">
      <c r="K5242" s="1">
        <f t="shared" si="8"/>
        <v>0</v>
      </c>
    </row>
    <row r="5243" spans="11:11" x14ac:dyDescent="0.2">
      <c r="K5243" s="1">
        <f t="shared" si="8"/>
        <v>0</v>
      </c>
    </row>
    <row r="5244" spans="11:11" x14ac:dyDescent="0.2">
      <c r="K5244" s="1">
        <f t="shared" si="8"/>
        <v>0</v>
      </c>
    </row>
    <row r="5245" spans="11:11" x14ac:dyDescent="0.2">
      <c r="K5245" s="1">
        <f t="shared" si="8"/>
        <v>0</v>
      </c>
    </row>
    <row r="5246" spans="11:11" x14ac:dyDescent="0.2">
      <c r="K5246" s="1">
        <f t="shared" si="8"/>
        <v>0</v>
      </c>
    </row>
    <row r="5247" spans="11:11" x14ac:dyDescent="0.2">
      <c r="K5247" s="1">
        <f t="shared" si="8"/>
        <v>0</v>
      </c>
    </row>
    <row r="5248" spans="11:11" x14ac:dyDescent="0.2">
      <c r="K5248" s="1">
        <f t="shared" si="8"/>
        <v>0</v>
      </c>
    </row>
    <row r="5249" spans="11:11" x14ac:dyDescent="0.2">
      <c r="K5249" s="1">
        <f t="shared" si="8"/>
        <v>0</v>
      </c>
    </row>
    <row r="5250" spans="11:11" x14ac:dyDescent="0.2">
      <c r="K5250" s="1">
        <f t="shared" si="8"/>
        <v>0</v>
      </c>
    </row>
    <row r="5251" spans="11:11" x14ac:dyDescent="0.2">
      <c r="K5251" s="1">
        <f t="shared" si="8"/>
        <v>0</v>
      </c>
    </row>
    <row r="5252" spans="11:11" x14ac:dyDescent="0.2">
      <c r="K5252" s="1">
        <f t="shared" si="8"/>
        <v>0</v>
      </c>
    </row>
    <row r="5253" spans="11:11" x14ac:dyDescent="0.2">
      <c r="K5253" s="1">
        <f t="shared" si="8"/>
        <v>0</v>
      </c>
    </row>
    <row r="5254" spans="11:11" x14ac:dyDescent="0.2">
      <c r="K5254" s="1">
        <f t="shared" si="8"/>
        <v>0</v>
      </c>
    </row>
    <row r="5255" spans="11:11" x14ac:dyDescent="0.2">
      <c r="K5255" s="1">
        <f t="shared" si="8"/>
        <v>0</v>
      </c>
    </row>
    <row r="5256" spans="11:11" x14ac:dyDescent="0.2">
      <c r="K5256" s="1">
        <f t="shared" si="8"/>
        <v>0</v>
      </c>
    </row>
    <row r="5257" spans="11:11" x14ac:dyDescent="0.2">
      <c r="K5257" s="1">
        <f t="shared" ref="K5257:K5320" si="9">H5257+AG5257</f>
        <v>0</v>
      </c>
    </row>
    <row r="5258" spans="11:11" x14ac:dyDescent="0.2">
      <c r="K5258" s="1">
        <f t="shared" si="9"/>
        <v>0</v>
      </c>
    </row>
    <row r="5259" spans="11:11" x14ac:dyDescent="0.2">
      <c r="K5259" s="1">
        <f t="shared" si="9"/>
        <v>0</v>
      </c>
    </row>
    <row r="5260" spans="11:11" x14ac:dyDescent="0.2">
      <c r="K5260" s="1">
        <f t="shared" si="9"/>
        <v>0</v>
      </c>
    </row>
    <row r="5261" spans="11:11" x14ac:dyDescent="0.2">
      <c r="K5261" s="1">
        <f t="shared" si="9"/>
        <v>0</v>
      </c>
    </row>
    <row r="5262" spans="11:11" x14ac:dyDescent="0.2">
      <c r="K5262" s="1">
        <f t="shared" si="9"/>
        <v>0</v>
      </c>
    </row>
    <row r="5263" spans="11:11" x14ac:dyDescent="0.2">
      <c r="K5263" s="1">
        <f t="shared" si="9"/>
        <v>0</v>
      </c>
    </row>
    <row r="5264" spans="11:11" x14ac:dyDescent="0.2">
      <c r="K5264" s="1">
        <f t="shared" si="9"/>
        <v>0</v>
      </c>
    </row>
    <row r="5265" spans="11:11" x14ac:dyDescent="0.2">
      <c r="K5265" s="1">
        <f t="shared" si="9"/>
        <v>0</v>
      </c>
    </row>
    <row r="5266" spans="11:11" x14ac:dyDescent="0.2">
      <c r="K5266" s="1">
        <f t="shared" si="9"/>
        <v>0</v>
      </c>
    </row>
    <row r="5267" spans="11:11" x14ac:dyDescent="0.2">
      <c r="K5267" s="1">
        <f t="shared" si="9"/>
        <v>0</v>
      </c>
    </row>
    <row r="5268" spans="11:11" x14ac:dyDescent="0.2">
      <c r="K5268" s="1">
        <f t="shared" si="9"/>
        <v>0</v>
      </c>
    </row>
    <row r="5269" spans="11:11" x14ac:dyDescent="0.2">
      <c r="K5269" s="1">
        <f t="shared" si="9"/>
        <v>0</v>
      </c>
    </row>
    <row r="5270" spans="11:11" x14ac:dyDescent="0.2">
      <c r="K5270" s="1">
        <f t="shared" si="9"/>
        <v>0</v>
      </c>
    </row>
    <row r="5271" spans="11:11" x14ac:dyDescent="0.2">
      <c r="K5271" s="1">
        <f t="shared" si="9"/>
        <v>0</v>
      </c>
    </row>
    <row r="5272" spans="11:11" x14ac:dyDescent="0.2">
      <c r="K5272" s="1">
        <f t="shared" si="9"/>
        <v>0</v>
      </c>
    </row>
    <row r="5273" spans="11:11" x14ac:dyDescent="0.2">
      <c r="K5273" s="1">
        <f t="shared" si="9"/>
        <v>0</v>
      </c>
    </row>
    <row r="5274" spans="11:11" x14ac:dyDescent="0.2">
      <c r="K5274" s="1">
        <f t="shared" si="9"/>
        <v>0</v>
      </c>
    </row>
    <row r="5275" spans="11:11" x14ac:dyDescent="0.2">
      <c r="K5275" s="1">
        <f t="shared" si="9"/>
        <v>0</v>
      </c>
    </row>
    <row r="5276" spans="11:11" x14ac:dyDescent="0.2">
      <c r="K5276" s="1">
        <f t="shared" si="9"/>
        <v>0</v>
      </c>
    </row>
    <row r="5277" spans="11:11" x14ac:dyDescent="0.2">
      <c r="K5277" s="1">
        <f t="shared" si="9"/>
        <v>0</v>
      </c>
    </row>
    <row r="5278" spans="11:11" x14ac:dyDescent="0.2">
      <c r="K5278" s="1">
        <f t="shared" si="9"/>
        <v>0</v>
      </c>
    </row>
    <row r="5279" spans="11:11" x14ac:dyDescent="0.2">
      <c r="K5279" s="1">
        <f t="shared" si="9"/>
        <v>0</v>
      </c>
    </row>
    <row r="5280" spans="11:11" x14ac:dyDescent="0.2">
      <c r="K5280" s="1">
        <f t="shared" si="9"/>
        <v>0</v>
      </c>
    </row>
    <row r="5281" spans="11:11" x14ac:dyDescent="0.2">
      <c r="K5281" s="1">
        <f t="shared" si="9"/>
        <v>0</v>
      </c>
    </row>
    <row r="5282" spans="11:11" x14ac:dyDescent="0.2">
      <c r="K5282" s="1">
        <f t="shared" si="9"/>
        <v>0</v>
      </c>
    </row>
    <row r="5283" spans="11:11" x14ac:dyDescent="0.2">
      <c r="K5283" s="1">
        <f t="shared" si="9"/>
        <v>0</v>
      </c>
    </row>
    <row r="5284" spans="11:11" x14ac:dyDescent="0.2">
      <c r="K5284" s="1">
        <f t="shared" si="9"/>
        <v>0</v>
      </c>
    </row>
    <row r="5285" spans="11:11" x14ac:dyDescent="0.2">
      <c r="K5285" s="1">
        <f t="shared" si="9"/>
        <v>0</v>
      </c>
    </row>
    <row r="5286" spans="11:11" x14ac:dyDescent="0.2">
      <c r="K5286" s="1">
        <f t="shared" si="9"/>
        <v>0</v>
      </c>
    </row>
    <row r="5287" spans="11:11" x14ac:dyDescent="0.2">
      <c r="K5287" s="1">
        <f t="shared" si="9"/>
        <v>0</v>
      </c>
    </row>
    <row r="5288" spans="11:11" x14ac:dyDescent="0.2">
      <c r="K5288" s="1">
        <f t="shared" si="9"/>
        <v>0</v>
      </c>
    </row>
    <row r="5289" spans="11:11" x14ac:dyDescent="0.2">
      <c r="K5289" s="1">
        <f t="shared" si="9"/>
        <v>0</v>
      </c>
    </row>
    <row r="5290" spans="11:11" x14ac:dyDescent="0.2">
      <c r="K5290" s="1">
        <f t="shared" si="9"/>
        <v>0</v>
      </c>
    </row>
    <row r="5291" spans="11:11" x14ac:dyDescent="0.2">
      <c r="K5291" s="1">
        <f t="shared" si="9"/>
        <v>0</v>
      </c>
    </row>
    <row r="5292" spans="11:11" x14ac:dyDescent="0.2">
      <c r="K5292" s="1">
        <f t="shared" si="9"/>
        <v>0</v>
      </c>
    </row>
    <row r="5293" spans="11:11" x14ac:dyDescent="0.2">
      <c r="K5293" s="1">
        <f t="shared" si="9"/>
        <v>0</v>
      </c>
    </row>
    <row r="5294" spans="11:11" x14ac:dyDescent="0.2">
      <c r="K5294" s="1">
        <f t="shared" si="9"/>
        <v>0</v>
      </c>
    </row>
    <row r="5295" spans="11:11" x14ac:dyDescent="0.2">
      <c r="K5295" s="1">
        <f t="shared" si="9"/>
        <v>0</v>
      </c>
    </row>
    <row r="5296" spans="11:11" x14ac:dyDescent="0.2">
      <c r="K5296" s="1">
        <f t="shared" si="9"/>
        <v>0</v>
      </c>
    </row>
    <row r="5297" spans="11:11" x14ac:dyDescent="0.2">
      <c r="K5297" s="1">
        <f t="shared" si="9"/>
        <v>0</v>
      </c>
    </row>
    <row r="5298" spans="11:11" x14ac:dyDescent="0.2">
      <c r="K5298" s="1">
        <f t="shared" si="9"/>
        <v>0</v>
      </c>
    </row>
    <row r="5299" spans="11:11" x14ac:dyDescent="0.2">
      <c r="K5299" s="1">
        <f t="shared" si="9"/>
        <v>0</v>
      </c>
    </row>
    <row r="5300" spans="11:11" x14ac:dyDescent="0.2">
      <c r="K5300" s="1">
        <f t="shared" si="9"/>
        <v>0</v>
      </c>
    </row>
    <row r="5301" spans="11:11" x14ac:dyDescent="0.2">
      <c r="K5301" s="1">
        <f t="shared" si="9"/>
        <v>0</v>
      </c>
    </row>
    <row r="5302" spans="11:11" x14ac:dyDescent="0.2">
      <c r="K5302" s="1">
        <f t="shared" si="9"/>
        <v>0</v>
      </c>
    </row>
    <row r="5303" spans="11:11" x14ac:dyDescent="0.2">
      <c r="K5303" s="1">
        <f t="shared" si="9"/>
        <v>0</v>
      </c>
    </row>
    <row r="5304" spans="11:11" x14ac:dyDescent="0.2">
      <c r="K5304" s="1">
        <f t="shared" si="9"/>
        <v>0</v>
      </c>
    </row>
    <row r="5305" spans="11:11" x14ac:dyDescent="0.2">
      <c r="K5305" s="1">
        <f t="shared" si="9"/>
        <v>0</v>
      </c>
    </row>
    <row r="5306" spans="11:11" x14ac:dyDescent="0.2">
      <c r="K5306" s="1">
        <f t="shared" si="9"/>
        <v>0</v>
      </c>
    </row>
    <row r="5307" spans="11:11" x14ac:dyDescent="0.2">
      <c r="K5307" s="1">
        <f t="shared" si="9"/>
        <v>0</v>
      </c>
    </row>
    <row r="5308" spans="11:11" x14ac:dyDescent="0.2">
      <c r="K5308" s="1">
        <f t="shared" si="9"/>
        <v>0</v>
      </c>
    </row>
    <row r="5309" spans="11:11" x14ac:dyDescent="0.2">
      <c r="K5309" s="1">
        <f t="shared" si="9"/>
        <v>0</v>
      </c>
    </row>
    <row r="5310" spans="11:11" x14ac:dyDescent="0.2">
      <c r="K5310" s="1">
        <f t="shared" si="9"/>
        <v>0</v>
      </c>
    </row>
    <row r="5311" spans="11:11" x14ac:dyDescent="0.2">
      <c r="K5311" s="1">
        <f t="shared" si="9"/>
        <v>0</v>
      </c>
    </row>
    <row r="5312" spans="11:11" x14ac:dyDescent="0.2">
      <c r="K5312" s="1">
        <f t="shared" si="9"/>
        <v>0</v>
      </c>
    </row>
    <row r="5313" spans="11:11" x14ac:dyDescent="0.2">
      <c r="K5313" s="1">
        <f t="shared" si="9"/>
        <v>0</v>
      </c>
    </row>
    <row r="5314" spans="11:11" x14ac:dyDescent="0.2">
      <c r="K5314" s="1">
        <f t="shared" si="9"/>
        <v>0</v>
      </c>
    </row>
    <row r="5315" spans="11:11" x14ac:dyDescent="0.2">
      <c r="K5315" s="1">
        <f t="shared" si="9"/>
        <v>0</v>
      </c>
    </row>
    <row r="5316" spans="11:11" x14ac:dyDescent="0.2">
      <c r="K5316" s="1">
        <f t="shared" si="9"/>
        <v>0</v>
      </c>
    </row>
    <row r="5317" spans="11:11" x14ac:dyDescent="0.2">
      <c r="K5317" s="1">
        <f t="shared" si="9"/>
        <v>0</v>
      </c>
    </row>
    <row r="5318" spans="11:11" x14ac:dyDescent="0.2">
      <c r="K5318" s="1">
        <f t="shared" si="9"/>
        <v>0</v>
      </c>
    </row>
    <row r="5319" spans="11:11" x14ac:dyDescent="0.2">
      <c r="K5319" s="1">
        <f t="shared" si="9"/>
        <v>0</v>
      </c>
    </row>
    <row r="5320" spans="11:11" x14ac:dyDescent="0.2">
      <c r="K5320" s="1">
        <f t="shared" si="9"/>
        <v>0</v>
      </c>
    </row>
    <row r="5321" spans="11:11" x14ac:dyDescent="0.2">
      <c r="K5321" s="1">
        <f t="shared" ref="K5321:K5326" si="10">H5321+AG5321</f>
        <v>0</v>
      </c>
    </row>
    <row r="5322" spans="11:11" x14ac:dyDescent="0.2">
      <c r="K5322" s="1">
        <f t="shared" si="10"/>
        <v>0</v>
      </c>
    </row>
    <row r="5323" spans="11:11" x14ac:dyDescent="0.2">
      <c r="K5323" s="1">
        <f t="shared" si="10"/>
        <v>0</v>
      </c>
    </row>
    <row r="5324" spans="11:11" x14ac:dyDescent="0.2">
      <c r="K5324" s="1">
        <f t="shared" si="10"/>
        <v>0</v>
      </c>
    </row>
    <row r="5325" spans="11:11" x14ac:dyDescent="0.2">
      <c r="K5325" s="1">
        <f t="shared" si="10"/>
        <v>0</v>
      </c>
    </row>
    <row r="5326" spans="11:11" x14ac:dyDescent="0.2">
      <c r="K5326" s="1">
        <f t="shared" si="10"/>
        <v>0</v>
      </c>
    </row>
  </sheetData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indexed="44"/>
  </sheetPr>
  <dimension ref="A1:AM2806"/>
  <sheetViews>
    <sheetView zoomScale="115" zoomScaleNormal="115" workbookViewId="0">
      <selection activeCell="L1" sqref="L1:P1"/>
    </sheetView>
  </sheetViews>
  <sheetFormatPr defaultRowHeight="12.75" x14ac:dyDescent="0.2"/>
  <cols>
    <col min="1" max="2" width="9.140625" style="1"/>
    <col min="3" max="3" width="16.140625" style="1" customWidth="1"/>
    <col min="4" max="4" width="16.5703125" style="1" customWidth="1"/>
    <col min="5" max="5" width="36.7109375" style="1" customWidth="1"/>
    <col min="6" max="16384" width="9.140625" style="1"/>
  </cols>
  <sheetData>
    <row r="1" spans="1:39" x14ac:dyDescent="0.2">
      <c r="A1" s="1" t="s">
        <v>167</v>
      </c>
      <c r="B1" s="57" t="s">
        <v>168</v>
      </c>
      <c r="C1" s="57" t="s">
        <v>169</v>
      </c>
      <c r="D1" s="57" t="s">
        <v>170</v>
      </c>
      <c r="E1" s="57" t="s">
        <v>171</v>
      </c>
      <c r="F1" s="57" t="s">
        <v>172</v>
      </c>
      <c r="G1" s="57"/>
      <c r="H1" s="57"/>
      <c r="I1" s="57" t="s">
        <v>167</v>
      </c>
      <c r="J1" s="57" t="s">
        <v>168</v>
      </c>
      <c r="K1" s="57" t="s">
        <v>164</v>
      </c>
      <c r="L1" s="57"/>
      <c r="M1" s="3"/>
      <c r="AM1" s="1">
        <f ca="1">COUNT(OFFSET(J2,0,0,7000,1))</f>
        <v>0</v>
      </c>
    </row>
    <row r="2" spans="1:39" x14ac:dyDescent="0.2">
      <c r="A2" s="1">
        <f>I2</f>
        <v>0</v>
      </c>
      <c r="B2" s="1">
        <f>J2</f>
        <v>0</v>
      </c>
      <c r="C2" s="1">
        <f>L2</f>
        <v>0</v>
      </c>
      <c r="D2" s="1" t="str">
        <f>IF(A2="P",M2,IF(A2="L",N2,IF(OR(A2="T",A2="X",A2="F"),"","PROB!!!")))</f>
        <v>PROB!!!</v>
      </c>
      <c r="E2" s="1" t="str">
        <f>IF(OR(A2="P",A2="F"),N2,IF(OR(A2="T",A2="X"),M2,IF(A2="L",O2,"PROB!")))</f>
        <v>PROB!</v>
      </c>
      <c r="F2" s="1" t="str">
        <f>IF(A2="P",O2,IF(A2="L",M2+P2,IF(A2="X",N2,IF(A2="T",N2,IF(A2="F",M2+O2,"PROB!!!")))))</f>
        <v>PROB!!!</v>
      </c>
      <c r="AL2" s="61" t="s">
        <v>11</v>
      </c>
      <c r="AM2" s="1">
        <f ca="1">COUNTIF(OFFSET($I$2,0,0,7000,1),$AL2)</f>
        <v>0</v>
      </c>
    </row>
    <row r="3" spans="1:39" x14ac:dyDescent="0.2">
      <c r="B3" s="47"/>
      <c r="C3" s="47"/>
      <c r="D3" s="47"/>
      <c r="AL3" s="61" t="s">
        <v>12</v>
      </c>
      <c r="AM3" s="1">
        <f t="shared" ref="AM3:AM6" ca="1" si="0">COUNTIF(OFFSET($I$2,0,0,7000,1),$AL3)</f>
        <v>0</v>
      </c>
    </row>
    <row r="4" spans="1:39" x14ac:dyDescent="0.2">
      <c r="B4" s="47"/>
      <c r="C4" s="47"/>
      <c r="D4" s="47"/>
      <c r="AL4" s="61" t="s">
        <v>13</v>
      </c>
      <c r="AM4" s="1">
        <f t="shared" ca="1" si="0"/>
        <v>0</v>
      </c>
    </row>
    <row r="5" spans="1:39" x14ac:dyDescent="0.2">
      <c r="B5" s="47"/>
      <c r="C5" s="47"/>
      <c r="D5" s="47"/>
      <c r="AL5" s="61" t="s">
        <v>10</v>
      </c>
      <c r="AM5" s="1">
        <f t="shared" ca="1" si="0"/>
        <v>0</v>
      </c>
    </row>
    <row r="6" spans="1:39" x14ac:dyDescent="0.2">
      <c r="B6" s="47"/>
      <c r="C6" s="47"/>
      <c r="D6" s="47"/>
      <c r="AL6" s="61" t="s">
        <v>14</v>
      </c>
      <c r="AM6" s="1">
        <f t="shared" ca="1" si="0"/>
        <v>0</v>
      </c>
    </row>
    <row r="7" spans="1:39" x14ac:dyDescent="0.2">
      <c r="B7" s="47"/>
      <c r="C7" s="47"/>
      <c r="D7" s="47"/>
      <c r="AL7" s="61" t="s">
        <v>38</v>
      </c>
      <c r="AM7" s="1">
        <f ca="1">SUM(AM2:AM6)</f>
        <v>0</v>
      </c>
    </row>
    <row r="8" spans="1:39" x14ac:dyDescent="0.2">
      <c r="B8" s="47"/>
      <c r="C8" s="47"/>
      <c r="D8" s="47"/>
      <c r="AM8" s="62">
        <f ca="1">AM7-AM1</f>
        <v>0</v>
      </c>
    </row>
    <row r="9" spans="1:39" x14ac:dyDescent="0.2">
      <c r="B9" s="47"/>
      <c r="C9" s="47"/>
      <c r="D9" s="47"/>
    </row>
    <row r="10" spans="1:39" x14ac:dyDescent="0.2">
      <c r="B10" s="47"/>
      <c r="C10" s="47"/>
      <c r="D10" s="47"/>
    </row>
    <row r="11" spans="1:39" x14ac:dyDescent="0.2">
      <c r="B11" s="47"/>
      <c r="C11" s="47"/>
      <c r="D11" s="47"/>
    </row>
    <row r="12" spans="1:39" x14ac:dyDescent="0.2">
      <c r="B12" s="47"/>
      <c r="C12" s="47"/>
      <c r="D12" s="47"/>
    </row>
    <row r="13" spans="1:39" x14ac:dyDescent="0.2">
      <c r="B13" s="47"/>
      <c r="C13" s="47"/>
      <c r="D13" s="47"/>
    </row>
    <row r="14" spans="1:39" x14ac:dyDescent="0.2">
      <c r="B14" s="47"/>
      <c r="C14" s="47"/>
      <c r="D14" s="47"/>
    </row>
    <row r="15" spans="1:39" x14ac:dyDescent="0.2">
      <c r="B15" s="47"/>
      <c r="C15" s="47"/>
      <c r="D15" s="47"/>
    </row>
    <row r="16" spans="1:39" x14ac:dyDescent="0.2">
      <c r="B16" s="47"/>
      <c r="C16" s="47"/>
      <c r="D16" s="47"/>
    </row>
    <row r="17" spans="2:4" x14ac:dyDescent="0.2">
      <c r="B17" s="47"/>
      <c r="C17" s="47"/>
      <c r="D17" s="47"/>
    </row>
    <row r="18" spans="2:4" x14ac:dyDescent="0.2">
      <c r="B18" s="47"/>
      <c r="C18" s="47"/>
      <c r="D18" s="47"/>
    </row>
    <row r="19" spans="2:4" x14ac:dyDescent="0.2">
      <c r="B19" s="47"/>
      <c r="C19" s="47"/>
      <c r="D19" s="47"/>
    </row>
    <row r="20" spans="2:4" x14ac:dyDescent="0.2">
      <c r="B20" s="47"/>
      <c r="C20" s="47"/>
      <c r="D20" s="47"/>
    </row>
    <row r="21" spans="2:4" x14ac:dyDescent="0.2">
      <c r="B21" s="47"/>
      <c r="C21" s="47"/>
      <c r="D21" s="47"/>
    </row>
    <row r="22" spans="2:4" x14ac:dyDescent="0.2">
      <c r="B22" s="47"/>
      <c r="C22" s="47"/>
      <c r="D22" s="47"/>
    </row>
    <row r="23" spans="2:4" x14ac:dyDescent="0.2">
      <c r="B23" s="47"/>
      <c r="C23" s="47"/>
      <c r="D23" s="47"/>
    </row>
    <row r="24" spans="2:4" x14ac:dyDescent="0.2">
      <c r="B24" s="47"/>
      <c r="C24" s="47"/>
      <c r="D24" s="47"/>
    </row>
    <row r="25" spans="2:4" x14ac:dyDescent="0.2">
      <c r="B25" s="47"/>
      <c r="C25" s="47"/>
      <c r="D25" s="47"/>
    </row>
    <row r="26" spans="2:4" x14ac:dyDescent="0.2">
      <c r="B26" s="47"/>
      <c r="C26" s="47"/>
      <c r="D26" s="47"/>
    </row>
    <row r="27" spans="2:4" x14ac:dyDescent="0.2">
      <c r="B27" s="47"/>
      <c r="C27" s="47"/>
      <c r="D27" s="47"/>
    </row>
    <row r="28" spans="2:4" x14ac:dyDescent="0.2">
      <c r="B28" s="47"/>
      <c r="C28" s="47"/>
      <c r="D28" s="47"/>
    </row>
    <row r="29" spans="2:4" x14ac:dyDescent="0.2">
      <c r="B29" s="47"/>
      <c r="C29" s="47"/>
      <c r="D29" s="47"/>
    </row>
    <row r="30" spans="2:4" x14ac:dyDescent="0.2">
      <c r="B30" s="47"/>
      <c r="C30" s="47"/>
      <c r="D30" s="47"/>
    </row>
    <row r="31" spans="2:4" x14ac:dyDescent="0.2">
      <c r="B31" s="47"/>
      <c r="C31" s="47"/>
      <c r="D31" s="47"/>
    </row>
    <row r="32" spans="2:4" x14ac:dyDescent="0.2">
      <c r="B32" s="47"/>
      <c r="C32" s="47"/>
      <c r="D32" s="47"/>
    </row>
    <row r="33" spans="2:4" x14ac:dyDescent="0.2">
      <c r="B33" s="47"/>
      <c r="C33" s="47"/>
      <c r="D33" s="47"/>
    </row>
    <row r="34" spans="2:4" x14ac:dyDescent="0.2">
      <c r="B34" s="47"/>
      <c r="C34" s="47"/>
      <c r="D34" s="47"/>
    </row>
    <row r="35" spans="2:4" x14ac:dyDescent="0.2">
      <c r="B35" s="47"/>
      <c r="C35" s="47"/>
      <c r="D35" s="47"/>
    </row>
    <row r="36" spans="2:4" x14ac:dyDescent="0.2">
      <c r="B36" s="47"/>
      <c r="C36" s="47"/>
      <c r="D36" s="47"/>
    </row>
    <row r="37" spans="2:4" x14ac:dyDescent="0.2">
      <c r="B37" s="47"/>
      <c r="C37" s="47"/>
      <c r="D37" s="47"/>
    </row>
    <row r="38" spans="2:4" x14ac:dyDescent="0.2">
      <c r="B38" s="47"/>
      <c r="C38" s="47"/>
      <c r="D38" s="47"/>
    </row>
    <row r="39" spans="2:4" x14ac:dyDescent="0.2">
      <c r="B39" s="47"/>
      <c r="C39" s="47"/>
      <c r="D39" s="47"/>
    </row>
    <row r="40" spans="2:4" x14ac:dyDescent="0.2">
      <c r="B40" s="47"/>
      <c r="C40" s="47"/>
      <c r="D40" s="47"/>
    </row>
    <row r="41" spans="2:4" x14ac:dyDescent="0.2">
      <c r="B41" s="47"/>
      <c r="C41" s="47"/>
      <c r="D41" s="47"/>
    </row>
    <row r="42" spans="2:4" x14ac:dyDescent="0.2">
      <c r="B42" s="47"/>
      <c r="C42" s="47"/>
      <c r="D42" s="47"/>
    </row>
    <row r="43" spans="2:4" x14ac:dyDescent="0.2">
      <c r="B43" s="47"/>
      <c r="C43" s="47"/>
      <c r="D43" s="47"/>
    </row>
    <row r="44" spans="2:4" x14ac:dyDescent="0.2">
      <c r="B44" s="47"/>
      <c r="C44" s="47"/>
      <c r="D44" s="47"/>
    </row>
    <row r="45" spans="2:4" x14ac:dyDescent="0.2">
      <c r="B45" s="47"/>
      <c r="C45" s="47"/>
      <c r="D45" s="47"/>
    </row>
    <row r="46" spans="2:4" x14ac:dyDescent="0.2">
      <c r="B46" s="47"/>
      <c r="C46" s="47"/>
      <c r="D46" s="47"/>
    </row>
    <row r="47" spans="2:4" x14ac:dyDescent="0.2">
      <c r="B47" s="47"/>
      <c r="C47" s="47"/>
      <c r="D47" s="47"/>
    </row>
    <row r="48" spans="2:4" x14ac:dyDescent="0.2">
      <c r="B48" s="47"/>
      <c r="C48" s="47"/>
      <c r="D48" s="47"/>
    </row>
    <row r="49" spans="2:4" x14ac:dyDescent="0.2">
      <c r="B49" s="47"/>
      <c r="C49" s="47"/>
      <c r="D49" s="47"/>
    </row>
    <row r="50" spans="2:4" x14ac:dyDescent="0.2">
      <c r="B50" s="47"/>
      <c r="C50" s="47"/>
      <c r="D50" s="47"/>
    </row>
    <row r="51" spans="2:4" x14ac:dyDescent="0.2">
      <c r="B51" s="47"/>
      <c r="C51" s="47"/>
      <c r="D51" s="47"/>
    </row>
    <row r="52" spans="2:4" x14ac:dyDescent="0.2">
      <c r="B52" s="47"/>
      <c r="C52" s="47"/>
      <c r="D52" s="47"/>
    </row>
    <row r="53" spans="2:4" x14ac:dyDescent="0.2">
      <c r="B53" s="47"/>
      <c r="C53" s="47"/>
      <c r="D53" s="47"/>
    </row>
    <row r="54" spans="2:4" x14ac:dyDescent="0.2">
      <c r="B54" s="47"/>
      <c r="C54" s="47"/>
      <c r="D54" s="47"/>
    </row>
    <row r="55" spans="2:4" x14ac:dyDescent="0.2">
      <c r="B55" s="47"/>
      <c r="C55" s="47"/>
      <c r="D55" s="47"/>
    </row>
    <row r="56" spans="2:4" x14ac:dyDescent="0.2">
      <c r="B56" s="47"/>
      <c r="C56" s="47"/>
      <c r="D56" s="47"/>
    </row>
    <row r="57" spans="2:4" x14ac:dyDescent="0.2">
      <c r="B57" s="47"/>
      <c r="C57" s="47"/>
      <c r="D57" s="47"/>
    </row>
    <row r="58" spans="2:4" x14ac:dyDescent="0.2">
      <c r="B58" s="47"/>
      <c r="C58" s="47"/>
      <c r="D58" s="47"/>
    </row>
    <row r="59" spans="2:4" x14ac:dyDescent="0.2">
      <c r="B59" s="47"/>
      <c r="C59" s="47"/>
      <c r="D59" s="47"/>
    </row>
    <row r="60" spans="2:4" x14ac:dyDescent="0.2">
      <c r="B60" s="47"/>
      <c r="C60" s="47"/>
      <c r="D60" s="47"/>
    </row>
    <row r="61" spans="2:4" x14ac:dyDescent="0.2">
      <c r="B61" s="47"/>
      <c r="C61" s="47"/>
      <c r="D61" s="47"/>
    </row>
    <row r="62" spans="2:4" x14ac:dyDescent="0.2">
      <c r="B62" s="47"/>
      <c r="C62" s="47"/>
      <c r="D62" s="47"/>
    </row>
    <row r="63" spans="2:4" x14ac:dyDescent="0.2">
      <c r="B63" s="47"/>
      <c r="C63" s="47"/>
      <c r="D63" s="47"/>
    </row>
    <row r="64" spans="2:4" x14ac:dyDescent="0.2">
      <c r="B64" s="47"/>
      <c r="C64" s="47"/>
      <c r="D64" s="47"/>
    </row>
    <row r="65" spans="2:4" x14ac:dyDescent="0.2">
      <c r="B65" s="47"/>
      <c r="C65" s="47"/>
      <c r="D65" s="47"/>
    </row>
    <row r="66" spans="2:4" x14ac:dyDescent="0.2">
      <c r="B66" s="47"/>
      <c r="C66" s="47"/>
      <c r="D66" s="47"/>
    </row>
    <row r="67" spans="2:4" x14ac:dyDescent="0.2">
      <c r="B67" s="47"/>
      <c r="C67" s="47"/>
      <c r="D67" s="47"/>
    </row>
    <row r="68" spans="2:4" x14ac:dyDescent="0.2">
      <c r="B68" s="47"/>
      <c r="C68" s="47"/>
      <c r="D68" s="47"/>
    </row>
    <row r="69" spans="2:4" x14ac:dyDescent="0.2">
      <c r="B69" s="47"/>
      <c r="C69" s="47"/>
      <c r="D69" s="47"/>
    </row>
    <row r="70" spans="2:4" x14ac:dyDescent="0.2">
      <c r="B70" s="47"/>
      <c r="C70" s="47"/>
      <c r="D70" s="47"/>
    </row>
    <row r="71" spans="2:4" x14ac:dyDescent="0.2">
      <c r="B71" s="47"/>
      <c r="C71" s="47"/>
      <c r="D71" s="47"/>
    </row>
    <row r="72" spans="2:4" x14ac:dyDescent="0.2">
      <c r="B72" s="47"/>
      <c r="C72" s="47"/>
      <c r="D72" s="47"/>
    </row>
    <row r="73" spans="2:4" x14ac:dyDescent="0.2">
      <c r="B73" s="47"/>
      <c r="C73" s="47"/>
      <c r="D73" s="47"/>
    </row>
    <row r="74" spans="2:4" x14ac:dyDescent="0.2">
      <c r="B74" s="47"/>
      <c r="C74" s="47"/>
      <c r="D74" s="47"/>
    </row>
    <row r="75" spans="2:4" x14ac:dyDescent="0.2">
      <c r="B75" s="47"/>
      <c r="C75" s="47"/>
      <c r="D75" s="47"/>
    </row>
    <row r="76" spans="2:4" x14ac:dyDescent="0.2">
      <c r="B76" s="47"/>
      <c r="C76" s="47"/>
      <c r="D76" s="47"/>
    </row>
    <row r="77" spans="2:4" x14ac:dyDescent="0.2">
      <c r="B77" s="47"/>
      <c r="C77" s="47"/>
      <c r="D77" s="47"/>
    </row>
    <row r="78" spans="2:4" x14ac:dyDescent="0.2">
      <c r="B78" s="47"/>
      <c r="C78" s="47"/>
      <c r="D78" s="47"/>
    </row>
    <row r="79" spans="2:4" x14ac:dyDescent="0.2">
      <c r="B79" s="47"/>
      <c r="C79" s="47"/>
      <c r="D79" s="47"/>
    </row>
    <row r="80" spans="2:4" x14ac:dyDescent="0.2">
      <c r="B80" s="47"/>
      <c r="C80" s="47"/>
      <c r="D80" s="47"/>
    </row>
    <row r="81" spans="2:4" x14ac:dyDescent="0.2">
      <c r="B81" s="47"/>
      <c r="C81" s="47"/>
      <c r="D81" s="47"/>
    </row>
    <row r="82" spans="2:4" x14ac:dyDescent="0.2">
      <c r="B82" s="47"/>
      <c r="C82" s="47"/>
      <c r="D82" s="47"/>
    </row>
    <row r="83" spans="2:4" x14ac:dyDescent="0.2">
      <c r="B83" s="47"/>
      <c r="C83" s="47"/>
      <c r="D83" s="47"/>
    </row>
    <row r="84" spans="2:4" x14ac:dyDescent="0.2">
      <c r="B84" s="47"/>
      <c r="C84" s="47"/>
      <c r="D84" s="47"/>
    </row>
    <row r="85" spans="2:4" x14ac:dyDescent="0.2">
      <c r="B85" s="47"/>
      <c r="C85" s="47"/>
      <c r="D85" s="47"/>
    </row>
    <row r="86" spans="2:4" x14ac:dyDescent="0.2">
      <c r="B86" s="47"/>
      <c r="C86" s="47"/>
      <c r="D86" s="47"/>
    </row>
    <row r="87" spans="2:4" x14ac:dyDescent="0.2">
      <c r="B87" s="47"/>
      <c r="C87" s="47"/>
      <c r="D87" s="47"/>
    </row>
    <row r="88" spans="2:4" x14ac:dyDescent="0.2">
      <c r="B88" s="47"/>
      <c r="C88" s="47"/>
      <c r="D88" s="47"/>
    </row>
    <row r="89" spans="2:4" x14ac:dyDescent="0.2">
      <c r="B89" s="47"/>
      <c r="C89" s="47"/>
      <c r="D89" s="47"/>
    </row>
    <row r="90" spans="2:4" x14ac:dyDescent="0.2">
      <c r="B90" s="47"/>
      <c r="C90" s="47"/>
      <c r="D90" s="47"/>
    </row>
    <row r="91" spans="2:4" x14ac:dyDescent="0.2">
      <c r="B91" s="47"/>
      <c r="C91" s="47"/>
      <c r="D91" s="47"/>
    </row>
    <row r="92" spans="2:4" x14ac:dyDescent="0.2">
      <c r="B92" s="47"/>
      <c r="C92" s="47"/>
      <c r="D92" s="47"/>
    </row>
    <row r="93" spans="2:4" x14ac:dyDescent="0.2">
      <c r="B93" s="47"/>
      <c r="C93" s="47"/>
      <c r="D93" s="47"/>
    </row>
    <row r="94" spans="2:4" x14ac:dyDescent="0.2">
      <c r="B94" s="47"/>
      <c r="C94" s="47"/>
      <c r="D94" s="47"/>
    </row>
    <row r="95" spans="2:4" x14ac:dyDescent="0.2">
      <c r="B95" s="47"/>
      <c r="C95" s="47"/>
      <c r="D95" s="47"/>
    </row>
    <row r="96" spans="2:4" x14ac:dyDescent="0.2">
      <c r="B96" s="47"/>
      <c r="C96" s="47"/>
      <c r="D96" s="47"/>
    </row>
    <row r="97" spans="2:4" x14ac:dyDescent="0.2">
      <c r="B97" s="47"/>
      <c r="C97" s="47"/>
      <c r="D97" s="47"/>
    </row>
    <row r="98" spans="2:4" x14ac:dyDescent="0.2">
      <c r="B98" s="47"/>
      <c r="C98" s="47"/>
      <c r="D98" s="47"/>
    </row>
    <row r="99" spans="2:4" x14ac:dyDescent="0.2">
      <c r="B99" s="47"/>
      <c r="C99" s="47"/>
      <c r="D99" s="47"/>
    </row>
    <row r="100" spans="2:4" x14ac:dyDescent="0.2">
      <c r="B100" s="47"/>
      <c r="C100" s="47"/>
      <c r="D100" s="47"/>
    </row>
    <row r="101" spans="2:4" x14ac:dyDescent="0.2">
      <c r="B101" s="47"/>
      <c r="C101" s="47"/>
      <c r="D101" s="47"/>
    </row>
    <row r="102" spans="2:4" x14ac:dyDescent="0.2">
      <c r="B102" s="47"/>
      <c r="C102" s="47"/>
      <c r="D102" s="47"/>
    </row>
    <row r="103" spans="2:4" x14ac:dyDescent="0.2">
      <c r="B103" s="47"/>
      <c r="C103" s="47"/>
      <c r="D103" s="47"/>
    </row>
    <row r="104" spans="2:4" x14ac:dyDescent="0.2">
      <c r="B104" s="47"/>
      <c r="C104" s="47"/>
      <c r="D104" s="47"/>
    </row>
    <row r="105" spans="2:4" x14ac:dyDescent="0.2">
      <c r="B105" s="47"/>
      <c r="C105" s="47"/>
      <c r="D105" s="47"/>
    </row>
    <row r="106" spans="2:4" x14ac:dyDescent="0.2">
      <c r="B106" s="47"/>
      <c r="C106" s="47"/>
      <c r="D106" s="47"/>
    </row>
    <row r="107" spans="2:4" x14ac:dyDescent="0.2">
      <c r="B107" s="47"/>
      <c r="C107" s="47"/>
      <c r="D107" s="47"/>
    </row>
    <row r="108" spans="2:4" x14ac:dyDescent="0.2">
      <c r="B108" s="47"/>
      <c r="C108" s="47"/>
      <c r="D108" s="47"/>
    </row>
    <row r="109" spans="2:4" x14ac:dyDescent="0.2">
      <c r="B109" s="47"/>
      <c r="C109" s="47"/>
      <c r="D109" s="47"/>
    </row>
    <row r="110" spans="2:4" x14ac:dyDescent="0.2">
      <c r="B110" s="47"/>
      <c r="C110" s="47"/>
      <c r="D110" s="47"/>
    </row>
    <row r="111" spans="2:4" x14ac:dyDescent="0.2">
      <c r="B111" s="47"/>
      <c r="C111" s="47"/>
      <c r="D111" s="47"/>
    </row>
    <row r="112" spans="2:4" x14ac:dyDescent="0.2">
      <c r="B112" s="47"/>
      <c r="C112" s="47"/>
      <c r="D112" s="47"/>
    </row>
    <row r="113" spans="2:4" x14ac:dyDescent="0.2">
      <c r="B113" s="47"/>
      <c r="C113" s="47"/>
      <c r="D113" s="47"/>
    </row>
    <row r="114" spans="2:4" x14ac:dyDescent="0.2">
      <c r="B114" s="47"/>
      <c r="C114" s="47"/>
      <c r="D114" s="47"/>
    </row>
    <row r="115" spans="2:4" x14ac:dyDescent="0.2">
      <c r="B115" s="47"/>
      <c r="C115" s="47"/>
      <c r="D115" s="47"/>
    </row>
    <row r="116" spans="2:4" x14ac:dyDescent="0.2">
      <c r="B116" s="47"/>
      <c r="C116" s="47"/>
      <c r="D116" s="47"/>
    </row>
    <row r="117" spans="2:4" x14ac:dyDescent="0.2">
      <c r="B117" s="47"/>
      <c r="C117" s="47"/>
      <c r="D117" s="47"/>
    </row>
    <row r="118" spans="2:4" x14ac:dyDescent="0.2">
      <c r="B118" s="47"/>
      <c r="C118" s="47"/>
      <c r="D118" s="47"/>
    </row>
    <row r="119" spans="2:4" x14ac:dyDescent="0.2">
      <c r="B119" s="47"/>
      <c r="C119" s="47"/>
      <c r="D119" s="47"/>
    </row>
    <row r="120" spans="2:4" x14ac:dyDescent="0.2">
      <c r="B120" s="47"/>
      <c r="C120" s="47"/>
      <c r="D120" s="47"/>
    </row>
    <row r="121" spans="2:4" x14ac:dyDescent="0.2">
      <c r="B121" s="47"/>
      <c r="C121" s="47"/>
      <c r="D121" s="47"/>
    </row>
    <row r="122" spans="2:4" x14ac:dyDescent="0.2">
      <c r="B122" s="47"/>
      <c r="C122" s="47"/>
      <c r="D122" s="47"/>
    </row>
    <row r="123" spans="2:4" x14ac:dyDescent="0.2">
      <c r="B123" s="47"/>
      <c r="C123" s="47"/>
      <c r="D123" s="47"/>
    </row>
    <row r="124" spans="2:4" x14ac:dyDescent="0.2">
      <c r="B124" s="47"/>
      <c r="C124" s="47"/>
      <c r="D124" s="47"/>
    </row>
    <row r="125" spans="2:4" x14ac:dyDescent="0.2">
      <c r="B125" s="47"/>
      <c r="C125" s="47"/>
      <c r="D125" s="47"/>
    </row>
    <row r="126" spans="2:4" x14ac:dyDescent="0.2">
      <c r="B126" s="47"/>
      <c r="C126" s="47"/>
      <c r="D126" s="47"/>
    </row>
    <row r="127" spans="2:4" x14ac:dyDescent="0.2">
      <c r="B127" s="47"/>
      <c r="C127" s="47"/>
      <c r="D127" s="47"/>
    </row>
    <row r="128" spans="2:4" x14ac:dyDescent="0.2">
      <c r="B128" s="47"/>
      <c r="C128" s="47"/>
      <c r="D128" s="47"/>
    </row>
    <row r="129" spans="2:4" x14ac:dyDescent="0.2">
      <c r="B129" s="47"/>
      <c r="C129" s="47"/>
      <c r="D129" s="47"/>
    </row>
    <row r="130" spans="2:4" x14ac:dyDescent="0.2">
      <c r="B130" s="47"/>
      <c r="C130" s="47"/>
      <c r="D130" s="47"/>
    </row>
    <row r="131" spans="2:4" x14ac:dyDescent="0.2">
      <c r="B131" s="47"/>
      <c r="C131" s="47"/>
      <c r="D131" s="47"/>
    </row>
    <row r="132" spans="2:4" x14ac:dyDescent="0.2">
      <c r="B132" s="47"/>
      <c r="C132" s="47"/>
      <c r="D132" s="47"/>
    </row>
    <row r="133" spans="2:4" x14ac:dyDescent="0.2">
      <c r="B133" s="47"/>
      <c r="C133" s="47"/>
      <c r="D133" s="47"/>
    </row>
    <row r="134" spans="2:4" x14ac:dyDescent="0.2">
      <c r="B134" s="47"/>
      <c r="C134" s="47"/>
      <c r="D134" s="47"/>
    </row>
    <row r="135" spans="2:4" x14ac:dyDescent="0.2">
      <c r="B135" s="47"/>
      <c r="C135" s="47"/>
      <c r="D135" s="47"/>
    </row>
    <row r="136" spans="2:4" x14ac:dyDescent="0.2">
      <c r="B136" s="47"/>
      <c r="C136" s="47"/>
      <c r="D136" s="47"/>
    </row>
    <row r="137" spans="2:4" x14ac:dyDescent="0.2">
      <c r="B137" s="47"/>
      <c r="C137" s="47"/>
      <c r="D137" s="47"/>
    </row>
    <row r="138" spans="2:4" x14ac:dyDescent="0.2">
      <c r="B138" s="47"/>
      <c r="C138" s="47"/>
      <c r="D138" s="47"/>
    </row>
    <row r="139" spans="2:4" x14ac:dyDescent="0.2">
      <c r="B139" s="47"/>
      <c r="C139" s="47"/>
      <c r="D139" s="47"/>
    </row>
    <row r="140" spans="2:4" x14ac:dyDescent="0.2">
      <c r="B140" s="47"/>
      <c r="C140" s="47"/>
      <c r="D140" s="47"/>
    </row>
    <row r="141" spans="2:4" x14ac:dyDescent="0.2">
      <c r="B141" s="47"/>
      <c r="C141" s="47"/>
      <c r="D141" s="47"/>
    </row>
    <row r="142" spans="2:4" x14ac:dyDescent="0.2">
      <c r="B142" s="47"/>
      <c r="C142" s="47"/>
      <c r="D142" s="47"/>
    </row>
    <row r="143" spans="2:4" x14ac:dyDescent="0.2">
      <c r="B143" s="47"/>
      <c r="C143" s="47"/>
      <c r="D143" s="47"/>
    </row>
    <row r="144" spans="2:4" x14ac:dyDescent="0.2">
      <c r="B144" s="47"/>
      <c r="C144" s="47"/>
      <c r="D144" s="47"/>
    </row>
    <row r="145" spans="2:4" x14ac:dyDescent="0.2">
      <c r="B145" s="47"/>
      <c r="C145" s="47"/>
      <c r="D145" s="47"/>
    </row>
    <row r="146" spans="2:4" x14ac:dyDescent="0.2">
      <c r="B146" s="47"/>
      <c r="C146" s="47"/>
      <c r="D146" s="47"/>
    </row>
    <row r="147" spans="2:4" x14ac:dyDescent="0.2">
      <c r="B147" s="47"/>
      <c r="C147" s="47"/>
      <c r="D147" s="47"/>
    </row>
    <row r="148" spans="2:4" x14ac:dyDescent="0.2">
      <c r="B148" s="47"/>
      <c r="C148" s="47"/>
      <c r="D148" s="47"/>
    </row>
    <row r="149" spans="2:4" x14ac:dyDescent="0.2">
      <c r="B149" s="47"/>
      <c r="C149" s="47"/>
      <c r="D149" s="47"/>
    </row>
    <row r="150" spans="2:4" x14ac:dyDescent="0.2">
      <c r="B150" s="47"/>
      <c r="C150" s="47"/>
      <c r="D150" s="47"/>
    </row>
    <row r="151" spans="2:4" x14ac:dyDescent="0.2">
      <c r="B151" s="47"/>
      <c r="C151" s="47"/>
      <c r="D151" s="47"/>
    </row>
    <row r="152" spans="2:4" x14ac:dyDescent="0.2">
      <c r="B152" s="47"/>
      <c r="C152" s="47"/>
      <c r="D152" s="47"/>
    </row>
    <row r="153" spans="2:4" x14ac:dyDescent="0.2">
      <c r="B153" s="47"/>
      <c r="C153" s="47"/>
      <c r="D153" s="47"/>
    </row>
    <row r="154" spans="2:4" x14ac:dyDescent="0.2">
      <c r="B154" s="47"/>
      <c r="C154" s="47"/>
      <c r="D154" s="47"/>
    </row>
    <row r="155" spans="2:4" x14ac:dyDescent="0.2">
      <c r="B155" s="47"/>
      <c r="C155" s="47"/>
      <c r="D155" s="47"/>
    </row>
    <row r="156" spans="2:4" x14ac:dyDescent="0.2">
      <c r="B156" s="47"/>
      <c r="C156" s="47"/>
      <c r="D156" s="47"/>
    </row>
    <row r="157" spans="2:4" x14ac:dyDescent="0.2">
      <c r="B157" s="47"/>
      <c r="C157" s="47"/>
      <c r="D157" s="47"/>
    </row>
    <row r="158" spans="2:4" x14ac:dyDescent="0.2">
      <c r="B158" s="47"/>
      <c r="C158" s="47"/>
      <c r="D158" s="47"/>
    </row>
    <row r="159" spans="2:4" x14ac:dyDescent="0.2">
      <c r="B159" s="47"/>
      <c r="C159" s="47"/>
      <c r="D159" s="47"/>
    </row>
    <row r="160" spans="2:4" x14ac:dyDescent="0.2">
      <c r="B160" s="47"/>
      <c r="C160" s="47"/>
      <c r="D160" s="47"/>
    </row>
    <row r="161" spans="2:4" x14ac:dyDescent="0.2">
      <c r="B161" s="47"/>
      <c r="C161" s="47"/>
      <c r="D161" s="47"/>
    </row>
    <row r="162" spans="2:4" x14ac:dyDescent="0.2">
      <c r="B162" s="47"/>
      <c r="C162" s="47"/>
      <c r="D162" s="47"/>
    </row>
    <row r="163" spans="2:4" x14ac:dyDescent="0.2">
      <c r="B163" s="47"/>
      <c r="C163" s="47"/>
      <c r="D163" s="47"/>
    </row>
    <row r="164" spans="2:4" x14ac:dyDescent="0.2">
      <c r="B164" s="47"/>
      <c r="C164" s="47"/>
      <c r="D164" s="47"/>
    </row>
    <row r="165" spans="2:4" x14ac:dyDescent="0.2">
      <c r="B165" s="47"/>
      <c r="C165" s="47"/>
      <c r="D165" s="47"/>
    </row>
    <row r="166" spans="2:4" x14ac:dyDescent="0.2">
      <c r="B166" s="47"/>
      <c r="C166" s="47"/>
      <c r="D166" s="47"/>
    </row>
    <row r="167" spans="2:4" x14ac:dyDescent="0.2">
      <c r="B167" s="47"/>
      <c r="C167" s="47"/>
      <c r="D167" s="47"/>
    </row>
    <row r="168" spans="2:4" x14ac:dyDescent="0.2">
      <c r="B168" s="47"/>
      <c r="C168" s="47"/>
      <c r="D168" s="47"/>
    </row>
    <row r="169" spans="2:4" x14ac:dyDescent="0.2">
      <c r="B169" s="47"/>
      <c r="C169" s="47"/>
      <c r="D169" s="47"/>
    </row>
    <row r="170" spans="2:4" x14ac:dyDescent="0.2">
      <c r="B170" s="47"/>
      <c r="C170" s="47"/>
      <c r="D170" s="47"/>
    </row>
    <row r="171" spans="2:4" x14ac:dyDescent="0.2">
      <c r="B171" s="47"/>
      <c r="C171" s="47"/>
      <c r="D171" s="47"/>
    </row>
    <row r="172" spans="2:4" x14ac:dyDescent="0.2">
      <c r="B172" s="47"/>
      <c r="C172" s="47"/>
      <c r="D172" s="47"/>
    </row>
    <row r="173" spans="2:4" x14ac:dyDescent="0.2">
      <c r="B173" s="47"/>
      <c r="C173" s="47"/>
      <c r="D173" s="47"/>
    </row>
    <row r="174" spans="2:4" x14ac:dyDescent="0.2">
      <c r="B174" s="47"/>
      <c r="C174" s="47"/>
      <c r="D174" s="47"/>
    </row>
    <row r="175" spans="2:4" x14ac:dyDescent="0.2">
      <c r="B175" s="47"/>
      <c r="C175" s="47"/>
      <c r="D175" s="47"/>
    </row>
    <row r="176" spans="2:4" x14ac:dyDescent="0.2">
      <c r="B176" s="47"/>
      <c r="C176" s="47"/>
      <c r="D176" s="47"/>
    </row>
    <row r="177" spans="2:4" x14ac:dyDescent="0.2">
      <c r="B177" s="47"/>
      <c r="C177" s="47"/>
      <c r="D177" s="47"/>
    </row>
    <row r="178" spans="2:4" x14ac:dyDescent="0.2">
      <c r="B178" s="47"/>
      <c r="C178" s="47"/>
      <c r="D178" s="47"/>
    </row>
    <row r="179" spans="2:4" x14ac:dyDescent="0.2">
      <c r="B179" s="47"/>
      <c r="C179" s="47"/>
      <c r="D179" s="47"/>
    </row>
    <row r="180" spans="2:4" x14ac:dyDescent="0.2">
      <c r="B180" s="47"/>
      <c r="C180" s="47"/>
      <c r="D180" s="47"/>
    </row>
    <row r="181" spans="2:4" x14ac:dyDescent="0.2">
      <c r="B181" s="47"/>
      <c r="C181" s="47"/>
      <c r="D181" s="47"/>
    </row>
    <row r="182" spans="2:4" x14ac:dyDescent="0.2">
      <c r="B182" s="47"/>
      <c r="C182" s="47"/>
      <c r="D182" s="47"/>
    </row>
    <row r="183" spans="2:4" x14ac:dyDescent="0.2">
      <c r="B183" s="47"/>
      <c r="C183" s="47"/>
      <c r="D183" s="47"/>
    </row>
    <row r="184" spans="2:4" x14ac:dyDescent="0.2">
      <c r="B184" s="47"/>
      <c r="C184" s="47"/>
      <c r="D184" s="47"/>
    </row>
    <row r="185" spans="2:4" x14ac:dyDescent="0.2">
      <c r="B185" s="47"/>
      <c r="C185" s="47"/>
      <c r="D185" s="47"/>
    </row>
    <row r="186" spans="2:4" x14ac:dyDescent="0.2">
      <c r="B186" s="47"/>
      <c r="C186" s="47"/>
      <c r="D186" s="47"/>
    </row>
    <row r="187" spans="2:4" x14ac:dyDescent="0.2">
      <c r="B187" s="47"/>
      <c r="C187" s="47"/>
      <c r="D187" s="47"/>
    </row>
    <row r="188" spans="2:4" x14ac:dyDescent="0.2">
      <c r="B188" s="47"/>
      <c r="C188" s="47"/>
      <c r="D188" s="47"/>
    </row>
    <row r="189" spans="2:4" x14ac:dyDescent="0.2">
      <c r="B189" s="47"/>
      <c r="C189" s="47"/>
      <c r="D189" s="47"/>
    </row>
    <row r="190" spans="2:4" x14ac:dyDescent="0.2">
      <c r="B190" s="47"/>
      <c r="C190" s="47"/>
      <c r="D190" s="47"/>
    </row>
    <row r="191" spans="2:4" x14ac:dyDescent="0.2">
      <c r="B191" s="47"/>
      <c r="C191" s="47"/>
      <c r="D191" s="47"/>
    </row>
    <row r="192" spans="2:4" x14ac:dyDescent="0.2">
      <c r="B192" s="47"/>
      <c r="C192" s="47"/>
      <c r="D192" s="47"/>
    </row>
    <row r="193" spans="2:4" x14ac:dyDescent="0.2">
      <c r="B193" s="47"/>
      <c r="C193" s="47"/>
      <c r="D193" s="47"/>
    </row>
    <row r="194" spans="2:4" x14ac:dyDescent="0.2">
      <c r="B194" s="47"/>
      <c r="C194" s="47"/>
      <c r="D194" s="47"/>
    </row>
    <row r="195" spans="2:4" x14ac:dyDescent="0.2">
      <c r="B195" s="47"/>
      <c r="C195" s="47"/>
      <c r="D195" s="47"/>
    </row>
    <row r="196" spans="2:4" x14ac:dyDescent="0.2">
      <c r="B196" s="47"/>
      <c r="C196" s="47"/>
      <c r="D196" s="47"/>
    </row>
    <row r="197" spans="2:4" x14ac:dyDescent="0.2">
      <c r="B197" s="47"/>
      <c r="C197" s="47"/>
      <c r="D197" s="47"/>
    </row>
    <row r="198" spans="2:4" x14ac:dyDescent="0.2">
      <c r="B198" s="47"/>
      <c r="C198" s="47"/>
      <c r="D198" s="47"/>
    </row>
    <row r="199" spans="2:4" x14ac:dyDescent="0.2">
      <c r="B199" s="47"/>
      <c r="C199" s="47"/>
      <c r="D199" s="47"/>
    </row>
    <row r="200" spans="2:4" x14ac:dyDescent="0.2">
      <c r="B200" s="47"/>
      <c r="C200" s="47"/>
      <c r="D200" s="47"/>
    </row>
    <row r="201" spans="2:4" x14ac:dyDescent="0.2">
      <c r="B201" s="47"/>
      <c r="C201" s="47"/>
      <c r="D201" s="47"/>
    </row>
    <row r="202" spans="2:4" x14ac:dyDescent="0.2">
      <c r="B202" s="47"/>
      <c r="C202" s="47"/>
      <c r="D202" s="47"/>
    </row>
    <row r="203" spans="2:4" x14ac:dyDescent="0.2">
      <c r="B203" s="47"/>
      <c r="C203" s="47"/>
      <c r="D203" s="47"/>
    </row>
    <row r="204" spans="2:4" x14ac:dyDescent="0.2">
      <c r="B204" s="47"/>
      <c r="C204" s="47"/>
      <c r="D204" s="47"/>
    </row>
    <row r="205" spans="2:4" x14ac:dyDescent="0.2">
      <c r="B205" s="47"/>
      <c r="C205" s="47"/>
      <c r="D205" s="47"/>
    </row>
    <row r="206" spans="2:4" x14ac:dyDescent="0.2">
      <c r="B206" s="47"/>
      <c r="C206" s="47"/>
      <c r="D206" s="47"/>
    </row>
    <row r="207" spans="2:4" x14ac:dyDescent="0.2">
      <c r="B207" s="47"/>
      <c r="C207" s="47"/>
      <c r="D207" s="47"/>
    </row>
    <row r="208" spans="2:4" x14ac:dyDescent="0.2">
      <c r="B208" s="47"/>
      <c r="C208" s="47"/>
      <c r="D208" s="47"/>
    </row>
    <row r="209" spans="2:4" x14ac:dyDescent="0.2">
      <c r="B209" s="47"/>
      <c r="C209" s="47"/>
      <c r="D209" s="47"/>
    </row>
    <row r="210" spans="2:4" x14ac:dyDescent="0.2">
      <c r="B210" s="47"/>
      <c r="C210" s="47"/>
      <c r="D210" s="47"/>
    </row>
    <row r="211" spans="2:4" x14ac:dyDescent="0.2">
      <c r="B211" s="47"/>
      <c r="C211" s="47"/>
      <c r="D211" s="47"/>
    </row>
    <row r="212" spans="2:4" x14ac:dyDescent="0.2">
      <c r="B212" s="47"/>
      <c r="C212" s="47"/>
      <c r="D212" s="47"/>
    </row>
    <row r="213" spans="2:4" x14ac:dyDescent="0.2">
      <c r="B213" s="47"/>
      <c r="C213" s="47"/>
      <c r="D213" s="47"/>
    </row>
    <row r="214" spans="2:4" x14ac:dyDescent="0.2">
      <c r="B214" s="47"/>
      <c r="C214" s="47"/>
      <c r="D214" s="47"/>
    </row>
    <row r="215" spans="2:4" x14ac:dyDescent="0.2">
      <c r="B215" s="47"/>
      <c r="C215" s="47"/>
      <c r="D215" s="47"/>
    </row>
    <row r="216" spans="2:4" x14ac:dyDescent="0.2">
      <c r="B216" s="47"/>
      <c r="C216" s="47"/>
      <c r="D216" s="47"/>
    </row>
    <row r="217" spans="2:4" x14ac:dyDescent="0.2">
      <c r="B217" s="47"/>
      <c r="C217" s="47"/>
      <c r="D217" s="47"/>
    </row>
    <row r="218" spans="2:4" x14ac:dyDescent="0.2">
      <c r="B218" s="47"/>
      <c r="C218" s="47"/>
      <c r="D218" s="47"/>
    </row>
    <row r="219" spans="2:4" x14ac:dyDescent="0.2">
      <c r="B219" s="47"/>
      <c r="C219" s="47"/>
      <c r="D219" s="47"/>
    </row>
    <row r="220" spans="2:4" x14ac:dyDescent="0.2">
      <c r="B220" s="47"/>
      <c r="C220" s="47"/>
      <c r="D220" s="47"/>
    </row>
    <row r="221" spans="2:4" x14ac:dyDescent="0.2">
      <c r="B221" s="47"/>
      <c r="C221" s="47"/>
      <c r="D221" s="47"/>
    </row>
    <row r="222" spans="2:4" x14ac:dyDescent="0.2">
      <c r="B222" s="47"/>
      <c r="C222" s="47"/>
      <c r="D222" s="47"/>
    </row>
    <row r="223" spans="2:4" x14ac:dyDescent="0.2">
      <c r="B223" s="47"/>
      <c r="C223" s="47"/>
      <c r="D223" s="47"/>
    </row>
    <row r="224" spans="2:4" x14ac:dyDescent="0.2">
      <c r="B224" s="47"/>
      <c r="C224" s="47"/>
      <c r="D224" s="47"/>
    </row>
    <row r="225" spans="2:4" x14ac:dyDescent="0.2">
      <c r="B225" s="47"/>
      <c r="C225" s="47"/>
      <c r="D225" s="47"/>
    </row>
    <row r="226" spans="2:4" x14ac:dyDescent="0.2">
      <c r="B226" s="47"/>
      <c r="C226" s="47"/>
      <c r="D226" s="47"/>
    </row>
    <row r="227" spans="2:4" x14ac:dyDescent="0.2">
      <c r="B227" s="47"/>
      <c r="C227" s="47"/>
      <c r="D227" s="47"/>
    </row>
    <row r="228" spans="2:4" x14ac:dyDescent="0.2">
      <c r="B228" s="47"/>
      <c r="C228" s="47"/>
      <c r="D228" s="47"/>
    </row>
    <row r="229" spans="2:4" x14ac:dyDescent="0.2">
      <c r="B229" s="47"/>
      <c r="C229" s="47"/>
      <c r="D229" s="47"/>
    </row>
    <row r="230" spans="2:4" x14ac:dyDescent="0.2">
      <c r="B230" s="47"/>
      <c r="C230" s="47"/>
      <c r="D230" s="47"/>
    </row>
    <row r="231" spans="2:4" x14ac:dyDescent="0.2">
      <c r="B231" s="47"/>
      <c r="C231" s="47"/>
      <c r="D231" s="47"/>
    </row>
    <row r="232" spans="2:4" x14ac:dyDescent="0.2">
      <c r="B232" s="47"/>
      <c r="C232" s="47"/>
      <c r="D232" s="47"/>
    </row>
    <row r="233" spans="2:4" x14ac:dyDescent="0.2">
      <c r="B233" s="47"/>
      <c r="C233" s="47"/>
      <c r="D233" s="47"/>
    </row>
    <row r="234" spans="2:4" x14ac:dyDescent="0.2">
      <c r="B234" s="47"/>
      <c r="C234" s="47"/>
      <c r="D234" s="47"/>
    </row>
    <row r="235" spans="2:4" x14ac:dyDescent="0.2">
      <c r="B235" s="47"/>
      <c r="C235" s="47"/>
      <c r="D235" s="47"/>
    </row>
    <row r="236" spans="2:4" x14ac:dyDescent="0.2">
      <c r="B236" s="47"/>
      <c r="C236" s="47"/>
      <c r="D236" s="47"/>
    </row>
    <row r="237" spans="2:4" x14ac:dyDescent="0.2">
      <c r="B237" s="47"/>
      <c r="C237" s="47"/>
      <c r="D237" s="47"/>
    </row>
    <row r="238" spans="2:4" x14ac:dyDescent="0.2">
      <c r="B238" s="47"/>
      <c r="C238" s="47"/>
      <c r="D238" s="47"/>
    </row>
    <row r="239" spans="2:4" x14ac:dyDescent="0.2">
      <c r="B239" s="47"/>
      <c r="C239" s="47"/>
      <c r="D239" s="47"/>
    </row>
    <row r="240" spans="2:4" x14ac:dyDescent="0.2">
      <c r="B240" s="47"/>
      <c r="C240" s="47"/>
      <c r="D240" s="47"/>
    </row>
    <row r="241" spans="2:4" x14ac:dyDescent="0.2">
      <c r="B241" s="47"/>
      <c r="C241" s="47"/>
      <c r="D241" s="47"/>
    </row>
    <row r="242" spans="2:4" x14ac:dyDescent="0.2">
      <c r="B242" s="47"/>
      <c r="C242" s="47"/>
      <c r="D242" s="47"/>
    </row>
    <row r="243" spans="2:4" x14ac:dyDescent="0.2">
      <c r="B243" s="47"/>
      <c r="C243" s="47"/>
      <c r="D243" s="47"/>
    </row>
    <row r="244" spans="2:4" x14ac:dyDescent="0.2">
      <c r="B244" s="47"/>
      <c r="C244" s="47"/>
      <c r="D244" s="47"/>
    </row>
    <row r="245" spans="2:4" x14ac:dyDescent="0.2">
      <c r="B245" s="47"/>
      <c r="C245" s="47"/>
      <c r="D245" s="47"/>
    </row>
    <row r="246" spans="2:4" x14ac:dyDescent="0.2">
      <c r="B246" s="47"/>
      <c r="C246" s="47"/>
      <c r="D246" s="47"/>
    </row>
    <row r="247" spans="2:4" x14ac:dyDescent="0.2">
      <c r="B247" s="47"/>
      <c r="C247" s="47"/>
      <c r="D247" s="47"/>
    </row>
    <row r="248" spans="2:4" x14ac:dyDescent="0.2">
      <c r="B248" s="47"/>
      <c r="C248" s="47"/>
      <c r="D248" s="47"/>
    </row>
    <row r="249" spans="2:4" x14ac:dyDescent="0.2">
      <c r="B249" s="47"/>
      <c r="C249" s="47"/>
      <c r="D249" s="47"/>
    </row>
    <row r="250" spans="2:4" x14ac:dyDescent="0.2">
      <c r="B250" s="47"/>
      <c r="C250" s="47"/>
      <c r="D250" s="47"/>
    </row>
    <row r="251" spans="2:4" x14ac:dyDescent="0.2">
      <c r="B251" s="47"/>
      <c r="C251" s="47"/>
      <c r="D251" s="47"/>
    </row>
    <row r="252" spans="2:4" x14ac:dyDescent="0.2">
      <c r="B252" s="47"/>
      <c r="C252" s="47"/>
      <c r="D252" s="47"/>
    </row>
    <row r="253" spans="2:4" x14ac:dyDescent="0.2">
      <c r="B253" s="47"/>
      <c r="C253" s="47"/>
      <c r="D253" s="47"/>
    </row>
    <row r="254" spans="2:4" x14ac:dyDescent="0.2">
      <c r="B254" s="47"/>
      <c r="C254" s="47"/>
      <c r="D254" s="47"/>
    </row>
    <row r="255" spans="2:4" x14ac:dyDescent="0.2">
      <c r="B255" s="47"/>
      <c r="C255" s="47"/>
      <c r="D255" s="47"/>
    </row>
    <row r="256" spans="2:4" x14ac:dyDescent="0.2">
      <c r="B256" s="47"/>
      <c r="C256" s="47"/>
      <c r="D256" s="47"/>
    </row>
    <row r="257" spans="2:4" x14ac:dyDescent="0.2">
      <c r="B257" s="47"/>
      <c r="C257" s="47"/>
      <c r="D257" s="47"/>
    </row>
    <row r="258" spans="2:4" x14ac:dyDescent="0.2">
      <c r="B258" s="47"/>
      <c r="C258" s="47"/>
      <c r="D258" s="47"/>
    </row>
    <row r="259" spans="2:4" x14ac:dyDescent="0.2">
      <c r="B259" s="47"/>
      <c r="C259" s="47"/>
      <c r="D259" s="47"/>
    </row>
    <row r="260" spans="2:4" x14ac:dyDescent="0.2">
      <c r="B260" s="47"/>
      <c r="C260" s="47"/>
      <c r="D260" s="47"/>
    </row>
    <row r="261" spans="2:4" x14ac:dyDescent="0.2">
      <c r="B261" s="47"/>
      <c r="C261" s="47"/>
      <c r="D261" s="47"/>
    </row>
    <row r="262" spans="2:4" x14ac:dyDescent="0.2">
      <c r="B262" s="47"/>
      <c r="C262" s="47"/>
      <c r="D262" s="47"/>
    </row>
    <row r="263" spans="2:4" x14ac:dyDescent="0.2">
      <c r="B263" s="47"/>
      <c r="C263" s="47"/>
      <c r="D263" s="47"/>
    </row>
    <row r="264" spans="2:4" x14ac:dyDescent="0.2">
      <c r="B264" s="47"/>
      <c r="C264" s="47"/>
      <c r="D264" s="47"/>
    </row>
    <row r="265" spans="2:4" x14ac:dyDescent="0.2">
      <c r="B265" s="47"/>
      <c r="C265" s="47"/>
      <c r="D265" s="47"/>
    </row>
    <row r="266" spans="2:4" x14ac:dyDescent="0.2">
      <c r="B266" s="47"/>
      <c r="C266" s="47"/>
      <c r="D266" s="47"/>
    </row>
    <row r="267" spans="2:4" x14ac:dyDescent="0.2">
      <c r="B267" s="47"/>
      <c r="C267" s="47"/>
      <c r="D267" s="47"/>
    </row>
    <row r="268" spans="2:4" x14ac:dyDescent="0.2">
      <c r="B268" s="47"/>
      <c r="C268" s="47"/>
      <c r="D268" s="47"/>
    </row>
    <row r="269" spans="2:4" x14ac:dyDescent="0.2">
      <c r="B269" s="47"/>
      <c r="C269" s="47"/>
      <c r="D269" s="47"/>
    </row>
    <row r="270" spans="2:4" x14ac:dyDescent="0.2">
      <c r="B270" s="47"/>
      <c r="C270" s="47"/>
      <c r="D270" s="47"/>
    </row>
    <row r="271" spans="2:4" x14ac:dyDescent="0.2">
      <c r="B271" s="47"/>
      <c r="C271" s="47"/>
      <c r="D271" s="47"/>
    </row>
    <row r="272" spans="2:4" x14ac:dyDescent="0.2">
      <c r="B272" s="47"/>
      <c r="C272" s="47"/>
      <c r="D272" s="47"/>
    </row>
    <row r="273" spans="2:4" x14ac:dyDescent="0.2">
      <c r="B273" s="47"/>
      <c r="C273" s="47"/>
      <c r="D273" s="47"/>
    </row>
    <row r="274" spans="2:4" x14ac:dyDescent="0.2">
      <c r="B274" s="47"/>
      <c r="C274" s="47"/>
      <c r="D274" s="47"/>
    </row>
    <row r="275" spans="2:4" x14ac:dyDescent="0.2">
      <c r="B275" s="47"/>
      <c r="C275" s="47"/>
      <c r="D275" s="47"/>
    </row>
    <row r="276" spans="2:4" x14ac:dyDescent="0.2">
      <c r="B276" s="47"/>
      <c r="C276" s="47"/>
      <c r="D276" s="47"/>
    </row>
    <row r="277" spans="2:4" x14ac:dyDescent="0.2">
      <c r="B277" s="47"/>
      <c r="C277" s="47"/>
      <c r="D277" s="47"/>
    </row>
    <row r="278" spans="2:4" x14ac:dyDescent="0.2">
      <c r="B278" s="47"/>
      <c r="C278" s="47"/>
      <c r="D278" s="47"/>
    </row>
    <row r="279" spans="2:4" x14ac:dyDescent="0.2">
      <c r="B279" s="47"/>
      <c r="C279" s="47"/>
      <c r="D279" s="47"/>
    </row>
    <row r="280" spans="2:4" x14ac:dyDescent="0.2">
      <c r="B280" s="47"/>
      <c r="C280" s="47"/>
      <c r="D280" s="47"/>
    </row>
    <row r="281" spans="2:4" x14ac:dyDescent="0.2">
      <c r="B281" s="47"/>
      <c r="C281" s="47"/>
      <c r="D281" s="47"/>
    </row>
    <row r="282" spans="2:4" x14ac:dyDescent="0.2">
      <c r="B282" s="47"/>
      <c r="C282" s="47"/>
      <c r="D282" s="47"/>
    </row>
    <row r="283" spans="2:4" x14ac:dyDescent="0.2">
      <c r="B283" s="47"/>
      <c r="C283" s="47"/>
      <c r="D283" s="47"/>
    </row>
    <row r="284" spans="2:4" x14ac:dyDescent="0.2">
      <c r="B284" s="47"/>
      <c r="C284" s="47"/>
      <c r="D284" s="47"/>
    </row>
    <row r="285" spans="2:4" x14ac:dyDescent="0.2">
      <c r="B285" s="47"/>
      <c r="C285" s="47"/>
      <c r="D285" s="47"/>
    </row>
    <row r="286" spans="2:4" x14ac:dyDescent="0.2">
      <c r="B286" s="47"/>
      <c r="C286" s="47"/>
      <c r="D286" s="47"/>
    </row>
    <row r="287" spans="2:4" x14ac:dyDescent="0.2">
      <c r="B287" s="47"/>
      <c r="C287" s="47"/>
      <c r="D287" s="47"/>
    </row>
    <row r="288" spans="2:4" x14ac:dyDescent="0.2">
      <c r="B288" s="47"/>
      <c r="C288" s="47"/>
      <c r="D288" s="47"/>
    </row>
    <row r="289" spans="2:4" x14ac:dyDescent="0.2">
      <c r="B289" s="47"/>
      <c r="C289" s="47"/>
      <c r="D289" s="47"/>
    </row>
    <row r="290" spans="2:4" x14ac:dyDescent="0.2">
      <c r="B290" s="47"/>
      <c r="C290" s="47"/>
      <c r="D290" s="47"/>
    </row>
    <row r="291" spans="2:4" x14ac:dyDescent="0.2">
      <c r="B291" s="47"/>
      <c r="C291" s="47"/>
      <c r="D291" s="47"/>
    </row>
    <row r="292" spans="2:4" x14ac:dyDescent="0.2">
      <c r="B292" s="47"/>
      <c r="C292" s="47"/>
      <c r="D292" s="47"/>
    </row>
    <row r="293" spans="2:4" x14ac:dyDescent="0.2">
      <c r="B293" s="47"/>
      <c r="C293" s="47"/>
      <c r="D293" s="47"/>
    </row>
    <row r="294" spans="2:4" x14ac:dyDescent="0.2">
      <c r="B294" s="47"/>
      <c r="C294" s="47"/>
      <c r="D294" s="47"/>
    </row>
    <row r="295" spans="2:4" x14ac:dyDescent="0.2">
      <c r="B295" s="47"/>
      <c r="C295" s="47"/>
      <c r="D295" s="47"/>
    </row>
    <row r="296" spans="2:4" x14ac:dyDescent="0.2">
      <c r="B296" s="47"/>
      <c r="C296" s="47"/>
      <c r="D296" s="47"/>
    </row>
    <row r="297" spans="2:4" x14ac:dyDescent="0.2">
      <c r="B297" s="47"/>
      <c r="C297" s="47"/>
      <c r="D297" s="47"/>
    </row>
    <row r="298" spans="2:4" x14ac:dyDescent="0.2">
      <c r="B298" s="47"/>
      <c r="C298" s="47"/>
      <c r="D298" s="47"/>
    </row>
    <row r="299" spans="2:4" x14ac:dyDescent="0.2">
      <c r="B299" s="47"/>
      <c r="C299" s="47"/>
      <c r="D299" s="47"/>
    </row>
    <row r="300" spans="2:4" x14ac:dyDescent="0.2">
      <c r="B300" s="47"/>
      <c r="C300" s="47"/>
      <c r="D300" s="47"/>
    </row>
    <row r="301" spans="2:4" x14ac:dyDescent="0.2">
      <c r="B301" s="47"/>
      <c r="C301" s="47"/>
      <c r="D301" s="47"/>
    </row>
    <row r="302" spans="2:4" x14ac:dyDescent="0.2">
      <c r="B302" s="47"/>
      <c r="C302" s="47"/>
      <c r="D302" s="47"/>
    </row>
    <row r="303" spans="2:4" x14ac:dyDescent="0.2">
      <c r="B303" s="47"/>
      <c r="C303" s="47"/>
      <c r="D303" s="47"/>
    </row>
    <row r="304" spans="2:4" x14ac:dyDescent="0.2">
      <c r="B304" s="47"/>
      <c r="C304" s="47"/>
      <c r="D304" s="47"/>
    </row>
    <row r="305" spans="2:4" x14ac:dyDescent="0.2">
      <c r="B305" s="47"/>
      <c r="C305" s="47"/>
      <c r="D305" s="47"/>
    </row>
    <row r="306" spans="2:4" x14ac:dyDescent="0.2">
      <c r="B306" s="47"/>
      <c r="C306" s="47"/>
      <c r="D306" s="47"/>
    </row>
    <row r="307" spans="2:4" x14ac:dyDescent="0.2">
      <c r="B307" s="47"/>
      <c r="C307" s="47"/>
      <c r="D307" s="47"/>
    </row>
    <row r="308" spans="2:4" x14ac:dyDescent="0.2">
      <c r="B308" s="47"/>
      <c r="C308" s="47"/>
      <c r="D308" s="47"/>
    </row>
    <row r="309" spans="2:4" x14ac:dyDescent="0.2">
      <c r="B309" s="47"/>
      <c r="C309" s="47"/>
      <c r="D309" s="47"/>
    </row>
    <row r="310" spans="2:4" x14ac:dyDescent="0.2">
      <c r="B310" s="47"/>
      <c r="C310" s="47"/>
      <c r="D310" s="47"/>
    </row>
    <row r="311" spans="2:4" x14ac:dyDescent="0.2">
      <c r="B311" s="47"/>
      <c r="C311" s="47"/>
      <c r="D311" s="47"/>
    </row>
    <row r="312" spans="2:4" x14ac:dyDescent="0.2">
      <c r="B312" s="47"/>
      <c r="C312" s="47"/>
      <c r="D312" s="47"/>
    </row>
    <row r="313" spans="2:4" x14ac:dyDescent="0.2">
      <c r="B313" s="47"/>
      <c r="C313" s="47"/>
      <c r="D313" s="47"/>
    </row>
    <row r="314" spans="2:4" x14ac:dyDescent="0.2">
      <c r="B314" s="47"/>
      <c r="C314" s="47"/>
      <c r="D314" s="47"/>
    </row>
    <row r="315" spans="2:4" x14ac:dyDescent="0.2">
      <c r="B315" s="47"/>
      <c r="C315" s="47"/>
      <c r="D315" s="47"/>
    </row>
    <row r="316" spans="2:4" x14ac:dyDescent="0.2">
      <c r="B316" s="47"/>
      <c r="C316" s="47"/>
      <c r="D316" s="47"/>
    </row>
    <row r="317" spans="2:4" x14ac:dyDescent="0.2">
      <c r="B317" s="47"/>
      <c r="C317" s="47"/>
      <c r="D317" s="47"/>
    </row>
    <row r="318" spans="2:4" x14ac:dyDescent="0.2">
      <c r="B318" s="47"/>
      <c r="C318" s="47"/>
      <c r="D318" s="47"/>
    </row>
    <row r="319" spans="2:4" x14ac:dyDescent="0.2">
      <c r="B319" s="47"/>
      <c r="C319" s="47"/>
      <c r="D319" s="47"/>
    </row>
    <row r="320" spans="2:4" x14ac:dyDescent="0.2">
      <c r="B320" s="47"/>
      <c r="C320" s="47"/>
      <c r="D320" s="47"/>
    </row>
    <row r="321" spans="2:4" x14ac:dyDescent="0.2">
      <c r="B321" s="47"/>
      <c r="C321" s="47"/>
      <c r="D321" s="47"/>
    </row>
    <row r="322" spans="2:4" x14ac:dyDescent="0.2">
      <c r="B322" s="47"/>
      <c r="C322" s="47"/>
      <c r="D322" s="47"/>
    </row>
    <row r="323" spans="2:4" x14ac:dyDescent="0.2">
      <c r="B323" s="47"/>
      <c r="C323" s="47"/>
      <c r="D323" s="47"/>
    </row>
    <row r="324" spans="2:4" x14ac:dyDescent="0.2">
      <c r="B324" s="47"/>
      <c r="C324" s="47"/>
      <c r="D324" s="47"/>
    </row>
    <row r="325" spans="2:4" x14ac:dyDescent="0.2">
      <c r="B325" s="47"/>
      <c r="C325" s="47"/>
      <c r="D325" s="47"/>
    </row>
    <row r="326" spans="2:4" x14ac:dyDescent="0.2">
      <c r="B326" s="47"/>
      <c r="C326" s="47"/>
      <c r="D326" s="47"/>
    </row>
    <row r="327" spans="2:4" x14ac:dyDescent="0.2">
      <c r="B327" s="47"/>
      <c r="C327" s="47"/>
      <c r="D327" s="47"/>
    </row>
    <row r="328" spans="2:4" x14ac:dyDescent="0.2">
      <c r="B328" s="47"/>
      <c r="C328" s="47"/>
      <c r="D328" s="47"/>
    </row>
    <row r="329" spans="2:4" x14ac:dyDescent="0.2">
      <c r="B329" s="47"/>
      <c r="C329" s="47"/>
      <c r="D329" s="47"/>
    </row>
    <row r="330" spans="2:4" x14ac:dyDescent="0.2">
      <c r="B330" s="47"/>
      <c r="C330" s="47"/>
      <c r="D330" s="47"/>
    </row>
    <row r="331" spans="2:4" x14ac:dyDescent="0.2">
      <c r="B331" s="47"/>
      <c r="C331" s="47"/>
      <c r="D331" s="47"/>
    </row>
    <row r="332" spans="2:4" x14ac:dyDescent="0.2">
      <c r="B332" s="47"/>
      <c r="C332" s="47"/>
      <c r="D332" s="47"/>
    </row>
    <row r="333" spans="2:4" x14ac:dyDescent="0.2">
      <c r="B333" s="47"/>
      <c r="C333" s="47"/>
      <c r="D333" s="47"/>
    </row>
    <row r="334" spans="2:4" x14ac:dyDescent="0.2">
      <c r="B334" s="47"/>
      <c r="C334" s="47"/>
      <c r="D334" s="47"/>
    </row>
    <row r="335" spans="2:4" x14ac:dyDescent="0.2">
      <c r="B335" s="47"/>
      <c r="C335" s="47"/>
      <c r="D335" s="47"/>
    </row>
    <row r="336" spans="2:4" x14ac:dyDescent="0.2">
      <c r="B336" s="47"/>
      <c r="C336" s="47"/>
      <c r="D336" s="47"/>
    </row>
    <row r="337" spans="2:4" x14ac:dyDescent="0.2">
      <c r="B337" s="47"/>
      <c r="C337" s="47"/>
      <c r="D337" s="47"/>
    </row>
    <row r="338" spans="2:4" x14ac:dyDescent="0.2">
      <c r="B338" s="47"/>
      <c r="C338" s="47"/>
      <c r="D338" s="47"/>
    </row>
    <row r="339" spans="2:4" x14ac:dyDescent="0.2">
      <c r="B339" s="47"/>
      <c r="C339" s="47"/>
      <c r="D339" s="47"/>
    </row>
    <row r="340" spans="2:4" x14ac:dyDescent="0.2">
      <c r="B340" s="47"/>
      <c r="C340" s="47"/>
      <c r="D340" s="47"/>
    </row>
    <row r="341" spans="2:4" x14ac:dyDescent="0.2">
      <c r="B341" s="47"/>
      <c r="C341" s="47"/>
      <c r="D341" s="47"/>
    </row>
    <row r="342" spans="2:4" x14ac:dyDescent="0.2">
      <c r="B342" s="47"/>
      <c r="C342" s="47"/>
      <c r="D342" s="47"/>
    </row>
    <row r="343" spans="2:4" x14ac:dyDescent="0.2">
      <c r="B343" s="47"/>
      <c r="C343" s="47"/>
      <c r="D343" s="47"/>
    </row>
    <row r="344" spans="2:4" x14ac:dyDescent="0.2">
      <c r="B344" s="47"/>
      <c r="C344" s="47"/>
      <c r="D344" s="47"/>
    </row>
    <row r="345" spans="2:4" x14ac:dyDescent="0.2">
      <c r="B345" s="47"/>
      <c r="C345" s="47"/>
      <c r="D345" s="47"/>
    </row>
    <row r="346" spans="2:4" x14ac:dyDescent="0.2">
      <c r="B346" s="47"/>
      <c r="C346" s="47"/>
      <c r="D346" s="47"/>
    </row>
    <row r="347" spans="2:4" x14ac:dyDescent="0.2">
      <c r="B347" s="47"/>
      <c r="C347" s="47"/>
      <c r="D347" s="47"/>
    </row>
    <row r="348" spans="2:4" x14ac:dyDescent="0.2">
      <c r="B348" s="47"/>
      <c r="C348" s="47"/>
      <c r="D348" s="47"/>
    </row>
    <row r="349" spans="2:4" x14ac:dyDescent="0.2">
      <c r="B349" s="47"/>
      <c r="C349" s="47"/>
      <c r="D349" s="47"/>
    </row>
    <row r="350" spans="2:4" x14ac:dyDescent="0.2">
      <c r="B350" s="47"/>
      <c r="C350" s="47"/>
      <c r="D350" s="47"/>
    </row>
    <row r="351" spans="2:4" x14ac:dyDescent="0.2">
      <c r="B351" s="47"/>
      <c r="C351" s="47"/>
      <c r="D351" s="47"/>
    </row>
    <row r="352" spans="2:4" x14ac:dyDescent="0.2">
      <c r="B352" s="47"/>
      <c r="C352" s="47"/>
      <c r="D352" s="47"/>
    </row>
    <row r="353" spans="2:4" x14ac:dyDescent="0.2">
      <c r="B353" s="47"/>
      <c r="C353" s="47"/>
      <c r="D353" s="47"/>
    </row>
    <row r="354" spans="2:4" x14ac:dyDescent="0.2">
      <c r="B354" s="47"/>
      <c r="C354" s="47"/>
      <c r="D354" s="47"/>
    </row>
    <row r="355" spans="2:4" x14ac:dyDescent="0.2">
      <c r="B355" s="47"/>
      <c r="C355" s="47"/>
      <c r="D355" s="47"/>
    </row>
    <row r="356" spans="2:4" x14ac:dyDescent="0.2">
      <c r="B356" s="47"/>
      <c r="C356" s="47"/>
      <c r="D356" s="47"/>
    </row>
    <row r="357" spans="2:4" x14ac:dyDescent="0.2">
      <c r="B357" s="47"/>
      <c r="C357" s="47"/>
      <c r="D357" s="47"/>
    </row>
    <row r="358" spans="2:4" x14ac:dyDescent="0.2">
      <c r="B358" s="47"/>
      <c r="C358" s="47"/>
      <c r="D358" s="47"/>
    </row>
    <row r="359" spans="2:4" x14ac:dyDescent="0.2">
      <c r="B359" s="47"/>
      <c r="C359" s="47"/>
      <c r="D359" s="47"/>
    </row>
    <row r="360" spans="2:4" x14ac:dyDescent="0.2">
      <c r="B360" s="47"/>
      <c r="C360" s="47"/>
      <c r="D360" s="47"/>
    </row>
    <row r="361" spans="2:4" x14ac:dyDescent="0.2">
      <c r="B361" s="47"/>
      <c r="C361" s="47"/>
      <c r="D361" s="47"/>
    </row>
    <row r="362" spans="2:4" x14ac:dyDescent="0.2">
      <c r="B362" s="47"/>
      <c r="C362" s="47"/>
      <c r="D362" s="47"/>
    </row>
    <row r="363" spans="2:4" x14ac:dyDescent="0.2">
      <c r="B363" s="47"/>
      <c r="C363" s="47"/>
      <c r="D363" s="47"/>
    </row>
    <row r="364" spans="2:4" x14ac:dyDescent="0.2">
      <c r="B364" s="47"/>
      <c r="C364" s="47"/>
      <c r="D364" s="47"/>
    </row>
    <row r="365" spans="2:4" x14ac:dyDescent="0.2">
      <c r="B365" s="47"/>
      <c r="C365" s="47"/>
      <c r="D365" s="47"/>
    </row>
    <row r="366" spans="2:4" x14ac:dyDescent="0.2">
      <c r="B366" s="47"/>
      <c r="C366" s="47"/>
      <c r="D366" s="47"/>
    </row>
    <row r="367" spans="2:4" x14ac:dyDescent="0.2">
      <c r="B367" s="47"/>
      <c r="C367" s="47"/>
      <c r="D367" s="47"/>
    </row>
    <row r="368" spans="2:4" x14ac:dyDescent="0.2">
      <c r="B368" s="47"/>
      <c r="C368" s="47"/>
      <c r="D368" s="47"/>
    </row>
    <row r="369" spans="2:4" x14ac:dyDescent="0.2">
      <c r="B369" s="47"/>
      <c r="C369" s="47"/>
      <c r="D369" s="47"/>
    </row>
    <row r="370" spans="2:4" x14ac:dyDescent="0.2">
      <c r="B370" s="47"/>
      <c r="C370" s="47"/>
      <c r="D370" s="47"/>
    </row>
    <row r="371" spans="2:4" x14ac:dyDescent="0.2">
      <c r="B371" s="47"/>
      <c r="C371" s="47"/>
      <c r="D371" s="47"/>
    </row>
    <row r="372" spans="2:4" x14ac:dyDescent="0.2">
      <c r="B372" s="47"/>
      <c r="C372" s="47"/>
      <c r="D372" s="47"/>
    </row>
    <row r="373" spans="2:4" x14ac:dyDescent="0.2">
      <c r="B373" s="47"/>
      <c r="C373" s="47"/>
      <c r="D373" s="47"/>
    </row>
    <row r="374" spans="2:4" x14ac:dyDescent="0.2">
      <c r="B374" s="47"/>
      <c r="C374" s="47"/>
      <c r="D374" s="47"/>
    </row>
    <row r="375" spans="2:4" x14ac:dyDescent="0.2">
      <c r="B375" s="47"/>
      <c r="C375" s="47"/>
      <c r="D375" s="47"/>
    </row>
    <row r="376" spans="2:4" x14ac:dyDescent="0.2">
      <c r="B376" s="47"/>
      <c r="C376" s="47"/>
      <c r="D376" s="47"/>
    </row>
    <row r="377" spans="2:4" x14ac:dyDescent="0.2">
      <c r="B377" s="47"/>
      <c r="C377" s="47"/>
      <c r="D377" s="47"/>
    </row>
    <row r="378" spans="2:4" x14ac:dyDescent="0.2">
      <c r="B378" s="47"/>
      <c r="C378" s="47"/>
      <c r="D378" s="47"/>
    </row>
    <row r="379" spans="2:4" x14ac:dyDescent="0.2">
      <c r="B379" s="47"/>
      <c r="C379" s="47"/>
      <c r="D379" s="47"/>
    </row>
    <row r="380" spans="2:4" x14ac:dyDescent="0.2">
      <c r="B380" s="47"/>
      <c r="C380" s="47"/>
      <c r="D380" s="47"/>
    </row>
    <row r="381" spans="2:4" x14ac:dyDescent="0.2">
      <c r="B381" s="47"/>
      <c r="C381" s="47"/>
      <c r="D381" s="47"/>
    </row>
    <row r="382" spans="2:4" x14ac:dyDescent="0.2">
      <c r="B382" s="47"/>
      <c r="C382" s="47"/>
      <c r="D382" s="47"/>
    </row>
    <row r="383" spans="2:4" x14ac:dyDescent="0.2">
      <c r="B383" s="47"/>
      <c r="C383" s="47"/>
      <c r="D383" s="47"/>
    </row>
    <row r="384" spans="2:4" x14ac:dyDescent="0.2">
      <c r="B384" s="47"/>
      <c r="C384" s="47"/>
      <c r="D384" s="47"/>
    </row>
    <row r="385" spans="2:4" x14ac:dyDescent="0.2">
      <c r="B385" s="47"/>
      <c r="C385" s="47"/>
      <c r="D385" s="47"/>
    </row>
    <row r="386" spans="2:4" x14ac:dyDescent="0.2">
      <c r="B386" s="47"/>
      <c r="C386" s="47"/>
      <c r="D386" s="47"/>
    </row>
    <row r="387" spans="2:4" x14ac:dyDescent="0.2">
      <c r="B387" s="47"/>
      <c r="C387" s="47"/>
      <c r="D387" s="47"/>
    </row>
    <row r="388" spans="2:4" x14ac:dyDescent="0.2">
      <c r="B388" s="47"/>
      <c r="C388" s="47"/>
      <c r="D388" s="47"/>
    </row>
    <row r="389" spans="2:4" x14ac:dyDescent="0.2">
      <c r="B389" s="47"/>
      <c r="C389" s="47"/>
      <c r="D389" s="47"/>
    </row>
    <row r="390" spans="2:4" x14ac:dyDescent="0.2">
      <c r="B390" s="47"/>
      <c r="C390" s="47"/>
      <c r="D390" s="47"/>
    </row>
    <row r="391" spans="2:4" x14ac:dyDescent="0.2">
      <c r="B391" s="47"/>
      <c r="C391" s="47"/>
      <c r="D391" s="47"/>
    </row>
    <row r="392" spans="2:4" x14ac:dyDescent="0.2">
      <c r="B392" s="47"/>
      <c r="C392" s="47"/>
      <c r="D392" s="47"/>
    </row>
    <row r="393" spans="2:4" x14ac:dyDescent="0.2">
      <c r="B393" s="47"/>
      <c r="C393" s="47"/>
      <c r="D393" s="47"/>
    </row>
    <row r="394" spans="2:4" x14ac:dyDescent="0.2">
      <c r="B394" s="47"/>
      <c r="C394" s="47"/>
      <c r="D394" s="47"/>
    </row>
    <row r="395" spans="2:4" x14ac:dyDescent="0.2">
      <c r="B395" s="47"/>
      <c r="C395" s="47"/>
      <c r="D395" s="47"/>
    </row>
    <row r="396" spans="2:4" x14ac:dyDescent="0.2">
      <c r="B396" s="47"/>
      <c r="C396" s="47"/>
      <c r="D396" s="47"/>
    </row>
    <row r="397" spans="2:4" x14ac:dyDescent="0.2">
      <c r="B397" s="47"/>
      <c r="C397" s="47"/>
      <c r="D397" s="47"/>
    </row>
    <row r="398" spans="2:4" x14ac:dyDescent="0.2">
      <c r="B398" s="47"/>
      <c r="C398" s="47"/>
      <c r="D398" s="47"/>
    </row>
    <row r="399" spans="2:4" x14ac:dyDescent="0.2">
      <c r="B399" s="47"/>
      <c r="C399" s="47"/>
      <c r="D399" s="47"/>
    </row>
    <row r="400" spans="2:4" x14ac:dyDescent="0.2">
      <c r="B400" s="47"/>
      <c r="C400" s="47"/>
      <c r="D400" s="47"/>
    </row>
    <row r="401" spans="2:4" x14ac:dyDescent="0.2">
      <c r="B401" s="47"/>
      <c r="C401" s="47"/>
      <c r="D401" s="47"/>
    </row>
    <row r="402" spans="2:4" x14ac:dyDescent="0.2">
      <c r="B402" s="47"/>
      <c r="C402" s="47"/>
      <c r="D402" s="47"/>
    </row>
    <row r="403" spans="2:4" x14ac:dyDescent="0.2">
      <c r="B403" s="47"/>
      <c r="C403" s="47"/>
      <c r="D403" s="47"/>
    </row>
    <row r="404" spans="2:4" x14ac:dyDescent="0.2">
      <c r="B404" s="47"/>
      <c r="C404" s="47"/>
      <c r="D404" s="47"/>
    </row>
    <row r="405" spans="2:4" x14ac:dyDescent="0.2">
      <c r="B405" s="47"/>
      <c r="C405" s="47"/>
      <c r="D405" s="47"/>
    </row>
    <row r="406" spans="2:4" x14ac:dyDescent="0.2">
      <c r="B406" s="47"/>
      <c r="C406" s="47"/>
      <c r="D406" s="47"/>
    </row>
    <row r="407" spans="2:4" x14ac:dyDescent="0.2">
      <c r="B407" s="47"/>
      <c r="C407" s="47"/>
      <c r="D407" s="47"/>
    </row>
    <row r="408" spans="2:4" x14ac:dyDescent="0.2">
      <c r="B408" s="47"/>
      <c r="C408" s="47"/>
      <c r="D408" s="47"/>
    </row>
    <row r="409" spans="2:4" x14ac:dyDescent="0.2">
      <c r="B409" s="47"/>
      <c r="C409" s="47"/>
      <c r="D409" s="47"/>
    </row>
    <row r="410" spans="2:4" x14ac:dyDescent="0.2">
      <c r="B410" s="47"/>
      <c r="C410" s="47"/>
      <c r="D410" s="47"/>
    </row>
    <row r="411" spans="2:4" x14ac:dyDescent="0.2">
      <c r="B411" s="47"/>
      <c r="C411" s="47"/>
      <c r="D411" s="47"/>
    </row>
    <row r="412" spans="2:4" x14ac:dyDescent="0.2">
      <c r="B412" s="47"/>
      <c r="C412" s="47"/>
      <c r="D412" s="47"/>
    </row>
    <row r="413" spans="2:4" x14ac:dyDescent="0.2">
      <c r="B413" s="47"/>
      <c r="C413" s="47"/>
      <c r="D413" s="47"/>
    </row>
    <row r="414" spans="2:4" x14ac:dyDescent="0.2">
      <c r="B414" s="47"/>
      <c r="C414" s="47"/>
      <c r="D414" s="47"/>
    </row>
    <row r="415" spans="2:4" x14ac:dyDescent="0.2">
      <c r="B415" s="47"/>
      <c r="C415" s="47"/>
      <c r="D415" s="47"/>
    </row>
    <row r="416" spans="2:4" x14ac:dyDescent="0.2">
      <c r="B416" s="47"/>
      <c r="C416" s="47"/>
      <c r="D416" s="47"/>
    </row>
    <row r="417" spans="2:4" x14ac:dyDescent="0.2">
      <c r="B417" s="47"/>
      <c r="C417" s="47"/>
      <c r="D417" s="47"/>
    </row>
    <row r="418" spans="2:4" x14ac:dyDescent="0.2">
      <c r="B418" s="47"/>
      <c r="C418" s="47"/>
      <c r="D418" s="47"/>
    </row>
    <row r="419" spans="2:4" x14ac:dyDescent="0.2">
      <c r="B419" s="47"/>
      <c r="C419" s="47"/>
      <c r="D419" s="47"/>
    </row>
    <row r="420" spans="2:4" x14ac:dyDescent="0.2">
      <c r="B420" s="47"/>
      <c r="C420" s="47"/>
      <c r="D420" s="47"/>
    </row>
    <row r="421" spans="2:4" x14ac:dyDescent="0.2">
      <c r="B421" s="47"/>
      <c r="C421" s="47"/>
      <c r="D421" s="47"/>
    </row>
    <row r="422" spans="2:4" x14ac:dyDescent="0.2">
      <c r="B422" s="47"/>
      <c r="C422" s="47"/>
      <c r="D422" s="47"/>
    </row>
    <row r="423" spans="2:4" x14ac:dyDescent="0.2">
      <c r="B423" s="47"/>
      <c r="C423" s="47"/>
      <c r="D423" s="47"/>
    </row>
    <row r="424" spans="2:4" x14ac:dyDescent="0.2">
      <c r="B424" s="47"/>
      <c r="C424" s="47"/>
      <c r="D424" s="47"/>
    </row>
    <row r="425" spans="2:4" x14ac:dyDescent="0.2">
      <c r="B425" s="47"/>
      <c r="C425" s="47"/>
      <c r="D425" s="47"/>
    </row>
    <row r="426" spans="2:4" x14ac:dyDescent="0.2">
      <c r="B426" s="47"/>
      <c r="C426" s="47"/>
      <c r="D426" s="47"/>
    </row>
    <row r="427" spans="2:4" x14ac:dyDescent="0.2">
      <c r="B427" s="47"/>
      <c r="C427" s="47"/>
      <c r="D427" s="47"/>
    </row>
    <row r="428" spans="2:4" x14ac:dyDescent="0.2">
      <c r="B428" s="47"/>
      <c r="C428" s="47"/>
      <c r="D428" s="47"/>
    </row>
    <row r="429" spans="2:4" x14ac:dyDescent="0.2">
      <c r="B429" s="47"/>
      <c r="C429" s="47"/>
      <c r="D429" s="47"/>
    </row>
    <row r="430" spans="2:4" x14ac:dyDescent="0.2">
      <c r="B430" s="47"/>
      <c r="C430" s="47"/>
      <c r="D430" s="47"/>
    </row>
    <row r="431" spans="2:4" x14ac:dyDescent="0.2">
      <c r="B431" s="47"/>
      <c r="C431" s="47"/>
      <c r="D431" s="47"/>
    </row>
    <row r="432" spans="2:4" x14ac:dyDescent="0.2">
      <c r="B432" s="47"/>
      <c r="C432" s="47"/>
      <c r="D432" s="47"/>
    </row>
    <row r="433" spans="2:4" x14ac:dyDescent="0.2">
      <c r="B433" s="47"/>
      <c r="C433" s="47"/>
      <c r="D433" s="47"/>
    </row>
    <row r="434" spans="2:4" x14ac:dyDescent="0.2">
      <c r="B434" s="47"/>
      <c r="C434" s="47"/>
      <c r="D434" s="47"/>
    </row>
    <row r="435" spans="2:4" x14ac:dyDescent="0.2">
      <c r="B435" s="47"/>
      <c r="C435" s="47"/>
      <c r="D435" s="47"/>
    </row>
    <row r="436" spans="2:4" x14ac:dyDescent="0.2">
      <c r="B436" s="47"/>
      <c r="C436" s="47"/>
      <c r="D436" s="47"/>
    </row>
    <row r="437" spans="2:4" x14ac:dyDescent="0.2">
      <c r="B437" s="47"/>
      <c r="C437" s="47"/>
      <c r="D437" s="47"/>
    </row>
    <row r="438" spans="2:4" x14ac:dyDescent="0.2">
      <c r="B438" s="47"/>
      <c r="C438" s="47"/>
      <c r="D438" s="47"/>
    </row>
    <row r="439" spans="2:4" x14ac:dyDescent="0.2">
      <c r="B439" s="47"/>
      <c r="C439" s="47"/>
      <c r="D439" s="47"/>
    </row>
    <row r="440" spans="2:4" x14ac:dyDescent="0.2">
      <c r="B440" s="47"/>
      <c r="C440" s="47"/>
      <c r="D440" s="47"/>
    </row>
    <row r="441" spans="2:4" x14ac:dyDescent="0.2">
      <c r="B441" s="47"/>
      <c r="C441" s="47"/>
      <c r="D441" s="47"/>
    </row>
    <row r="442" spans="2:4" x14ac:dyDescent="0.2">
      <c r="B442" s="47"/>
      <c r="C442" s="47"/>
      <c r="D442" s="47"/>
    </row>
    <row r="443" spans="2:4" x14ac:dyDescent="0.2">
      <c r="B443" s="47"/>
      <c r="C443" s="47"/>
      <c r="D443" s="47"/>
    </row>
    <row r="444" spans="2:4" x14ac:dyDescent="0.2">
      <c r="B444" s="47"/>
      <c r="C444" s="47"/>
      <c r="D444" s="47"/>
    </row>
    <row r="445" spans="2:4" x14ac:dyDescent="0.2">
      <c r="B445" s="47"/>
      <c r="C445" s="47"/>
      <c r="D445" s="47"/>
    </row>
    <row r="446" spans="2:4" x14ac:dyDescent="0.2">
      <c r="B446" s="47"/>
      <c r="C446" s="47"/>
      <c r="D446" s="47"/>
    </row>
    <row r="447" spans="2:4" x14ac:dyDescent="0.2">
      <c r="B447" s="47"/>
      <c r="C447" s="47"/>
      <c r="D447" s="47"/>
    </row>
    <row r="448" spans="2:4" x14ac:dyDescent="0.2">
      <c r="B448" s="47"/>
      <c r="C448" s="47"/>
      <c r="D448" s="47"/>
    </row>
    <row r="449" spans="2:4" x14ac:dyDescent="0.2">
      <c r="B449" s="47"/>
      <c r="C449" s="47"/>
      <c r="D449" s="47"/>
    </row>
    <row r="450" spans="2:4" x14ac:dyDescent="0.2">
      <c r="B450" s="47"/>
      <c r="C450" s="47"/>
      <c r="D450" s="47"/>
    </row>
    <row r="451" spans="2:4" x14ac:dyDescent="0.2">
      <c r="B451" s="47"/>
      <c r="C451" s="47"/>
      <c r="D451" s="47"/>
    </row>
    <row r="452" spans="2:4" x14ac:dyDescent="0.2">
      <c r="B452" s="47"/>
      <c r="C452" s="47"/>
      <c r="D452" s="47"/>
    </row>
    <row r="453" spans="2:4" x14ac:dyDescent="0.2">
      <c r="B453" s="47"/>
      <c r="C453" s="47"/>
      <c r="D453" s="47"/>
    </row>
    <row r="454" spans="2:4" x14ac:dyDescent="0.2">
      <c r="B454" s="47"/>
      <c r="C454" s="47"/>
      <c r="D454" s="47"/>
    </row>
    <row r="455" spans="2:4" x14ac:dyDescent="0.2">
      <c r="B455" s="47"/>
      <c r="C455" s="47"/>
      <c r="D455" s="47"/>
    </row>
    <row r="456" spans="2:4" x14ac:dyDescent="0.2">
      <c r="B456" s="47"/>
      <c r="C456" s="47"/>
      <c r="D456" s="47"/>
    </row>
    <row r="457" spans="2:4" x14ac:dyDescent="0.2">
      <c r="B457" s="47"/>
      <c r="C457" s="47"/>
      <c r="D457" s="47"/>
    </row>
    <row r="458" spans="2:4" x14ac:dyDescent="0.2">
      <c r="B458" s="47"/>
      <c r="C458" s="47"/>
      <c r="D458" s="47"/>
    </row>
    <row r="459" spans="2:4" x14ac:dyDescent="0.2">
      <c r="B459" s="47"/>
      <c r="C459" s="47"/>
      <c r="D459" s="47"/>
    </row>
    <row r="460" spans="2:4" x14ac:dyDescent="0.2">
      <c r="B460" s="47"/>
      <c r="C460" s="47"/>
      <c r="D460" s="47"/>
    </row>
    <row r="461" spans="2:4" x14ac:dyDescent="0.2">
      <c r="B461" s="47"/>
      <c r="C461" s="47"/>
      <c r="D461" s="47"/>
    </row>
    <row r="462" spans="2:4" x14ac:dyDescent="0.2">
      <c r="B462" s="47"/>
      <c r="C462" s="47"/>
      <c r="D462" s="47"/>
    </row>
    <row r="463" spans="2:4" x14ac:dyDescent="0.2">
      <c r="B463" s="47"/>
      <c r="C463" s="47"/>
      <c r="D463" s="47"/>
    </row>
    <row r="464" spans="2:4" x14ac:dyDescent="0.2">
      <c r="B464" s="47"/>
      <c r="C464" s="47"/>
      <c r="D464" s="47"/>
    </row>
    <row r="465" spans="2:4" x14ac:dyDescent="0.2">
      <c r="B465" s="47"/>
      <c r="C465" s="47"/>
      <c r="D465" s="47"/>
    </row>
    <row r="466" spans="2:4" x14ac:dyDescent="0.2">
      <c r="B466" s="47"/>
      <c r="C466" s="47"/>
      <c r="D466" s="47"/>
    </row>
    <row r="467" spans="2:4" x14ac:dyDescent="0.2">
      <c r="B467" s="47"/>
      <c r="C467" s="47"/>
      <c r="D467" s="47"/>
    </row>
    <row r="468" spans="2:4" x14ac:dyDescent="0.2">
      <c r="B468" s="47"/>
      <c r="C468" s="47"/>
      <c r="D468" s="47"/>
    </row>
    <row r="469" spans="2:4" x14ac:dyDescent="0.2">
      <c r="B469" s="47"/>
      <c r="C469" s="47"/>
      <c r="D469" s="47"/>
    </row>
    <row r="470" spans="2:4" x14ac:dyDescent="0.2">
      <c r="B470" s="47"/>
      <c r="C470" s="47"/>
      <c r="D470" s="47"/>
    </row>
    <row r="471" spans="2:4" x14ac:dyDescent="0.2">
      <c r="B471" s="47"/>
      <c r="C471" s="47"/>
      <c r="D471" s="47"/>
    </row>
    <row r="472" spans="2:4" x14ac:dyDescent="0.2">
      <c r="B472" s="47"/>
      <c r="C472" s="47"/>
      <c r="D472" s="47"/>
    </row>
    <row r="473" spans="2:4" x14ac:dyDescent="0.2">
      <c r="B473" s="47"/>
      <c r="C473" s="47"/>
      <c r="D473" s="47"/>
    </row>
    <row r="474" spans="2:4" x14ac:dyDescent="0.2">
      <c r="B474" s="47"/>
      <c r="C474" s="47"/>
      <c r="D474" s="47"/>
    </row>
    <row r="475" spans="2:4" x14ac:dyDescent="0.2">
      <c r="B475" s="47"/>
      <c r="C475" s="47"/>
      <c r="D475" s="47"/>
    </row>
    <row r="476" spans="2:4" x14ac:dyDescent="0.2">
      <c r="B476" s="47"/>
      <c r="C476" s="47"/>
      <c r="D476" s="47"/>
    </row>
    <row r="477" spans="2:4" x14ac:dyDescent="0.2">
      <c r="B477" s="47"/>
      <c r="C477" s="47"/>
      <c r="D477" s="47"/>
    </row>
    <row r="478" spans="2:4" x14ac:dyDescent="0.2">
      <c r="B478" s="47"/>
      <c r="C478" s="47"/>
      <c r="D478" s="47"/>
    </row>
    <row r="479" spans="2:4" x14ac:dyDescent="0.2">
      <c r="B479" s="47"/>
      <c r="C479" s="47"/>
      <c r="D479" s="47"/>
    </row>
    <row r="480" spans="2:4" x14ac:dyDescent="0.2">
      <c r="B480" s="47"/>
      <c r="C480" s="47"/>
      <c r="D480" s="47"/>
    </row>
    <row r="481" spans="2:4" x14ac:dyDescent="0.2">
      <c r="B481" s="47"/>
      <c r="C481" s="47"/>
      <c r="D481" s="47"/>
    </row>
    <row r="482" spans="2:4" x14ac:dyDescent="0.2">
      <c r="B482" s="47"/>
      <c r="C482" s="47"/>
      <c r="D482" s="47"/>
    </row>
    <row r="483" spans="2:4" x14ac:dyDescent="0.2">
      <c r="B483" s="47"/>
      <c r="C483" s="47"/>
      <c r="D483" s="47"/>
    </row>
    <row r="484" spans="2:4" x14ac:dyDescent="0.2">
      <c r="B484" s="47"/>
      <c r="C484" s="47"/>
      <c r="D484" s="47"/>
    </row>
    <row r="485" spans="2:4" x14ac:dyDescent="0.2">
      <c r="B485" s="47"/>
      <c r="C485" s="47"/>
      <c r="D485" s="47"/>
    </row>
    <row r="486" spans="2:4" x14ac:dyDescent="0.2">
      <c r="B486" s="47"/>
      <c r="C486" s="47"/>
      <c r="D486" s="47"/>
    </row>
    <row r="487" spans="2:4" x14ac:dyDescent="0.2">
      <c r="B487" s="47"/>
      <c r="C487" s="47"/>
      <c r="D487" s="47"/>
    </row>
    <row r="488" spans="2:4" x14ac:dyDescent="0.2">
      <c r="B488" s="47"/>
      <c r="C488" s="47"/>
      <c r="D488" s="47"/>
    </row>
    <row r="489" spans="2:4" x14ac:dyDescent="0.2">
      <c r="B489" s="47"/>
      <c r="C489" s="47"/>
      <c r="D489" s="47"/>
    </row>
    <row r="490" spans="2:4" x14ac:dyDescent="0.2">
      <c r="B490" s="47"/>
      <c r="C490" s="47"/>
      <c r="D490" s="47"/>
    </row>
    <row r="491" spans="2:4" x14ac:dyDescent="0.2">
      <c r="B491" s="47"/>
      <c r="C491" s="47"/>
      <c r="D491" s="47"/>
    </row>
    <row r="492" spans="2:4" x14ac:dyDescent="0.2">
      <c r="B492" s="47"/>
      <c r="C492" s="47"/>
      <c r="D492" s="47"/>
    </row>
    <row r="493" spans="2:4" x14ac:dyDescent="0.2">
      <c r="B493" s="47"/>
      <c r="C493" s="47"/>
      <c r="D493" s="47"/>
    </row>
    <row r="494" spans="2:4" x14ac:dyDescent="0.2">
      <c r="B494" s="47"/>
      <c r="C494" s="47"/>
      <c r="D494" s="47"/>
    </row>
    <row r="495" spans="2:4" x14ac:dyDescent="0.2">
      <c r="B495" s="47"/>
      <c r="C495" s="47"/>
      <c r="D495" s="47"/>
    </row>
    <row r="496" spans="2:4" x14ac:dyDescent="0.2">
      <c r="B496" s="47"/>
      <c r="C496" s="47"/>
      <c r="D496" s="47"/>
    </row>
    <row r="497" spans="2:4" x14ac:dyDescent="0.2">
      <c r="B497" s="47"/>
      <c r="C497" s="47"/>
      <c r="D497" s="47"/>
    </row>
    <row r="498" spans="2:4" x14ac:dyDescent="0.2">
      <c r="B498" s="47"/>
      <c r="C498" s="47"/>
      <c r="D498" s="47"/>
    </row>
    <row r="499" spans="2:4" x14ac:dyDescent="0.2">
      <c r="B499" s="47"/>
      <c r="C499" s="47"/>
      <c r="D499" s="47"/>
    </row>
    <row r="500" spans="2:4" x14ac:dyDescent="0.2">
      <c r="B500" s="47"/>
      <c r="C500" s="47"/>
      <c r="D500" s="47"/>
    </row>
    <row r="501" spans="2:4" x14ac:dyDescent="0.2">
      <c r="B501" s="47"/>
      <c r="C501" s="47"/>
      <c r="D501" s="47"/>
    </row>
    <row r="502" spans="2:4" x14ac:dyDescent="0.2">
      <c r="B502" s="47"/>
      <c r="C502" s="47"/>
      <c r="D502" s="47"/>
    </row>
    <row r="503" spans="2:4" x14ac:dyDescent="0.2">
      <c r="B503" s="47"/>
      <c r="C503" s="47"/>
      <c r="D503" s="47"/>
    </row>
    <row r="504" spans="2:4" x14ac:dyDescent="0.2">
      <c r="B504" s="47"/>
      <c r="C504" s="47"/>
      <c r="D504" s="47"/>
    </row>
    <row r="505" spans="2:4" x14ac:dyDescent="0.2">
      <c r="B505" s="47"/>
      <c r="C505" s="47"/>
      <c r="D505" s="47"/>
    </row>
    <row r="506" spans="2:4" x14ac:dyDescent="0.2">
      <c r="B506" s="47"/>
      <c r="C506" s="47"/>
      <c r="D506" s="47"/>
    </row>
    <row r="507" spans="2:4" x14ac:dyDescent="0.2">
      <c r="B507" s="47"/>
      <c r="C507" s="47"/>
      <c r="D507" s="47"/>
    </row>
    <row r="508" spans="2:4" x14ac:dyDescent="0.2">
      <c r="B508" s="47"/>
      <c r="C508" s="47"/>
      <c r="D508" s="47"/>
    </row>
    <row r="509" spans="2:4" x14ac:dyDescent="0.2">
      <c r="B509" s="47"/>
      <c r="C509" s="47"/>
      <c r="D509" s="47"/>
    </row>
    <row r="510" spans="2:4" x14ac:dyDescent="0.2">
      <c r="B510" s="47"/>
      <c r="C510" s="47"/>
      <c r="D510" s="47"/>
    </row>
    <row r="511" spans="2:4" x14ac:dyDescent="0.2">
      <c r="B511" s="47"/>
      <c r="C511" s="47"/>
      <c r="D511" s="47"/>
    </row>
    <row r="512" spans="2:4" x14ac:dyDescent="0.2">
      <c r="B512" s="47"/>
      <c r="C512" s="47"/>
      <c r="D512" s="47"/>
    </row>
    <row r="513" spans="2:4" x14ac:dyDescent="0.2">
      <c r="B513" s="47"/>
      <c r="C513" s="47"/>
      <c r="D513" s="47"/>
    </row>
    <row r="514" spans="2:4" x14ac:dyDescent="0.2">
      <c r="B514" s="47"/>
      <c r="C514" s="47"/>
      <c r="D514" s="47"/>
    </row>
    <row r="515" spans="2:4" x14ac:dyDescent="0.2">
      <c r="B515" s="47"/>
      <c r="C515" s="47"/>
      <c r="D515" s="47"/>
    </row>
    <row r="516" spans="2:4" x14ac:dyDescent="0.2">
      <c r="B516" s="47"/>
      <c r="C516" s="47"/>
      <c r="D516" s="47"/>
    </row>
    <row r="517" spans="2:4" x14ac:dyDescent="0.2">
      <c r="B517" s="47"/>
      <c r="C517" s="47"/>
      <c r="D517" s="47"/>
    </row>
    <row r="518" spans="2:4" x14ac:dyDescent="0.2">
      <c r="B518" s="47"/>
      <c r="C518" s="47"/>
      <c r="D518" s="47"/>
    </row>
    <row r="519" spans="2:4" x14ac:dyDescent="0.2">
      <c r="B519" s="47"/>
      <c r="C519" s="47"/>
      <c r="D519" s="47"/>
    </row>
    <row r="520" spans="2:4" x14ac:dyDescent="0.2">
      <c r="B520" s="47"/>
      <c r="C520" s="47"/>
      <c r="D520" s="47"/>
    </row>
    <row r="521" spans="2:4" x14ac:dyDescent="0.2">
      <c r="B521" s="47"/>
      <c r="C521" s="47"/>
      <c r="D521" s="47"/>
    </row>
    <row r="522" spans="2:4" x14ac:dyDescent="0.2">
      <c r="B522" s="47"/>
      <c r="C522" s="47"/>
      <c r="D522" s="47"/>
    </row>
    <row r="523" spans="2:4" x14ac:dyDescent="0.2">
      <c r="B523" s="47"/>
      <c r="C523" s="47"/>
      <c r="D523" s="47"/>
    </row>
    <row r="524" spans="2:4" x14ac:dyDescent="0.2">
      <c r="B524" s="47"/>
      <c r="C524" s="47"/>
      <c r="D524" s="47"/>
    </row>
    <row r="525" spans="2:4" x14ac:dyDescent="0.2">
      <c r="B525" s="47"/>
      <c r="C525" s="47"/>
      <c r="D525" s="47"/>
    </row>
    <row r="526" spans="2:4" x14ac:dyDescent="0.2">
      <c r="B526" s="47"/>
      <c r="C526" s="47"/>
      <c r="D526" s="47"/>
    </row>
    <row r="527" spans="2:4" x14ac:dyDescent="0.2">
      <c r="B527" s="47"/>
      <c r="C527" s="47"/>
      <c r="D527" s="47"/>
    </row>
    <row r="528" spans="2:4" x14ac:dyDescent="0.2">
      <c r="B528" s="47"/>
      <c r="C528" s="47"/>
      <c r="D528" s="47"/>
    </row>
    <row r="529" spans="2:4" x14ac:dyDescent="0.2">
      <c r="B529" s="47"/>
      <c r="C529" s="47"/>
      <c r="D529" s="47"/>
    </row>
    <row r="530" spans="2:4" x14ac:dyDescent="0.2">
      <c r="B530" s="47"/>
      <c r="C530" s="47"/>
      <c r="D530" s="47"/>
    </row>
    <row r="531" spans="2:4" x14ac:dyDescent="0.2">
      <c r="B531" s="47"/>
      <c r="C531" s="47"/>
      <c r="D531" s="47"/>
    </row>
    <row r="532" spans="2:4" x14ac:dyDescent="0.2">
      <c r="B532" s="47"/>
      <c r="C532" s="47"/>
      <c r="D532" s="47"/>
    </row>
    <row r="533" spans="2:4" x14ac:dyDescent="0.2">
      <c r="B533" s="47"/>
      <c r="C533" s="47"/>
      <c r="D533" s="47"/>
    </row>
    <row r="534" spans="2:4" x14ac:dyDescent="0.2">
      <c r="B534" s="47"/>
      <c r="C534" s="47"/>
      <c r="D534" s="47"/>
    </row>
    <row r="535" spans="2:4" x14ac:dyDescent="0.2">
      <c r="B535" s="47"/>
      <c r="C535" s="47"/>
      <c r="D535" s="47"/>
    </row>
    <row r="536" spans="2:4" x14ac:dyDescent="0.2">
      <c r="B536" s="47"/>
      <c r="C536" s="47"/>
      <c r="D536" s="47"/>
    </row>
    <row r="537" spans="2:4" x14ac:dyDescent="0.2">
      <c r="B537" s="47"/>
      <c r="C537" s="47"/>
      <c r="D537" s="47"/>
    </row>
    <row r="538" spans="2:4" x14ac:dyDescent="0.2">
      <c r="B538" s="47"/>
      <c r="C538" s="47"/>
      <c r="D538" s="47"/>
    </row>
    <row r="539" spans="2:4" x14ac:dyDescent="0.2">
      <c r="B539" s="47"/>
      <c r="C539" s="47"/>
      <c r="D539" s="47"/>
    </row>
    <row r="540" spans="2:4" x14ac:dyDescent="0.2">
      <c r="B540" s="47"/>
      <c r="C540" s="47"/>
      <c r="D540" s="47"/>
    </row>
    <row r="541" spans="2:4" x14ac:dyDescent="0.2">
      <c r="B541" s="47"/>
      <c r="C541" s="47"/>
      <c r="D541" s="47"/>
    </row>
    <row r="542" spans="2:4" x14ac:dyDescent="0.2">
      <c r="B542" s="47"/>
      <c r="C542" s="47"/>
      <c r="D542" s="47"/>
    </row>
    <row r="543" spans="2:4" x14ac:dyDescent="0.2">
      <c r="B543" s="47"/>
      <c r="C543" s="47"/>
      <c r="D543" s="47"/>
    </row>
    <row r="544" spans="2:4" x14ac:dyDescent="0.2">
      <c r="B544" s="47"/>
      <c r="C544" s="47"/>
      <c r="D544" s="47"/>
    </row>
    <row r="545" spans="2:4" x14ac:dyDescent="0.2">
      <c r="B545" s="47"/>
      <c r="C545" s="47"/>
      <c r="D545" s="47"/>
    </row>
    <row r="546" spans="2:4" x14ac:dyDescent="0.2">
      <c r="B546" s="47"/>
      <c r="C546" s="47"/>
      <c r="D546" s="47"/>
    </row>
    <row r="547" spans="2:4" x14ac:dyDescent="0.2">
      <c r="B547" s="47"/>
      <c r="C547" s="47"/>
      <c r="D547" s="47"/>
    </row>
    <row r="548" spans="2:4" x14ac:dyDescent="0.2">
      <c r="B548" s="47"/>
      <c r="C548" s="47"/>
      <c r="D548" s="47"/>
    </row>
    <row r="549" spans="2:4" x14ac:dyDescent="0.2">
      <c r="B549" s="47"/>
      <c r="C549" s="47"/>
      <c r="D549" s="47"/>
    </row>
    <row r="550" spans="2:4" x14ac:dyDescent="0.2">
      <c r="B550" s="47"/>
      <c r="C550" s="47"/>
      <c r="D550" s="47"/>
    </row>
    <row r="551" spans="2:4" x14ac:dyDescent="0.2">
      <c r="B551" s="47"/>
      <c r="C551" s="47"/>
      <c r="D551" s="47"/>
    </row>
    <row r="552" spans="2:4" x14ac:dyDescent="0.2">
      <c r="B552" s="47"/>
      <c r="C552" s="47"/>
      <c r="D552" s="47"/>
    </row>
    <row r="553" spans="2:4" x14ac:dyDescent="0.2">
      <c r="B553" s="47"/>
      <c r="C553" s="47"/>
      <c r="D553" s="47"/>
    </row>
    <row r="554" spans="2:4" x14ac:dyDescent="0.2">
      <c r="B554" s="47"/>
      <c r="C554" s="47"/>
      <c r="D554" s="47"/>
    </row>
    <row r="555" spans="2:4" x14ac:dyDescent="0.2">
      <c r="B555" s="47"/>
      <c r="C555" s="47"/>
      <c r="D555" s="47"/>
    </row>
    <row r="556" spans="2:4" x14ac:dyDescent="0.2">
      <c r="B556" s="47"/>
      <c r="C556" s="47"/>
      <c r="D556" s="47"/>
    </row>
    <row r="557" spans="2:4" x14ac:dyDescent="0.2">
      <c r="B557" s="47"/>
      <c r="C557" s="47"/>
      <c r="D557" s="47"/>
    </row>
    <row r="558" spans="2:4" x14ac:dyDescent="0.2">
      <c r="B558" s="47"/>
      <c r="C558" s="47"/>
      <c r="D558" s="47"/>
    </row>
    <row r="559" spans="2:4" x14ac:dyDescent="0.2">
      <c r="B559" s="47"/>
      <c r="C559" s="47"/>
      <c r="D559" s="47"/>
    </row>
    <row r="560" spans="2:4" x14ac:dyDescent="0.2">
      <c r="B560" s="47"/>
      <c r="C560" s="47"/>
      <c r="D560" s="47"/>
    </row>
    <row r="561" spans="2:4" x14ac:dyDescent="0.2">
      <c r="B561" s="47"/>
      <c r="C561" s="47"/>
      <c r="D561" s="47"/>
    </row>
    <row r="562" spans="2:4" x14ac:dyDescent="0.2">
      <c r="B562" s="47"/>
      <c r="C562" s="47"/>
      <c r="D562" s="47"/>
    </row>
    <row r="563" spans="2:4" x14ac:dyDescent="0.2">
      <c r="B563" s="47"/>
      <c r="C563" s="47"/>
      <c r="D563" s="47"/>
    </row>
    <row r="564" spans="2:4" x14ac:dyDescent="0.2">
      <c r="B564" s="47"/>
      <c r="C564" s="47"/>
      <c r="D564" s="47"/>
    </row>
    <row r="565" spans="2:4" x14ac:dyDescent="0.2">
      <c r="B565" s="47"/>
      <c r="C565" s="47"/>
      <c r="D565" s="47"/>
    </row>
    <row r="566" spans="2:4" x14ac:dyDescent="0.2">
      <c r="B566" s="47"/>
      <c r="C566" s="47"/>
      <c r="D566" s="47"/>
    </row>
    <row r="567" spans="2:4" x14ac:dyDescent="0.2">
      <c r="B567" s="47"/>
      <c r="C567" s="47"/>
      <c r="D567" s="47"/>
    </row>
    <row r="568" spans="2:4" x14ac:dyDescent="0.2">
      <c r="B568" s="47"/>
      <c r="C568" s="47"/>
      <c r="D568" s="47"/>
    </row>
    <row r="569" spans="2:4" x14ac:dyDescent="0.2">
      <c r="B569" s="47"/>
      <c r="C569" s="47"/>
      <c r="D569" s="47"/>
    </row>
    <row r="570" spans="2:4" x14ac:dyDescent="0.2">
      <c r="B570" s="47"/>
      <c r="C570" s="47"/>
      <c r="D570" s="47"/>
    </row>
    <row r="571" spans="2:4" x14ac:dyDescent="0.2">
      <c r="B571" s="47"/>
      <c r="C571" s="47"/>
      <c r="D571" s="47"/>
    </row>
    <row r="572" spans="2:4" x14ac:dyDescent="0.2">
      <c r="B572" s="47"/>
      <c r="C572" s="47"/>
      <c r="D572" s="47"/>
    </row>
    <row r="573" spans="2:4" x14ac:dyDescent="0.2">
      <c r="B573" s="47"/>
      <c r="C573" s="47"/>
      <c r="D573" s="47"/>
    </row>
    <row r="574" spans="2:4" x14ac:dyDescent="0.2">
      <c r="B574" s="47"/>
      <c r="C574" s="47"/>
      <c r="D574" s="47"/>
    </row>
    <row r="575" spans="2:4" x14ac:dyDescent="0.2">
      <c r="B575" s="47"/>
      <c r="C575" s="47"/>
      <c r="D575" s="47"/>
    </row>
    <row r="576" spans="2:4" x14ac:dyDescent="0.2">
      <c r="B576" s="47"/>
      <c r="C576" s="47"/>
      <c r="D576" s="47"/>
    </row>
    <row r="577" spans="2:4" x14ac:dyDescent="0.2">
      <c r="B577" s="47"/>
      <c r="C577" s="47"/>
      <c r="D577" s="47"/>
    </row>
    <row r="578" spans="2:4" x14ac:dyDescent="0.2">
      <c r="B578" s="47"/>
      <c r="C578" s="47"/>
      <c r="D578" s="47"/>
    </row>
    <row r="579" spans="2:4" x14ac:dyDescent="0.2">
      <c r="B579" s="47"/>
      <c r="C579" s="47"/>
      <c r="D579" s="47"/>
    </row>
    <row r="580" spans="2:4" x14ac:dyDescent="0.2">
      <c r="B580" s="47"/>
      <c r="C580" s="47"/>
      <c r="D580" s="47"/>
    </row>
    <row r="581" spans="2:4" x14ac:dyDescent="0.2">
      <c r="B581" s="47"/>
      <c r="C581" s="47"/>
      <c r="D581" s="47"/>
    </row>
    <row r="582" spans="2:4" x14ac:dyDescent="0.2">
      <c r="B582" s="47"/>
      <c r="C582" s="47"/>
      <c r="D582" s="47"/>
    </row>
    <row r="583" spans="2:4" x14ac:dyDescent="0.2">
      <c r="B583" s="47"/>
      <c r="C583" s="47"/>
      <c r="D583" s="47"/>
    </row>
    <row r="584" spans="2:4" x14ac:dyDescent="0.2">
      <c r="B584" s="47"/>
      <c r="C584" s="47"/>
      <c r="D584" s="47"/>
    </row>
    <row r="585" spans="2:4" x14ac:dyDescent="0.2">
      <c r="B585" s="47"/>
      <c r="C585" s="47"/>
      <c r="D585" s="47"/>
    </row>
    <row r="586" spans="2:4" x14ac:dyDescent="0.2">
      <c r="B586" s="47"/>
      <c r="C586" s="47"/>
      <c r="D586" s="47"/>
    </row>
    <row r="587" spans="2:4" x14ac:dyDescent="0.2">
      <c r="B587" s="47"/>
      <c r="C587" s="47"/>
      <c r="D587" s="47"/>
    </row>
    <row r="588" spans="2:4" x14ac:dyDescent="0.2">
      <c r="B588" s="47"/>
      <c r="C588" s="47"/>
      <c r="D588" s="47"/>
    </row>
    <row r="589" spans="2:4" x14ac:dyDescent="0.2">
      <c r="B589" s="47"/>
      <c r="C589" s="47"/>
      <c r="D589" s="47"/>
    </row>
    <row r="590" spans="2:4" x14ac:dyDescent="0.2">
      <c r="B590" s="47"/>
      <c r="C590" s="47"/>
      <c r="D590" s="47"/>
    </row>
    <row r="591" spans="2:4" x14ac:dyDescent="0.2">
      <c r="B591" s="47"/>
      <c r="C591" s="47"/>
      <c r="D591" s="47"/>
    </row>
    <row r="592" spans="2:4" x14ac:dyDescent="0.2">
      <c r="B592" s="47"/>
      <c r="C592" s="47"/>
      <c r="D592" s="47"/>
    </row>
    <row r="593" spans="2:4" x14ac:dyDescent="0.2">
      <c r="B593" s="47"/>
      <c r="C593" s="47"/>
      <c r="D593" s="47"/>
    </row>
    <row r="594" spans="2:4" x14ac:dyDescent="0.2">
      <c r="B594" s="47"/>
      <c r="C594" s="47"/>
      <c r="D594" s="47"/>
    </row>
    <row r="595" spans="2:4" x14ac:dyDescent="0.2">
      <c r="B595" s="47"/>
      <c r="C595" s="47"/>
      <c r="D595" s="47"/>
    </row>
    <row r="596" spans="2:4" x14ac:dyDescent="0.2">
      <c r="B596" s="47"/>
      <c r="C596" s="47"/>
      <c r="D596" s="47"/>
    </row>
    <row r="597" spans="2:4" x14ac:dyDescent="0.2">
      <c r="B597" s="47"/>
      <c r="C597" s="47"/>
      <c r="D597" s="47"/>
    </row>
    <row r="598" spans="2:4" x14ac:dyDescent="0.2">
      <c r="B598" s="47"/>
      <c r="C598" s="47"/>
      <c r="D598" s="47"/>
    </row>
    <row r="599" spans="2:4" x14ac:dyDescent="0.2">
      <c r="B599" s="47"/>
      <c r="C599" s="47"/>
      <c r="D599" s="47"/>
    </row>
    <row r="600" spans="2:4" x14ac:dyDescent="0.2">
      <c r="B600" s="47"/>
      <c r="C600" s="47"/>
      <c r="D600" s="47"/>
    </row>
    <row r="601" spans="2:4" x14ac:dyDescent="0.2">
      <c r="B601" s="47"/>
      <c r="C601" s="47"/>
      <c r="D601" s="47"/>
    </row>
    <row r="602" spans="2:4" x14ac:dyDescent="0.2">
      <c r="B602" s="47"/>
      <c r="C602" s="47"/>
      <c r="D602" s="47"/>
    </row>
    <row r="603" spans="2:4" x14ac:dyDescent="0.2">
      <c r="B603" s="47"/>
      <c r="C603" s="47"/>
      <c r="D603" s="47"/>
    </row>
    <row r="604" spans="2:4" x14ac:dyDescent="0.2">
      <c r="B604" s="47"/>
      <c r="C604" s="47"/>
      <c r="D604" s="47"/>
    </row>
    <row r="605" spans="2:4" x14ac:dyDescent="0.2">
      <c r="B605" s="47"/>
      <c r="C605" s="47"/>
      <c r="D605" s="47"/>
    </row>
    <row r="606" spans="2:4" x14ac:dyDescent="0.2">
      <c r="B606" s="47"/>
      <c r="C606" s="47"/>
      <c r="D606" s="47"/>
    </row>
    <row r="607" spans="2:4" x14ac:dyDescent="0.2">
      <c r="B607" s="47"/>
      <c r="C607" s="47"/>
      <c r="D607" s="47"/>
    </row>
    <row r="608" spans="2:4" x14ac:dyDescent="0.2">
      <c r="B608" s="47"/>
      <c r="C608" s="47"/>
      <c r="D608" s="47"/>
    </row>
    <row r="609" spans="2:4" x14ac:dyDescent="0.2">
      <c r="B609" s="47"/>
      <c r="C609" s="47"/>
      <c r="D609" s="47"/>
    </row>
    <row r="610" spans="2:4" x14ac:dyDescent="0.2">
      <c r="B610" s="47"/>
      <c r="C610" s="47"/>
      <c r="D610" s="47"/>
    </row>
    <row r="611" spans="2:4" x14ac:dyDescent="0.2">
      <c r="B611" s="47"/>
      <c r="C611" s="47"/>
      <c r="D611" s="47"/>
    </row>
    <row r="612" spans="2:4" x14ac:dyDescent="0.2">
      <c r="B612" s="47"/>
      <c r="C612" s="47"/>
      <c r="D612" s="47"/>
    </row>
    <row r="613" spans="2:4" x14ac:dyDescent="0.2">
      <c r="B613" s="47"/>
      <c r="C613" s="47"/>
      <c r="D613" s="47"/>
    </row>
    <row r="614" spans="2:4" x14ac:dyDescent="0.2">
      <c r="B614" s="47"/>
      <c r="C614" s="47"/>
      <c r="D614" s="47"/>
    </row>
    <row r="615" spans="2:4" x14ac:dyDescent="0.2">
      <c r="B615" s="47"/>
      <c r="C615" s="47"/>
      <c r="D615" s="47"/>
    </row>
    <row r="616" spans="2:4" x14ac:dyDescent="0.2">
      <c r="B616" s="47"/>
      <c r="C616" s="47"/>
      <c r="D616" s="47"/>
    </row>
    <row r="617" spans="2:4" x14ac:dyDescent="0.2">
      <c r="B617" s="47"/>
      <c r="C617" s="47"/>
      <c r="D617" s="47"/>
    </row>
    <row r="618" spans="2:4" x14ac:dyDescent="0.2">
      <c r="B618" s="47"/>
      <c r="C618" s="47"/>
      <c r="D618" s="47"/>
    </row>
    <row r="619" spans="2:4" x14ac:dyDescent="0.2">
      <c r="B619" s="47"/>
      <c r="C619" s="47"/>
      <c r="D619" s="47"/>
    </row>
    <row r="620" spans="2:4" x14ac:dyDescent="0.2">
      <c r="B620" s="47"/>
      <c r="C620" s="47"/>
      <c r="D620" s="47"/>
    </row>
    <row r="621" spans="2:4" x14ac:dyDescent="0.2">
      <c r="B621" s="47"/>
      <c r="C621" s="47"/>
      <c r="D621" s="47"/>
    </row>
    <row r="622" spans="2:4" x14ac:dyDescent="0.2">
      <c r="B622" s="47"/>
      <c r="C622" s="47"/>
      <c r="D622" s="47"/>
    </row>
    <row r="623" spans="2:4" x14ac:dyDescent="0.2">
      <c r="B623" s="47"/>
      <c r="C623" s="47"/>
      <c r="D623" s="47"/>
    </row>
    <row r="624" spans="2:4" x14ac:dyDescent="0.2">
      <c r="B624" s="47"/>
      <c r="C624" s="47"/>
      <c r="D624" s="47"/>
    </row>
    <row r="625" spans="2:4" x14ac:dyDescent="0.2">
      <c r="B625" s="47"/>
      <c r="C625" s="47"/>
      <c r="D625" s="47"/>
    </row>
    <row r="626" spans="2:4" x14ac:dyDescent="0.2">
      <c r="B626" s="47"/>
      <c r="C626" s="47"/>
      <c r="D626" s="47"/>
    </row>
    <row r="627" spans="2:4" x14ac:dyDescent="0.2">
      <c r="B627" s="47"/>
      <c r="C627" s="47"/>
      <c r="D627" s="47"/>
    </row>
    <row r="628" spans="2:4" x14ac:dyDescent="0.2">
      <c r="B628" s="47"/>
      <c r="C628" s="47"/>
      <c r="D628" s="47"/>
    </row>
    <row r="629" spans="2:4" x14ac:dyDescent="0.2">
      <c r="B629" s="47"/>
      <c r="C629" s="47"/>
      <c r="D629" s="47"/>
    </row>
    <row r="630" spans="2:4" x14ac:dyDescent="0.2">
      <c r="B630" s="47"/>
      <c r="C630" s="47"/>
      <c r="D630" s="47"/>
    </row>
    <row r="631" spans="2:4" x14ac:dyDescent="0.2">
      <c r="B631" s="47"/>
      <c r="C631" s="47"/>
      <c r="D631" s="47"/>
    </row>
    <row r="632" spans="2:4" x14ac:dyDescent="0.2">
      <c r="B632" s="47"/>
      <c r="C632" s="47"/>
      <c r="D632" s="47"/>
    </row>
    <row r="633" spans="2:4" x14ac:dyDescent="0.2">
      <c r="B633" s="47"/>
      <c r="C633" s="47"/>
      <c r="D633" s="47"/>
    </row>
    <row r="634" spans="2:4" x14ac:dyDescent="0.2">
      <c r="B634" s="47"/>
      <c r="C634" s="47"/>
      <c r="D634" s="47"/>
    </row>
    <row r="635" spans="2:4" x14ac:dyDescent="0.2">
      <c r="B635" s="47"/>
      <c r="C635" s="47"/>
      <c r="D635" s="47"/>
    </row>
    <row r="636" spans="2:4" x14ac:dyDescent="0.2">
      <c r="B636" s="47"/>
      <c r="C636" s="47"/>
      <c r="D636" s="47"/>
    </row>
    <row r="637" spans="2:4" x14ac:dyDescent="0.2">
      <c r="B637" s="47"/>
      <c r="C637" s="47"/>
      <c r="D637" s="47"/>
    </row>
    <row r="638" spans="2:4" x14ac:dyDescent="0.2">
      <c r="B638" s="47"/>
      <c r="C638" s="47"/>
      <c r="D638" s="47"/>
    </row>
    <row r="639" spans="2:4" x14ac:dyDescent="0.2">
      <c r="B639" s="47"/>
      <c r="C639" s="47"/>
      <c r="D639" s="47"/>
    </row>
    <row r="640" spans="2:4" x14ac:dyDescent="0.2">
      <c r="B640" s="47"/>
      <c r="C640" s="47"/>
      <c r="D640" s="47"/>
    </row>
    <row r="641" spans="2:4" x14ac:dyDescent="0.2">
      <c r="B641" s="47"/>
      <c r="C641" s="47"/>
      <c r="D641" s="47"/>
    </row>
    <row r="642" spans="2:4" x14ac:dyDescent="0.2">
      <c r="B642" s="47"/>
      <c r="C642" s="47"/>
      <c r="D642" s="47"/>
    </row>
    <row r="643" spans="2:4" x14ac:dyDescent="0.2">
      <c r="B643" s="47"/>
      <c r="C643" s="47"/>
      <c r="D643" s="47"/>
    </row>
    <row r="644" spans="2:4" x14ac:dyDescent="0.2">
      <c r="B644" s="47"/>
      <c r="C644" s="47"/>
      <c r="D644" s="47"/>
    </row>
    <row r="645" spans="2:4" x14ac:dyDescent="0.2">
      <c r="B645" s="47"/>
      <c r="C645" s="47"/>
      <c r="D645" s="47"/>
    </row>
    <row r="646" spans="2:4" x14ac:dyDescent="0.2">
      <c r="B646" s="47"/>
      <c r="C646" s="47"/>
      <c r="D646" s="47"/>
    </row>
    <row r="647" spans="2:4" x14ac:dyDescent="0.2">
      <c r="B647" s="47"/>
      <c r="C647" s="47"/>
      <c r="D647" s="47"/>
    </row>
    <row r="648" spans="2:4" x14ac:dyDescent="0.2">
      <c r="B648" s="47"/>
      <c r="C648" s="47"/>
      <c r="D648" s="47"/>
    </row>
    <row r="649" spans="2:4" x14ac:dyDescent="0.2">
      <c r="B649" s="47"/>
      <c r="C649" s="47"/>
      <c r="D649" s="47"/>
    </row>
    <row r="650" spans="2:4" x14ac:dyDescent="0.2">
      <c r="B650" s="47"/>
      <c r="C650" s="47"/>
      <c r="D650" s="47"/>
    </row>
    <row r="651" spans="2:4" x14ac:dyDescent="0.2">
      <c r="B651" s="47"/>
      <c r="C651" s="47"/>
      <c r="D651" s="47"/>
    </row>
    <row r="652" spans="2:4" x14ac:dyDescent="0.2">
      <c r="B652" s="47"/>
      <c r="C652" s="47"/>
      <c r="D652" s="47"/>
    </row>
    <row r="653" spans="2:4" x14ac:dyDescent="0.2">
      <c r="B653" s="47"/>
      <c r="C653" s="47"/>
      <c r="D653" s="47"/>
    </row>
    <row r="654" spans="2:4" x14ac:dyDescent="0.2">
      <c r="B654" s="47"/>
      <c r="C654" s="47"/>
      <c r="D654" s="47"/>
    </row>
    <row r="655" spans="2:4" x14ac:dyDescent="0.2">
      <c r="B655" s="47"/>
      <c r="C655" s="47"/>
      <c r="D655" s="47"/>
    </row>
    <row r="656" spans="2:4" x14ac:dyDescent="0.2">
      <c r="B656" s="47"/>
      <c r="C656" s="47"/>
      <c r="D656" s="47"/>
    </row>
    <row r="657" spans="2:4" x14ac:dyDescent="0.2">
      <c r="B657" s="47"/>
      <c r="C657" s="47"/>
      <c r="D657" s="47"/>
    </row>
    <row r="658" spans="2:4" x14ac:dyDescent="0.2">
      <c r="B658" s="47"/>
      <c r="C658" s="47"/>
      <c r="D658" s="47"/>
    </row>
    <row r="659" spans="2:4" x14ac:dyDescent="0.2">
      <c r="B659" s="47"/>
      <c r="C659" s="47"/>
      <c r="D659" s="47"/>
    </row>
    <row r="660" spans="2:4" x14ac:dyDescent="0.2">
      <c r="B660" s="47"/>
      <c r="C660" s="47"/>
      <c r="D660" s="47"/>
    </row>
    <row r="661" spans="2:4" x14ac:dyDescent="0.2">
      <c r="B661" s="47"/>
      <c r="C661" s="47"/>
      <c r="D661" s="47"/>
    </row>
    <row r="662" spans="2:4" x14ac:dyDescent="0.2">
      <c r="B662" s="47"/>
      <c r="C662" s="47"/>
      <c r="D662" s="47"/>
    </row>
    <row r="663" spans="2:4" x14ac:dyDescent="0.2">
      <c r="B663" s="47"/>
      <c r="C663" s="47"/>
      <c r="D663" s="47"/>
    </row>
    <row r="664" spans="2:4" x14ac:dyDescent="0.2">
      <c r="B664" s="47"/>
      <c r="C664" s="47"/>
      <c r="D664" s="47"/>
    </row>
    <row r="665" spans="2:4" x14ac:dyDescent="0.2">
      <c r="B665" s="47"/>
      <c r="C665" s="47"/>
      <c r="D665" s="47"/>
    </row>
    <row r="666" spans="2:4" x14ac:dyDescent="0.2">
      <c r="B666" s="47"/>
      <c r="C666" s="47"/>
      <c r="D666" s="47"/>
    </row>
    <row r="667" spans="2:4" x14ac:dyDescent="0.2">
      <c r="B667" s="47"/>
      <c r="C667" s="47"/>
      <c r="D667" s="47"/>
    </row>
    <row r="668" spans="2:4" x14ac:dyDescent="0.2">
      <c r="B668" s="47"/>
      <c r="C668" s="47"/>
      <c r="D668" s="47"/>
    </row>
    <row r="669" spans="2:4" x14ac:dyDescent="0.2">
      <c r="B669" s="47"/>
      <c r="C669" s="47"/>
      <c r="D669" s="47"/>
    </row>
    <row r="670" spans="2:4" x14ac:dyDescent="0.2">
      <c r="B670" s="47"/>
      <c r="C670" s="47"/>
      <c r="D670" s="47"/>
    </row>
    <row r="671" spans="2:4" x14ac:dyDescent="0.2">
      <c r="B671" s="47"/>
      <c r="C671" s="47"/>
      <c r="D671" s="47"/>
    </row>
    <row r="672" spans="2:4" x14ac:dyDescent="0.2">
      <c r="B672" s="47"/>
      <c r="C672" s="47"/>
      <c r="D672" s="47"/>
    </row>
    <row r="673" spans="2:4" x14ac:dyDescent="0.2">
      <c r="B673" s="47"/>
      <c r="C673" s="47"/>
      <c r="D673" s="47"/>
    </row>
    <row r="674" spans="2:4" x14ac:dyDescent="0.2">
      <c r="B674" s="47"/>
      <c r="C674" s="47"/>
      <c r="D674" s="47"/>
    </row>
    <row r="675" spans="2:4" x14ac:dyDescent="0.2">
      <c r="B675" s="47"/>
      <c r="C675" s="47"/>
      <c r="D675" s="47"/>
    </row>
    <row r="676" spans="2:4" x14ac:dyDescent="0.2">
      <c r="B676" s="47"/>
      <c r="C676" s="47"/>
      <c r="D676" s="47"/>
    </row>
    <row r="677" spans="2:4" x14ac:dyDescent="0.2">
      <c r="B677" s="47"/>
      <c r="C677" s="47"/>
      <c r="D677" s="47"/>
    </row>
    <row r="678" spans="2:4" x14ac:dyDescent="0.2">
      <c r="B678" s="47"/>
      <c r="C678" s="47"/>
      <c r="D678" s="47"/>
    </row>
    <row r="679" spans="2:4" x14ac:dyDescent="0.2">
      <c r="B679" s="47"/>
      <c r="C679" s="47"/>
      <c r="D679" s="47"/>
    </row>
    <row r="680" spans="2:4" x14ac:dyDescent="0.2">
      <c r="B680" s="47"/>
      <c r="C680" s="47"/>
      <c r="D680" s="47"/>
    </row>
    <row r="681" spans="2:4" x14ac:dyDescent="0.2">
      <c r="B681" s="47"/>
      <c r="C681" s="47"/>
      <c r="D681" s="47"/>
    </row>
    <row r="682" spans="2:4" x14ac:dyDescent="0.2">
      <c r="B682" s="47"/>
      <c r="C682" s="47"/>
      <c r="D682" s="47"/>
    </row>
    <row r="683" spans="2:4" x14ac:dyDescent="0.2">
      <c r="B683" s="47"/>
      <c r="C683" s="47"/>
      <c r="D683" s="47"/>
    </row>
    <row r="684" spans="2:4" x14ac:dyDescent="0.2">
      <c r="B684" s="47"/>
      <c r="C684" s="47"/>
      <c r="D684" s="47"/>
    </row>
    <row r="685" spans="2:4" x14ac:dyDescent="0.2">
      <c r="B685" s="47"/>
      <c r="C685" s="47"/>
      <c r="D685" s="47"/>
    </row>
    <row r="686" spans="2:4" x14ac:dyDescent="0.2">
      <c r="B686" s="47"/>
      <c r="C686" s="47"/>
      <c r="D686" s="47"/>
    </row>
    <row r="687" spans="2:4" x14ac:dyDescent="0.2">
      <c r="B687" s="47"/>
      <c r="C687" s="47"/>
      <c r="D687" s="47"/>
    </row>
    <row r="688" spans="2:4" x14ac:dyDescent="0.2">
      <c r="B688" s="47"/>
      <c r="C688" s="47"/>
      <c r="D688" s="47"/>
    </row>
    <row r="689" spans="2:4" x14ac:dyDescent="0.2">
      <c r="B689" s="47"/>
      <c r="C689" s="47"/>
      <c r="D689" s="47"/>
    </row>
    <row r="690" spans="2:4" x14ac:dyDescent="0.2">
      <c r="B690" s="47"/>
      <c r="C690" s="47"/>
      <c r="D690" s="47"/>
    </row>
    <row r="691" spans="2:4" x14ac:dyDescent="0.2">
      <c r="B691" s="47"/>
      <c r="C691" s="47"/>
      <c r="D691" s="47"/>
    </row>
    <row r="692" spans="2:4" x14ac:dyDescent="0.2">
      <c r="B692" s="47"/>
      <c r="C692" s="47"/>
      <c r="D692" s="47"/>
    </row>
    <row r="693" spans="2:4" x14ac:dyDescent="0.2">
      <c r="B693" s="47"/>
      <c r="C693" s="47"/>
      <c r="D693" s="47"/>
    </row>
    <row r="694" spans="2:4" x14ac:dyDescent="0.2">
      <c r="B694" s="47"/>
      <c r="C694" s="47"/>
      <c r="D694" s="47"/>
    </row>
    <row r="695" spans="2:4" x14ac:dyDescent="0.2">
      <c r="B695" s="47"/>
      <c r="C695" s="47"/>
      <c r="D695" s="47"/>
    </row>
    <row r="696" spans="2:4" x14ac:dyDescent="0.2">
      <c r="B696" s="47"/>
      <c r="C696" s="47"/>
      <c r="D696" s="47"/>
    </row>
    <row r="697" spans="2:4" x14ac:dyDescent="0.2">
      <c r="B697" s="47"/>
      <c r="C697" s="47"/>
      <c r="D697" s="47"/>
    </row>
    <row r="698" spans="2:4" x14ac:dyDescent="0.2">
      <c r="B698" s="47"/>
      <c r="C698" s="47"/>
      <c r="D698" s="47"/>
    </row>
    <row r="699" spans="2:4" x14ac:dyDescent="0.2">
      <c r="B699" s="47"/>
      <c r="C699" s="47"/>
      <c r="D699" s="47"/>
    </row>
    <row r="700" spans="2:4" x14ac:dyDescent="0.2">
      <c r="B700" s="47"/>
      <c r="C700" s="47"/>
      <c r="D700" s="47"/>
    </row>
    <row r="701" spans="2:4" x14ac:dyDescent="0.2">
      <c r="B701" s="47"/>
      <c r="C701" s="47"/>
      <c r="D701" s="47"/>
    </row>
    <row r="702" spans="2:4" x14ac:dyDescent="0.2">
      <c r="B702" s="47"/>
      <c r="C702" s="47"/>
      <c r="D702" s="47"/>
    </row>
    <row r="703" spans="2:4" x14ac:dyDescent="0.2">
      <c r="B703" s="47"/>
      <c r="C703" s="47"/>
      <c r="D703" s="47"/>
    </row>
    <row r="704" spans="2:4" x14ac:dyDescent="0.2">
      <c r="B704" s="47"/>
      <c r="C704" s="47"/>
      <c r="D704" s="47"/>
    </row>
    <row r="705" spans="2:4" x14ac:dyDescent="0.2">
      <c r="B705" s="47"/>
      <c r="C705" s="47"/>
      <c r="D705" s="47"/>
    </row>
    <row r="706" spans="2:4" x14ac:dyDescent="0.2">
      <c r="B706" s="47"/>
      <c r="C706" s="47"/>
      <c r="D706" s="47"/>
    </row>
    <row r="707" spans="2:4" x14ac:dyDescent="0.2">
      <c r="B707" s="47"/>
      <c r="C707" s="47"/>
      <c r="D707" s="47"/>
    </row>
    <row r="708" spans="2:4" x14ac:dyDescent="0.2">
      <c r="B708" s="47"/>
      <c r="C708" s="47"/>
      <c r="D708" s="47"/>
    </row>
    <row r="709" spans="2:4" x14ac:dyDescent="0.2">
      <c r="B709" s="47"/>
      <c r="C709" s="47"/>
      <c r="D709" s="47"/>
    </row>
    <row r="710" spans="2:4" x14ac:dyDescent="0.2">
      <c r="B710" s="47"/>
      <c r="C710" s="47"/>
      <c r="D710" s="47"/>
    </row>
    <row r="711" spans="2:4" x14ac:dyDescent="0.2">
      <c r="B711" s="47"/>
      <c r="C711" s="47"/>
      <c r="D711" s="47"/>
    </row>
    <row r="712" spans="2:4" x14ac:dyDescent="0.2">
      <c r="B712" s="47"/>
      <c r="C712" s="47"/>
      <c r="D712" s="47"/>
    </row>
    <row r="713" spans="2:4" x14ac:dyDescent="0.2">
      <c r="B713" s="47"/>
      <c r="C713" s="47"/>
      <c r="D713" s="47"/>
    </row>
    <row r="714" spans="2:4" x14ac:dyDescent="0.2">
      <c r="B714" s="47"/>
      <c r="C714" s="47"/>
      <c r="D714" s="47"/>
    </row>
    <row r="715" spans="2:4" x14ac:dyDescent="0.2">
      <c r="B715" s="47"/>
      <c r="C715" s="47"/>
      <c r="D715" s="47"/>
    </row>
    <row r="716" spans="2:4" x14ac:dyDescent="0.2">
      <c r="B716" s="47"/>
      <c r="C716" s="47"/>
      <c r="D716" s="47"/>
    </row>
    <row r="717" spans="2:4" x14ac:dyDescent="0.2">
      <c r="B717" s="47"/>
      <c r="C717" s="47"/>
      <c r="D717" s="47"/>
    </row>
    <row r="718" spans="2:4" x14ac:dyDescent="0.2">
      <c r="B718" s="47"/>
      <c r="C718" s="47"/>
      <c r="D718" s="47"/>
    </row>
    <row r="719" spans="2:4" x14ac:dyDescent="0.2">
      <c r="B719" s="47"/>
      <c r="C719" s="47"/>
      <c r="D719" s="47"/>
    </row>
    <row r="720" spans="2:4" x14ac:dyDescent="0.2">
      <c r="B720" s="47"/>
      <c r="C720" s="47"/>
      <c r="D720" s="47"/>
    </row>
    <row r="721" spans="2:4" x14ac:dyDescent="0.2">
      <c r="B721" s="47"/>
      <c r="C721" s="47"/>
      <c r="D721" s="47"/>
    </row>
    <row r="722" spans="2:4" x14ac:dyDescent="0.2">
      <c r="B722" s="47"/>
      <c r="C722" s="47"/>
      <c r="D722" s="47"/>
    </row>
    <row r="723" spans="2:4" x14ac:dyDescent="0.2">
      <c r="B723" s="47"/>
      <c r="C723" s="47"/>
      <c r="D723" s="47"/>
    </row>
    <row r="724" spans="2:4" x14ac:dyDescent="0.2">
      <c r="B724" s="47"/>
      <c r="C724" s="47"/>
      <c r="D724" s="47"/>
    </row>
    <row r="725" spans="2:4" x14ac:dyDescent="0.2">
      <c r="B725" s="47"/>
      <c r="C725" s="47"/>
      <c r="D725" s="47"/>
    </row>
    <row r="726" spans="2:4" x14ac:dyDescent="0.2">
      <c r="B726" s="47"/>
      <c r="C726" s="47"/>
      <c r="D726" s="47"/>
    </row>
    <row r="727" spans="2:4" x14ac:dyDescent="0.2">
      <c r="B727" s="47"/>
      <c r="C727" s="47"/>
      <c r="D727" s="47"/>
    </row>
    <row r="728" spans="2:4" x14ac:dyDescent="0.2">
      <c r="B728" s="47"/>
      <c r="C728" s="47"/>
      <c r="D728" s="47"/>
    </row>
    <row r="729" spans="2:4" x14ac:dyDescent="0.2">
      <c r="B729" s="47"/>
      <c r="C729" s="47"/>
      <c r="D729" s="47"/>
    </row>
    <row r="730" spans="2:4" x14ac:dyDescent="0.2">
      <c r="B730" s="47"/>
      <c r="C730" s="47"/>
      <c r="D730" s="47"/>
    </row>
    <row r="731" spans="2:4" x14ac:dyDescent="0.2">
      <c r="B731" s="47"/>
      <c r="C731" s="47"/>
      <c r="D731" s="47"/>
    </row>
    <row r="732" spans="2:4" x14ac:dyDescent="0.2">
      <c r="B732" s="47"/>
      <c r="C732" s="47"/>
      <c r="D732" s="47"/>
    </row>
    <row r="733" spans="2:4" x14ac:dyDescent="0.2">
      <c r="B733" s="47"/>
      <c r="C733" s="47"/>
      <c r="D733" s="47"/>
    </row>
    <row r="734" spans="2:4" x14ac:dyDescent="0.2">
      <c r="B734" s="47"/>
      <c r="C734" s="47"/>
      <c r="D734" s="47"/>
    </row>
    <row r="735" spans="2:4" x14ac:dyDescent="0.2">
      <c r="B735" s="47"/>
      <c r="C735" s="47"/>
      <c r="D735" s="47"/>
    </row>
    <row r="736" spans="2:4" x14ac:dyDescent="0.2">
      <c r="B736" s="47"/>
      <c r="C736" s="47"/>
      <c r="D736" s="47"/>
    </row>
    <row r="737" spans="2:4" x14ac:dyDescent="0.2">
      <c r="B737" s="47"/>
      <c r="C737" s="47"/>
      <c r="D737" s="47"/>
    </row>
    <row r="738" spans="2:4" x14ac:dyDescent="0.2">
      <c r="B738" s="47"/>
      <c r="C738" s="47"/>
      <c r="D738" s="47"/>
    </row>
    <row r="739" spans="2:4" x14ac:dyDescent="0.2">
      <c r="B739" s="47"/>
      <c r="C739" s="47"/>
      <c r="D739" s="47"/>
    </row>
    <row r="740" spans="2:4" x14ac:dyDescent="0.2">
      <c r="B740" s="47"/>
      <c r="C740" s="47"/>
      <c r="D740" s="47"/>
    </row>
    <row r="741" spans="2:4" x14ac:dyDescent="0.2">
      <c r="B741" s="47"/>
      <c r="C741" s="47"/>
      <c r="D741" s="47"/>
    </row>
    <row r="742" spans="2:4" x14ac:dyDescent="0.2">
      <c r="B742" s="47"/>
      <c r="C742" s="47"/>
      <c r="D742" s="47"/>
    </row>
    <row r="743" spans="2:4" x14ac:dyDescent="0.2">
      <c r="B743" s="47"/>
      <c r="C743" s="47"/>
      <c r="D743" s="47"/>
    </row>
    <row r="744" spans="2:4" x14ac:dyDescent="0.2">
      <c r="B744" s="47"/>
      <c r="C744" s="47"/>
      <c r="D744" s="47"/>
    </row>
    <row r="745" spans="2:4" x14ac:dyDescent="0.2">
      <c r="B745" s="47"/>
      <c r="C745" s="47"/>
      <c r="D745" s="47"/>
    </row>
    <row r="746" spans="2:4" x14ac:dyDescent="0.2">
      <c r="B746" s="47"/>
      <c r="C746" s="47"/>
      <c r="D746" s="47"/>
    </row>
    <row r="747" spans="2:4" x14ac:dyDescent="0.2">
      <c r="B747" s="47"/>
      <c r="C747" s="47"/>
      <c r="D747" s="47"/>
    </row>
    <row r="748" spans="2:4" x14ac:dyDescent="0.2">
      <c r="B748" s="47"/>
      <c r="C748" s="47"/>
      <c r="D748" s="47"/>
    </row>
    <row r="749" spans="2:4" x14ac:dyDescent="0.2">
      <c r="B749" s="47"/>
      <c r="C749" s="47"/>
      <c r="D749" s="47"/>
    </row>
    <row r="750" spans="2:4" x14ac:dyDescent="0.2">
      <c r="B750" s="47"/>
      <c r="C750" s="47"/>
      <c r="D750" s="47"/>
    </row>
    <row r="751" spans="2:4" x14ac:dyDescent="0.2">
      <c r="B751" s="47"/>
      <c r="C751" s="47"/>
      <c r="D751" s="47"/>
    </row>
    <row r="752" spans="2:4" x14ac:dyDescent="0.2">
      <c r="B752" s="47"/>
      <c r="C752" s="47"/>
      <c r="D752" s="47"/>
    </row>
    <row r="753" spans="2:4" x14ac:dyDescent="0.2">
      <c r="B753" s="47"/>
      <c r="C753" s="47"/>
      <c r="D753" s="47"/>
    </row>
    <row r="754" spans="2:4" x14ac:dyDescent="0.2">
      <c r="B754" s="47"/>
      <c r="C754" s="47"/>
      <c r="D754" s="47"/>
    </row>
    <row r="755" spans="2:4" x14ac:dyDescent="0.2">
      <c r="B755" s="47"/>
      <c r="C755" s="47"/>
      <c r="D755" s="47"/>
    </row>
    <row r="756" spans="2:4" x14ac:dyDescent="0.2">
      <c r="B756" s="47"/>
      <c r="C756" s="47"/>
      <c r="D756" s="47"/>
    </row>
    <row r="757" spans="2:4" x14ac:dyDescent="0.2">
      <c r="B757" s="47"/>
      <c r="C757" s="47"/>
      <c r="D757" s="47"/>
    </row>
    <row r="758" spans="2:4" x14ac:dyDescent="0.2">
      <c r="B758" s="47"/>
      <c r="C758" s="47"/>
      <c r="D758" s="47"/>
    </row>
    <row r="759" spans="2:4" x14ac:dyDescent="0.2">
      <c r="B759" s="47"/>
      <c r="C759" s="47"/>
      <c r="D759" s="47"/>
    </row>
    <row r="760" spans="2:4" x14ac:dyDescent="0.2">
      <c r="B760" s="47"/>
      <c r="C760" s="47"/>
      <c r="D760" s="47"/>
    </row>
    <row r="761" spans="2:4" x14ac:dyDescent="0.2">
      <c r="B761" s="47"/>
      <c r="C761" s="47"/>
      <c r="D761" s="47"/>
    </row>
    <row r="762" spans="2:4" x14ac:dyDescent="0.2">
      <c r="B762" s="47"/>
      <c r="C762" s="47"/>
      <c r="D762" s="47"/>
    </row>
    <row r="763" spans="2:4" x14ac:dyDescent="0.2">
      <c r="B763" s="47"/>
      <c r="C763" s="47"/>
      <c r="D763" s="47"/>
    </row>
    <row r="764" spans="2:4" x14ac:dyDescent="0.2">
      <c r="B764" s="47"/>
      <c r="C764" s="47"/>
      <c r="D764" s="47"/>
    </row>
    <row r="765" spans="2:4" x14ac:dyDescent="0.2">
      <c r="B765" s="47"/>
      <c r="C765" s="47"/>
      <c r="D765" s="47"/>
    </row>
    <row r="766" spans="2:4" x14ac:dyDescent="0.2">
      <c r="B766" s="47"/>
      <c r="C766" s="47"/>
      <c r="D766" s="47"/>
    </row>
    <row r="767" spans="2:4" x14ac:dyDescent="0.2">
      <c r="B767" s="47"/>
      <c r="C767" s="47"/>
      <c r="D767" s="47"/>
    </row>
    <row r="768" spans="2:4" x14ac:dyDescent="0.2">
      <c r="B768" s="47"/>
      <c r="C768" s="47"/>
      <c r="D768" s="47"/>
    </row>
    <row r="769" spans="2:4" x14ac:dyDescent="0.2">
      <c r="B769" s="47"/>
      <c r="C769" s="47"/>
      <c r="D769" s="47"/>
    </row>
    <row r="770" spans="2:4" x14ac:dyDescent="0.2">
      <c r="B770" s="47"/>
      <c r="C770" s="47"/>
      <c r="D770" s="47"/>
    </row>
    <row r="771" spans="2:4" x14ac:dyDescent="0.2">
      <c r="B771" s="47"/>
      <c r="C771" s="47"/>
      <c r="D771" s="47"/>
    </row>
    <row r="772" spans="2:4" x14ac:dyDescent="0.2">
      <c r="B772" s="47"/>
      <c r="C772" s="47"/>
      <c r="D772" s="47"/>
    </row>
    <row r="773" spans="2:4" x14ac:dyDescent="0.2">
      <c r="B773" s="47"/>
      <c r="C773" s="47"/>
      <c r="D773" s="47"/>
    </row>
    <row r="774" spans="2:4" x14ac:dyDescent="0.2">
      <c r="B774" s="47"/>
      <c r="C774" s="47"/>
      <c r="D774" s="47"/>
    </row>
    <row r="775" spans="2:4" x14ac:dyDescent="0.2">
      <c r="B775" s="47"/>
      <c r="C775" s="47"/>
      <c r="D775" s="47"/>
    </row>
    <row r="776" spans="2:4" x14ac:dyDescent="0.2">
      <c r="B776" s="47"/>
      <c r="C776" s="47"/>
      <c r="D776" s="47"/>
    </row>
    <row r="777" spans="2:4" x14ac:dyDescent="0.2">
      <c r="B777" s="47"/>
      <c r="C777" s="47"/>
      <c r="D777" s="47"/>
    </row>
    <row r="778" spans="2:4" x14ac:dyDescent="0.2">
      <c r="B778" s="47"/>
      <c r="C778" s="47"/>
      <c r="D778" s="47"/>
    </row>
    <row r="779" spans="2:4" x14ac:dyDescent="0.2">
      <c r="B779" s="47"/>
      <c r="C779" s="47"/>
      <c r="D779" s="47"/>
    </row>
    <row r="780" spans="2:4" x14ac:dyDescent="0.2">
      <c r="B780" s="47"/>
      <c r="C780" s="47"/>
      <c r="D780" s="47"/>
    </row>
    <row r="781" spans="2:4" x14ac:dyDescent="0.2">
      <c r="B781" s="47"/>
      <c r="C781" s="47"/>
      <c r="D781" s="47"/>
    </row>
    <row r="782" spans="2:4" x14ac:dyDescent="0.2">
      <c r="B782" s="47"/>
      <c r="C782" s="47"/>
      <c r="D782" s="47"/>
    </row>
    <row r="783" spans="2:4" x14ac:dyDescent="0.2">
      <c r="B783" s="47"/>
      <c r="C783" s="47"/>
      <c r="D783" s="47"/>
    </row>
    <row r="784" spans="2:4" x14ac:dyDescent="0.2">
      <c r="B784" s="47"/>
      <c r="C784" s="47"/>
      <c r="D784" s="47"/>
    </row>
    <row r="785" spans="2:4" x14ac:dyDescent="0.2">
      <c r="B785" s="47"/>
      <c r="C785" s="47"/>
      <c r="D785" s="47"/>
    </row>
    <row r="786" spans="2:4" x14ac:dyDescent="0.2">
      <c r="B786" s="47"/>
      <c r="C786" s="47"/>
      <c r="D786" s="47"/>
    </row>
    <row r="787" spans="2:4" x14ac:dyDescent="0.2">
      <c r="B787" s="47"/>
      <c r="C787" s="47"/>
      <c r="D787" s="47"/>
    </row>
    <row r="788" spans="2:4" x14ac:dyDescent="0.2">
      <c r="B788" s="47"/>
      <c r="C788" s="47"/>
      <c r="D788" s="47"/>
    </row>
    <row r="789" spans="2:4" x14ac:dyDescent="0.2">
      <c r="B789" s="47"/>
      <c r="C789" s="47"/>
      <c r="D789" s="47"/>
    </row>
    <row r="790" spans="2:4" x14ac:dyDescent="0.2">
      <c r="B790" s="47"/>
      <c r="C790" s="47"/>
      <c r="D790" s="47"/>
    </row>
    <row r="791" spans="2:4" x14ac:dyDescent="0.2">
      <c r="B791" s="47"/>
      <c r="C791" s="47"/>
      <c r="D791" s="47"/>
    </row>
    <row r="792" spans="2:4" x14ac:dyDescent="0.2">
      <c r="B792" s="47"/>
      <c r="C792" s="47"/>
      <c r="D792" s="47"/>
    </row>
    <row r="793" spans="2:4" x14ac:dyDescent="0.2">
      <c r="B793" s="47"/>
      <c r="C793" s="47"/>
      <c r="D793" s="47"/>
    </row>
    <row r="794" spans="2:4" x14ac:dyDescent="0.2">
      <c r="B794" s="47"/>
      <c r="C794" s="47"/>
      <c r="D794" s="47"/>
    </row>
    <row r="795" spans="2:4" x14ac:dyDescent="0.2">
      <c r="B795" s="47"/>
      <c r="C795" s="47"/>
      <c r="D795" s="47"/>
    </row>
    <row r="796" spans="2:4" x14ac:dyDescent="0.2">
      <c r="B796" s="47"/>
      <c r="C796" s="47"/>
      <c r="D796" s="47"/>
    </row>
    <row r="797" spans="2:4" x14ac:dyDescent="0.2">
      <c r="B797" s="47"/>
      <c r="C797" s="47"/>
      <c r="D797" s="47"/>
    </row>
    <row r="798" spans="2:4" x14ac:dyDescent="0.2">
      <c r="B798" s="47"/>
      <c r="C798" s="47"/>
      <c r="D798" s="47"/>
    </row>
    <row r="799" spans="2:4" x14ac:dyDescent="0.2">
      <c r="B799" s="47"/>
      <c r="C799" s="47"/>
      <c r="D799" s="47"/>
    </row>
    <row r="800" spans="2:4" x14ac:dyDescent="0.2">
      <c r="B800" s="47"/>
      <c r="C800" s="47"/>
      <c r="D800" s="47"/>
    </row>
    <row r="801" spans="2:4" x14ac:dyDescent="0.2">
      <c r="B801" s="47"/>
      <c r="C801" s="47"/>
      <c r="D801" s="47"/>
    </row>
    <row r="802" spans="2:4" x14ac:dyDescent="0.2">
      <c r="B802" s="47"/>
      <c r="C802" s="47"/>
      <c r="D802" s="47"/>
    </row>
    <row r="803" spans="2:4" x14ac:dyDescent="0.2">
      <c r="B803" s="47"/>
      <c r="C803" s="47"/>
      <c r="D803" s="47"/>
    </row>
    <row r="804" spans="2:4" x14ac:dyDescent="0.2">
      <c r="B804" s="47"/>
      <c r="C804" s="47"/>
      <c r="D804" s="47"/>
    </row>
    <row r="805" spans="2:4" x14ac:dyDescent="0.2">
      <c r="B805" s="47"/>
      <c r="C805" s="47"/>
      <c r="D805" s="47"/>
    </row>
    <row r="806" spans="2:4" x14ac:dyDescent="0.2">
      <c r="B806" s="47"/>
      <c r="C806" s="47"/>
      <c r="D806" s="47"/>
    </row>
    <row r="807" spans="2:4" x14ac:dyDescent="0.2">
      <c r="B807" s="47"/>
      <c r="C807" s="47"/>
      <c r="D807" s="47"/>
    </row>
    <row r="808" spans="2:4" x14ac:dyDescent="0.2">
      <c r="B808" s="47"/>
      <c r="C808" s="47"/>
      <c r="D808" s="47"/>
    </row>
    <row r="809" spans="2:4" x14ac:dyDescent="0.2">
      <c r="B809" s="47"/>
      <c r="C809" s="47"/>
      <c r="D809" s="47"/>
    </row>
    <row r="810" spans="2:4" x14ac:dyDescent="0.2">
      <c r="B810" s="47"/>
      <c r="C810" s="47"/>
      <c r="D810" s="47"/>
    </row>
    <row r="811" spans="2:4" x14ac:dyDescent="0.2">
      <c r="B811" s="47"/>
      <c r="C811" s="47"/>
      <c r="D811" s="47"/>
    </row>
    <row r="812" spans="2:4" x14ac:dyDescent="0.2">
      <c r="B812" s="47"/>
      <c r="C812" s="47"/>
      <c r="D812" s="47"/>
    </row>
    <row r="813" spans="2:4" x14ac:dyDescent="0.2">
      <c r="B813" s="47"/>
      <c r="C813" s="47"/>
      <c r="D813" s="47"/>
    </row>
    <row r="814" spans="2:4" x14ac:dyDescent="0.2">
      <c r="B814" s="47"/>
      <c r="C814" s="47"/>
      <c r="D814" s="47"/>
    </row>
    <row r="815" spans="2:4" x14ac:dyDescent="0.2">
      <c r="B815" s="47"/>
      <c r="C815" s="47"/>
      <c r="D815" s="47"/>
    </row>
    <row r="816" spans="2:4" x14ac:dyDescent="0.2">
      <c r="B816" s="47"/>
      <c r="C816" s="47"/>
      <c r="D816" s="47"/>
    </row>
    <row r="817" spans="2:4" x14ac:dyDescent="0.2">
      <c r="B817" s="47"/>
      <c r="C817" s="47"/>
      <c r="D817" s="47"/>
    </row>
    <row r="818" spans="2:4" x14ac:dyDescent="0.2">
      <c r="B818" s="47"/>
      <c r="C818" s="47"/>
      <c r="D818" s="47"/>
    </row>
    <row r="819" spans="2:4" x14ac:dyDescent="0.2">
      <c r="B819" s="47"/>
      <c r="C819" s="47"/>
      <c r="D819" s="47"/>
    </row>
    <row r="820" spans="2:4" x14ac:dyDescent="0.2">
      <c r="B820" s="47"/>
      <c r="C820" s="47"/>
      <c r="D820" s="47"/>
    </row>
    <row r="821" spans="2:4" x14ac:dyDescent="0.2">
      <c r="B821" s="47"/>
      <c r="C821" s="47"/>
      <c r="D821" s="47"/>
    </row>
    <row r="822" spans="2:4" x14ac:dyDescent="0.2">
      <c r="B822" s="47"/>
      <c r="C822" s="47"/>
      <c r="D822" s="47"/>
    </row>
    <row r="823" spans="2:4" x14ac:dyDescent="0.2">
      <c r="B823" s="47"/>
      <c r="C823" s="47"/>
      <c r="D823" s="47"/>
    </row>
    <row r="824" spans="2:4" x14ac:dyDescent="0.2">
      <c r="B824" s="47"/>
      <c r="C824" s="47"/>
      <c r="D824" s="47"/>
    </row>
    <row r="825" spans="2:4" x14ac:dyDescent="0.2">
      <c r="B825" s="47"/>
      <c r="C825" s="47"/>
      <c r="D825" s="47"/>
    </row>
    <row r="826" spans="2:4" x14ac:dyDescent="0.2">
      <c r="B826" s="47"/>
      <c r="C826" s="47"/>
      <c r="D826" s="47"/>
    </row>
    <row r="827" spans="2:4" x14ac:dyDescent="0.2">
      <c r="B827" s="47"/>
      <c r="C827" s="47"/>
      <c r="D827" s="47"/>
    </row>
    <row r="828" spans="2:4" x14ac:dyDescent="0.2">
      <c r="B828" s="47"/>
      <c r="C828" s="47"/>
      <c r="D828" s="47"/>
    </row>
    <row r="829" spans="2:4" x14ac:dyDescent="0.2">
      <c r="B829" s="47"/>
      <c r="C829" s="47"/>
      <c r="D829" s="47"/>
    </row>
    <row r="830" spans="2:4" x14ac:dyDescent="0.2">
      <c r="B830" s="47"/>
      <c r="C830" s="47"/>
      <c r="D830" s="47"/>
    </row>
    <row r="831" spans="2:4" x14ac:dyDescent="0.2">
      <c r="B831" s="47"/>
      <c r="C831" s="47"/>
      <c r="D831" s="47"/>
    </row>
    <row r="832" spans="2:4" x14ac:dyDescent="0.2">
      <c r="B832" s="47"/>
      <c r="C832" s="47"/>
      <c r="D832" s="47"/>
    </row>
    <row r="833" spans="2:4" x14ac:dyDescent="0.2">
      <c r="B833" s="47"/>
      <c r="C833" s="47"/>
      <c r="D833" s="47"/>
    </row>
    <row r="834" spans="2:4" x14ac:dyDescent="0.2">
      <c r="B834" s="47"/>
      <c r="C834" s="47"/>
      <c r="D834" s="47"/>
    </row>
    <row r="835" spans="2:4" x14ac:dyDescent="0.2">
      <c r="B835" s="47"/>
      <c r="C835" s="47"/>
      <c r="D835" s="47"/>
    </row>
    <row r="836" spans="2:4" x14ac:dyDescent="0.2">
      <c r="B836" s="47"/>
      <c r="C836" s="47"/>
      <c r="D836" s="47"/>
    </row>
    <row r="837" spans="2:4" x14ac:dyDescent="0.2">
      <c r="B837" s="47"/>
      <c r="C837" s="47"/>
      <c r="D837" s="47"/>
    </row>
    <row r="838" spans="2:4" x14ac:dyDescent="0.2">
      <c r="B838" s="47"/>
      <c r="C838" s="47"/>
      <c r="D838" s="47"/>
    </row>
    <row r="839" spans="2:4" x14ac:dyDescent="0.2">
      <c r="B839" s="47"/>
      <c r="C839" s="47"/>
      <c r="D839" s="47"/>
    </row>
    <row r="840" spans="2:4" x14ac:dyDescent="0.2">
      <c r="B840" s="47"/>
      <c r="C840" s="47"/>
      <c r="D840" s="47"/>
    </row>
    <row r="841" spans="2:4" x14ac:dyDescent="0.2">
      <c r="B841" s="47"/>
      <c r="C841" s="47"/>
      <c r="D841" s="47"/>
    </row>
    <row r="842" spans="2:4" x14ac:dyDescent="0.2">
      <c r="B842" s="47"/>
      <c r="C842" s="47"/>
      <c r="D842" s="47"/>
    </row>
    <row r="843" spans="2:4" x14ac:dyDescent="0.2">
      <c r="B843" s="47"/>
      <c r="C843" s="47"/>
      <c r="D843" s="47"/>
    </row>
    <row r="844" spans="2:4" x14ac:dyDescent="0.2">
      <c r="B844" s="47"/>
      <c r="C844" s="47"/>
      <c r="D844" s="47"/>
    </row>
    <row r="845" spans="2:4" x14ac:dyDescent="0.2">
      <c r="B845" s="47"/>
      <c r="C845" s="47"/>
      <c r="D845" s="47"/>
    </row>
    <row r="846" spans="2:4" x14ac:dyDescent="0.2">
      <c r="B846" s="47"/>
      <c r="C846" s="47"/>
      <c r="D846" s="47"/>
    </row>
    <row r="847" spans="2:4" x14ac:dyDescent="0.2">
      <c r="B847" s="47"/>
      <c r="C847" s="47"/>
      <c r="D847" s="47"/>
    </row>
    <row r="848" spans="2:4" x14ac:dyDescent="0.2">
      <c r="B848" s="47"/>
      <c r="C848" s="47"/>
      <c r="D848" s="47"/>
    </row>
    <row r="849" spans="2:4" x14ac:dyDescent="0.2">
      <c r="B849" s="47"/>
      <c r="C849" s="47"/>
      <c r="D849" s="47"/>
    </row>
    <row r="850" spans="2:4" x14ac:dyDescent="0.2">
      <c r="B850" s="47"/>
      <c r="C850" s="47"/>
      <c r="D850" s="47"/>
    </row>
    <row r="851" spans="2:4" x14ac:dyDescent="0.2">
      <c r="B851" s="47"/>
      <c r="C851" s="47"/>
      <c r="D851" s="47"/>
    </row>
    <row r="852" spans="2:4" x14ac:dyDescent="0.2">
      <c r="B852" s="47"/>
      <c r="C852" s="47"/>
      <c r="D852" s="47"/>
    </row>
    <row r="853" spans="2:4" x14ac:dyDescent="0.2">
      <c r="B853" s="47"/>
      <c r="C853" s="47"/>
      <c r="D853" s="47"/>
    </row>
    <row r="854" spans="2:4" x14ac:dyDescent="0.2">
      <c r="B854" s="47"/>
      <c r="C854" s="47"/>
      <c r="D854" s="47"/>
    </row>
    <row r="855" spans="2:4" x14ac:dyDescent="0.2">
      <c r="B855" s="47"/>
      <c r="C855" s="47"/>
      <c r="D855" s="47"/>
    </row>
    <row r="856" spans="2:4" x14ac:dyDescent="0.2">
      <c r="B856" s="47"/>
      <c r="C856" s="47"/>
      <c r="D856" s="47"/>
    </row>
    <row r="857" spans="2:4" x14ac:dyDescent="0.2">
      <c r="B857" s="47"/>
      <c r="C857" s="47"/>
      <c r="D857" s="47"/>
    </row>
    <row r="858" spans="2:4" x14ac:dyDescent="0.2">
      <c r="B858" s="47"/>
      <c r="C858" s="47"/>
      <c r="D858" s="47"/>
    </row>
    <row r="859" spans="2:4" x14ac:dyDescent="0.2">
      <c r="B859" s="47"/>
      <c r="C859" s="47"/>
      <c r="D859" s="47"/>
    </row>
    <row r="860" spans="2:4" x14ac:dyDescent="0.2">
      <c r="B860" s="47"/>
      <c r="C860" s="47"/>
      <c r="D860" s="47"/>
    </row>
    <row r="861" spans="2:4" x14ac:dyDescent="0.2">
      <c r="B861" s="47"/>
      <c r="C861" s="47"/>
      <c r="D861" s="47"/>
    </row>
    <row r="862" spans="2:4" x14ac:dyDescent="0.2">
      <c r="B862" s="47"/>
      <c r="C862" s="47"/>
      <c r="D862" s="47"/>
    </row>
    <row r="863" spans="2:4" x14ac:dyDescent="0.2">
      <c r="B863" s="47"/>
      <c r="C863" s="47"/>
      <c r="D863" s="47"/>
    </row>
    <row r="864" spans="2:4" x14ac:dyDescent="0.2">
      <c r="B864" s="47"/>
      <c r="C864" s="47"/>
      <c r="D864" s="47"/>
    </row>
    <row r="865" spans="2:4" x14ac:dyDescent="0.2">
      <c r="B865" s="47"/>
      <c r="C865" s="47"/>
      <c r="D865" s="47"/>
    </row>
    <row r="866" spans="2:4" x14ac:dyDescent="0.2">
      <c r="B866" s="47"/>
      <c r="C866" s="47"/>
      <c r="D866" s="47"/>
    </row>
    <row r="867" spans="2:4" x14ac:dyDescent="0.2">
      <c r="B867" s="47"/>
      <c r="C867" s="47"/>
      <c r="D867" s="47"/>
    </row>
    <row r="868" spans="2:4" x14ac:dyDescent="0.2">
      <c r="B868" s="47"/>
      <c r="C868" s="47"/>
      <c r="D868" s="47"/>
    </row>
    <row r="869" spans="2:4" x14ac:dyDescent="0.2">
      <c r="B869" s="47"/>
      <c r="C869" s="47"/>
      <c r="D869" s="47"/>
    </row>
    <row r="870" spans="2:4" x14ac:dyDescent="0.2">
      <c r="B870" s="47"/>
      <c r="C870" s="47"/>
      <c r="D870" s="47"/>
    </row>
    <row r="871" spans="2:4" x14ac:dyDescent="0.2">
      <c r="B871" s="47"/>
      <c r="C871" s="47"/>
      <c r="D871" s="47"/>
    </row>
    <row r="872" spans="2:4" x14ac:dyDescent="0.2">
      <c r="B872" s="47"/>
      <c r="C872" s="47"/>
      <c r="D872" s="47"/>
    </row>
    <row r="873" spans="2:4" x14ac:dyDescent="0.2">
      <c r="B873" s="47"/>
      <c r="C873" s="47"/>
      <c r="D873" s="47"/>
    </row>
    <row r="874" spans="2:4" x14ac:dyDescent="0.2">
      <c r="B874" s="47"/>
      <c r="C874" s="47"/>
      <c r="D874" s="47"/>
    </row>
    <row r="875" spans="2:4" x14ac:dyDescent="0.2">
      <c r="B875" s="47"/>
      <c r="C875" s="47"/>
      <c r="D875" s="47"/>
    </row>
    <row r="876" spans="2:4" x14ac:dyDescent="0.2">
      <c r="B876" s="47"/>
      <c r="C876" s="47"/>
      <c r="D876" s="47"/>
    </row>
    <row r="877" spans="2:4" x14ac:dyDescent="0.2">
      <c r="B877" s="47"/>
      <c r="C877" s="47"/>
      <c r="D877" s="47"/>
    </row>
    <row r="878" spans="2:4" x14ac:dyDescent="0.2">
      <c r="B878" s="47"/>
      <c r="C878" s="47"/>
      <c r="D878" s="47"/>
    </row>
    <row r="879" spans="2:4" x14ac:dyDescent="0.2">
      <c r="B879" s="47"/>
      <c r="C879" s="47"/>
      <c r="D879" s="47"/>
    </row>
    <row r="880" spans="2:4" x14ac:dyDescent="0.2">
      <c r="B880" s="47"/>
      <c r="C880" s="47"/>
      <c r="D880" s="47"/>
    </row>
    <row r="881" spans="2:4" x14ac:dyDescent="0.2">
      <c r="B881" s="47"/>
      <c r="C881" s="47"/>
      <c r="D881" s="47"/>
    </row>
    <row r="882" spans="2:4" x14ac:dyDescent="0.2">
      <c r="B882" s="47"/>
      <c r="C882" s="47"/>
      <c r="D882" s="47"/>
    </row>
    <row r="883" spans="2:4" x14ac:dyDescent="0.2">
      <c r="B883" s="47"/>
      <c r="C883" s="47"/>
      <c r="D883" s="47"/>
    </row>
    <row r="884" spans="2:4" x14ac:dyDescent="0.2">
      <c r="B884" s="47"/>
      <c r="C884" s="47"/>
      <c r="D884" s="47"/>
    </row>
    <row r="885" spans="2:4" x14ac:dyDescent="0.2">
      <c r="B885" s="47"/>
      <c r="C885" s="47"/>
      <c r="D885" s="47"/>
    </row>
    <row r="886" spans="2:4" x14ac:dyDescent="0.2">
      <c r="B886" s="47"/>
      <c r="C886" s="47"/>
      <c r="D886" s="47"/>
    </row>
    <row r="887" spans="2:4" x14ac:dyDescent="0.2">
      <c r="B887" s="47"/>
      <c r="C887" s="47"/>
      <c r="D887" s="47"/>
    </row>
    <row r="888" spans="2:4" x14ac:dyDescent="0.2">
      <c r="B888" s="47"/>
      <c r="C888" s="47"/>
      <c r="D888" s="47"/>
    </row>
    <row r="889" spans="2:4" x14ac:dyDescent="0.2">
      <c r="B889" s="47"/>
      <c r="C889" s="47"/>
      <c r="D889" s="47"/>
    </row>
    <row r="890" spans="2:4" x14ac:dyDescent="0.2">
      <c r="B890" s="47"/>
      <c r="C890" s="47"/>
      <c r="D890" s="47"/>
    </row>
    <row r="891" spans="2:4" x14ac:dyDescent="0.2">
      <c r="B891" s="47"/>
      <c r="C891" s="47"/>
      <c r="D891" s="47"/>
    </row>
    <row r="892" spans="2:4" x14ac:dyDescent="0.2">
      <c r="B892" s="47"/>
      <c r="C892" s="47"/>
      <c r="D892" s="47"/>
    </row>
    <row r="893" spans="2:4" x14ac:dyDescent="0.2">
      <c r="B893" s="47"/>
      <c r="C893" s="47"/>
      <c r="D893" s="47"/>
    </row>
    <row r="894" spans="2:4" x14ac:dyDescent="0.2">
      <c r="B894" s="47"/>
      <c r="C894" s="47"/>
      <c r="D894" s="47"/>
    </row>
    <row r="895" spans="2:4" x14ac:dyDescent="0.2">
      <c r="B895" s="47"/>
      <c r="C895" s="47"/>
      <c r="D895" s="47"/>
    </row>
    <row r="896" spans="2:4" x14ac:dyDescent="0.2">
      <c r="B896" s="47"/>
      <c r="C896" s="47"/>
      <c r="D896" s="47"/>
    </row>
    <row r="897" spans="2:4" x14ac:dyDescent="0.2">
      <c r="B897" s="47"/>
      <c r="C897" s="47"/>
      <c r="D897" s="47"/>
    </row>
    <row r="898" spans="2:4" x14ac:dyDescent="0.2">
      <c r="B898" s="47"/>
      <c r="C898" s="47"/>
      <c r="D898" s="47"/>
    </row>
    <row r="899" spans="2:4" x14ac:dyDescent="0.2">
      <c r="B899" s="47"/>
      <c r="C899" s="47"/>
      <c r="D899" s="47"/>
    </row>
    <row r="900" spans="2:4" x14ac:dyDescent="0.2">
      <c r="B900" s="47"/>
      <c r="C900" s="47"/>
      <c r="D900" s="47"/>
    </row>
    <row r="901" spans="2:4" x14ac:dyDescent="0.2">
      <c r="B901" s="47"/>
      <c r="C901" s="47"/>
      <c r="D901" s="47"/>
    </row>
    <row r="902" spans="2:4" x14ac:dyDescent="0.2">
      <c r="B902" s="47"/>
      <c r="C902" s="47"/>
      <c r="D902" s="47"/>
    </row>
    <row r="903" spans="2:4" x14ac:dyDescent="0.2">
      <c r="B903" s="47"/>
      <c r="C903" s="47"/>
      <c r="D903" s="47"/>
    </row>
    <row r="904" spans="2:4" x14ac:dyDescent="0.2">
      <c r="B904" s="47"/>
      <c r="C904" s="47"/>
      <c r="D904" s="47"/>
    </row>
    <row r="905" spans="2:4" x14ac:dyDescent="0.2">
      <c r="B905" s="47"/>
      <c r="C905" s="47"/>
      <c r="D905" s="47"/>
    </row>
    <row r="906" spans="2:4" x14ac:dyDescent="0.2">
      <c r="B906" s="47"/>
      <c r="C906" s="47"/>
      <c r="D906" s="47"/>
    </row>
    <row r="907" spans="2:4" x14ac:dyDescent="0.2">
      <c r="B907" s="47"/>
      <c r="C907" s="47"/>
      <c r="D907" s="47"/>
    </row>
    <row r="908" spans="2:4" x14ac:dyDescent="0.2">
      <c r="B908" s="47"/>
      <c r="C908" s="47"/>
      <c r="D908" s="47"/>
    </row>
    <row r="909" spans="2:4" x14ac:dyDescent="0.2">
      <c r="B909" s="47"/>
      <c r="C909" s="47"/>
      <c r="D909" s="47"/>
    </row>
    <row r="910" spans="2:4" x14ac:dyDescent="0.2">
      <c r="B910" s="47"/>
      <c r="C910" s="47"/>
      <c r="D910" s="47"/>
    </row>
    <row r="911" spans="2:4" x14ac:dyDescent="0.2">
      <c r="B911" s="47"/>
      <c r="C911" s="47"/>
      <c r="D911" s="47"/>
    </row>
    <row r="912" spans="2:4" x14ac:dyDescent="0.2">
      <c r="B912" s="47"/>
      <c r="C912" s="47"/>
      <c r="D912" s="47"/>
    </row>
    <row r="913" spans="2:4" x14ac:dyDescent="0.2">
      <c r="B913" s="47"/>
      <c r="C913" s="47"/>
      <c r="D913" s="47"/>
    </row>
    <row r="914" spans="2:4" x14ac:dyDescent="0.2">
      <c r="B914" s="47"/>
      <c r="C914" s="47"/>
      <c r="D914" s="47"/>
    </row>
    <row r="915" spans="2:4" x14ac:dyDescent="0.2">
      <c r="B915" s="47"/>
      <c r="C915" s="47"/>
      <c r="D915" s="47"/>
    </row>
    <row r="916" spans="2:4" x14ac:dyDescent="0.2">
      <c r="B916" s="47"/>
      <c r="C916" s="47"/>
      <c r="D916" s="47"/>
    </row>
    <row r="917" spans="2:4" x14ac:dyDescent="0.2">
      <c r="B917" s="47"/>
      <c r="C917" s="47"/>
      <c r="D917" s="47"/>
    </row>
    <row r="918" spans="2:4" x14ac:dyDescent="0.2">
      <c r="B918" s="47"/>
      <c r="C918" s="47"/>
      <c r="D918" s="47"/>
    </row>
    <row r="919" spans="2:4" x14ac:dyDescent="0.2">
      <c r="B919" s="47"/>
      <c r="C919" s="47"/>
      <c r="D919" s="47"/>
    </row>
    <row r="920" spans="2:4" x14ac:dyDescent="0.2">
      <c r="B920" s="47"/>
      <c r="C920" s="47"/>
      <c r="D920" s="47"/>
    </row>
    <row r="921" spans="2:4" x14ac:dyDescent="0.2">
      <c r="B921" s="47"/>
      <c r="C921" s="47"/>
      <c r="D921" s="47"/>
    </row>
    <row r="922" spans="2:4" x14ac:dyDescent="0.2">
      <c r="B922" s="47"/>
      <c r="C922" s="47"/>
      <c r="D922" s="47"/>
    </row>
    <row r="923" spans="2:4" x14ac:dyDescent="0.2">
      <c r="B923" s="47"/>
      <c r="C923" s="47"/>
      <c r="D923" s="47"/>
    </row>
    <row r="924" spans="2:4" x14ac:dyDescent="0.2">
      <c r="B924" s="47"/>
      <c r="C924" s="47"/>
      <c r="D924" s="47"/>
    </row>
    <row r="925" spans="2:4" x14ac:dyDescent="0.2">
      <c r="B925" s="47"/>
      <c r="C925" s="47"/>
      <c r="D925" s="47"/>
    </row>
    <row r="926" spans="2:4" x14ac:dyDescent="0.2">
      <c r="B926" s="47"/>
      <c r="C926" s="47"/>
      <c r="D926" s="47"/>
    </row>
    <row r="927" spans="2:4" x14ac:dyDescent="0.2">
      <c r="B927" s="47"/>
      <c r="C927" s="47"/>
      <c r="D927" s="47"/>
    </row>
    <row r="928" spans="2:4" x14ac:dyDescent="0.2">
      <c r="B928" s="47"/>
      <c r="C928" s="47"/>
      <c r="D928" s="47"/>
    </row>
    <row r="929" spans="2:4" x14ac:dyDescent="0.2">
      <c r="B929" s="47"/>
      <c r="C929" s="47"/>
      <c r="D929" s="47"/>
    </row>
    <row r="930" spans="2:4" x14ac:dyDescent="0.2">
      <c r="B930" s="47"/>
      <c r="C930" s="47"/>
      <c r="D930" s="47"/>
    </row>
    <row r="931" spans="2:4" x14ac:dyDescent="0.2">
      <c r="B931" s="47"/>
      <c r="C931" s="47"/>
      <c r="D931" s="47"/>
    </row>
    <row r="932" spans="2:4" x14ac:dyDescent="0.2">
      <c r="B932" s="47"/>
      <c r="C932" s="47"/>
      <c r="D932" s="47"/>
    </row>
    <row r="933" spans="2:4" x14ac:dyDescent="0.2">
      <c r="B933" s="47"/>
      <c r="C933" s="47"/>
      <c r="D933" s="47"/>
    </row>
    <row r="934" spans="2:4" x14ac:dyDescent="0.2">
      <c r="B934" s="47"/>
      <c r="C934" s="47"/>
      <c r="D934" s="47"/>
    </row>
    <row r="935" spans="2:4" x14ac:dyDescent="0.2">
      <c r="B935" s="47"/>
      <c r="C935" s="47"/>
      <c r="D935" s="47"/>
    </row>
    <row r="936" spans="2:4" x14ac:dyDescent="0.2">
      <c r="B936" s="47"/>
      <c r="C936" s="47"/>
      <c r="D936" s="47"/>
    </row>
    <row r="937" spans="2:4" x14ac:dyDescent="0.2">
      <c r="B937" s="47"/>
      <c r="C937" s="47"/>
      <c r="D937" s="47"/>
    </row>
    <row r="938" spans="2:4" x14ac:dyDescent="0.2">
      <c r="B938" s="47"/>
      <c r="C938" s="47"/>
      <c r="D938" s="47"/>
    </row>
    <row r="939" spans="2:4" x14ac:dyDescent="0.2">
      <c r="B939" s="47"/>
      <c r="C939" s="47"/>
      <c r="D939" s="47"/>
    </row>
    <row r="940" spans="2:4" x14ac:dyDescent="0.2">
      <c r="B940" s="47"/>
      <c r="C940" s="47"/>
      <c r="D940" s="47"/>
    </row>
    <row r="941" spans="2:4" x14ac:dyDescent="0.2">
      <c r="B941" s="47"/>
      <c r="C941" s="47"/>
      <c r="D941" s="47"/>
    </row>
    <row r="942" spans="2:4" x14ac:dyDescent="0.2">
      <c r="B942" s="47"/>
      <c r="C942" s="47"/>
      <c r="D942" s="47"/>
    </row>
    <row r="943" spans="2:4" x14ac:dyDescent="0.2">
      <c r="B943" s="47"/>
      <c r="C943" s="47"/>
      <c r="D943" s="47"/>
    </row>
    <row r="944" spans="2:4" x14ac:dyDescent="0.2">
      <c r="B944" s="47"/>
      <c r="C944" s="47"/>
      <c r="D944" s="47"/>
    </row>
    <row r="945" spans="2:4" x14ac:dyDescent="0.2">
      <c r="B945" s="47"/>
      <c r="C945" s="47"/>
      <c r="D945" s="47"/>
    </row>
    <row r="946" spans="2:4" x14ac:dyDescent="0.2">
      <c r="B946" s="47"/>
      <c r="C946" s="47"/>
      <c r="D946" s="47"/>
    </row>
    <row r="947" spans="2:4" x14ac:dyDescent="0.2">
      <c r="B947" s="47"/>
      <c r="C947" s="47"/>
      <c r="D947" s="47"/>
    </row>
    <row r="948" spans="2:4" x14ac:dyDescent="0.2">
      <c r="B948" s="47"/>
      <c r="C948" s="47"/>
      <c r="D948" s="47"/>
    </row>
    <row r="949" spans="2:4" x14ac:dyDescent="0.2">
      <c r="B949" s="47"/>
      <c r="C949" s="47"/>
      <c r="D949" s="47"/>
    </row>
    <row r="950" spans="2:4" x14ac:dyDescent="0.2">
      <c r="B950" s="47"/>
      <c r="C950" s="47"/>
      <c r="D950" s="47"/>
    </row>
    <row r="951" spans="2:4" x14ac:dyDescent="0.2">
      <c r="B951" s="47"/>
      <c r="C951" s="47"/>
      <c r="D951" s="47"/>
    </row>
    <row r="952" spans="2:4" x14ac:dyDescent="0.2">
      <c r="B952" s="47"/>
      <c r="C952" s="47"/>
      <c r="D952" s="47"/>
    </row>
    <row r="953" spans="2:4" x14ac:dyDescent="0.2">
      <c r="B953" s="47"/>
      <c r="C953" s="47"/>
      <c r="D953" s="47"/>
    </row>
    <row r="954" spans="2:4" x14ac:dyDescent="0.2">
      <c r="B954" s="47"/>
      <c r="C954" s="47"/>
      <c r="D954" s="47"/>
    </row>
    <row r="955" spans="2:4" x14ac:dyDescent="0.2">
      <c r="B955" s="47"/>
      <c r="C955" s="47"/>
      <c r="D955" s="47"/>
    </row>
    <row r="956" spans="2:4" x14ac:dyDescent="0.2">
      <c r="B956" s="47"/>
      <c r="C956" s="47"/>
      <c r="D956" s="47"/>
    </row>
    <row r="957" spans="2:4" x14ac:dyDescent="0.2">
      <c r="B957" s="47"/>
      <c r="C957" s="47"/>
      <c r="D957" s="47"/>
    </row>
    <row r="958" spans="2:4" x14ac:dyDescent="0.2">
      <c r="B958" s="47"/>
      <c r="C958" s="47"/>
      <c r="D958" s="47"/>
    </row>
    <row r="959" spans="2:4" x14ac:dyDescent="0.2">
      <c r="B959" s="47"/>
      <c r="C959" s="47"/>
      <c r="D959" s="47"/>
    </row>
    <row r="960" spans="2:4" x14ac:dyDescent="0.2">
      <c r="B960" s="47"/>
      <c r="C960" s="47"/>
      <c r="D960" s="47"/>
    </row>
    <row r="961" spans="2:4" x14ac:dyDescent="0.2">
      <c r="B961" s="47"/>
      <c r="C961" s="47"/>
      <c r="D961" s="47"/>
    </row>
    <row r="962" spans="2:4" x14ac:dyDescent="0.2">
      <c r="B962" s="47"/>
      <c r="C962" s="47"/>
      <c r="D962" s="47"/>
    </row>
    <row r="963" spans="2:4" x14ac:dyDescent="0.2">
      <c r="B963" s="47"/>
      <c r="C963" s="47"/>
      <c r="D963" s="47"/>
    </row>
    <row r="964" spans="2:4" x14ac:dyDescent="0.2">
      <c r="B964" s="47"/>
      <c r="C964" s="47"/>
      <c r="D964" s="47"/>
    </row>
    <row r="965" spans="2:4" x14ac:dyDescent="0.2">
      <c r="B965" s="47"/>
      <c r="C965" s="47"/>
      <c r="D965" s="47"/>
    </row>
    <row r="966" spans="2:4" x14ac:dyDescent="0.2">
      <c r="B966" s="47"/>
      <c r="C966" s="47"/>
      <c r="D966" s="47"/>
    </row>
    <row r="967" spans="2:4" x14ac:dyDescent="0.2">
      <c r="B967" s="47"/>
      <c r="C967" s="47"/>
      <c r="D967" s="47"/>
    </row>
    <row r="968" spans="2:4" x14ac:dyDescent="0.2">
      <c r="B968" s="47"/>
      <c r="C968" s="47"/>
      <c r="D968" s="47"/>
    </row>
    <row r="969" spans="2:4" x14ac:dyDescent="0.2">
      <c r="B969" s="47"/>
      <c r="C969" s="47"/>
      <c r="D969" s="47"/>
    </row>
    <row r="970" spans="2:4" x14ac:dyDescent="0.2">
      <c r="B970" s="47"/>
      <c r="C970" s="47"/>
      <c r="D970" s="47"/>
    </row>
    <row r="971" spans="2:4" x14ac:dyDescent="0.2">
      <c r="B971" s="47"/>
      <c r="C971" s="47"/>
      <c r="D971" s="47"/>
    </row>
    <row r="972" spans="2:4" x14ac:dyDescent="0.2">
      <c r="B972" s="47"/>
      <c r="C972" s="47"/>
      <c r="D972" s="47"/>
    </row>
    <row r="973" spans="2:4" x14ac:dyDescent="0.2">
      <c r="B973" s="47"/>
      <c r="C973" s="47"/>
      <c r="D973" s="47"/>
    </row>
    <row r="974" spans="2:4" x14ac:dyDescent="0.2">
      <c r="B974" s="47"/>
      <c r="C974" s="47"/>
      <c r="D974" s="47"/>
    </row>
    <row r="975" spans="2:4" x14ac:dyDescent="0.2">
      <c r="B975" s="47"/>
      <c r="C975" s="47"/>
      <c r="D975" s="47"/>
    </row>
    <row r="976" spans="2:4" x14ac:dyDescent="0.2">
      <c r="B976" s="47"/>
      <c r="C976" s="47"/>
      <c r="D976" s="47"/>
    </row>
    <row r="977" spans="2:4" x14ac:dyDescent="0.2">
      <c r="B977" s="47"/>
      <c r="C977" s="47"/>
      <c r="D977" s="47"/>
    </row>
    <row r="978" spans="2:4" x14ac:dyDescent="0.2">
      <c r="B978" s="47"/>
      <c r="C978" s="47"/>
      <c r="D978" s="47"/>
    </row>
    <row r="979" spans="2:4" x14ac:dyDescent="0.2">
      <c r="B979" s="47"/>
      <c r="C979" s="47"/>
      <c r="D979" s="47"/>
    </row>
    <row r="980" spans="2:4" x14ac:dyDescent="0.2">
      <c r="B980" s="47"/>
      <c r="C980" s="47"/>
      <c r="D980" s="47"/>
    </row>
    <row r="981" spans="2:4" x14ac:dyDescent="0.2">
      <c r="B981" s="47"/>
      <c r="C981" s="47"/>
      <c r="D981" s="47"/>
    </row>
    <row r="982" spans="2:4" x14ac:dyDescent="0.2">
      <c r="B982" s="47"/>
      <c r="C982" s="47"/>
      <c r="D982" s="47"/>
    </row>
    <row r="983" spans="2:4" x14ac:dyDescent="0.2">
      <c r="B983" s="47"/>
      <c r="C983" s="47"/>
      <c r="D983" s="47"/>
    </row>
    <row r="984" spans="2:4" x14ac:dyDescent="0.2">
      <c r="B984" s="47"/>
      <c r="C984" s="47"/>
      <c r="D984" s="47"/>
    </row>
    <row r="985" spans="2:4" x14ac:dyDescent="0.2">
      <c r="B985" s="47"/>
      <c r="C985" s="47"/>
      <c r="D985" s="47"/>
    </row>
    <row r="986" spans="2:4" x14ac:dyDescent="0.2">
      <c r="B986" s="47"/>
      <c r="C986" s="47"/>
      <c r="D986" s="47"/>
    </row>
    <row r="987" spans="2:4" x14ac:dyDescent="0.2">
      <c r="B987" s="47"/>
      <c r="C987" s="47"/>
      <c r="D987" s="47"/>
    </row>
    <row r="988" spans="2:4" x14ac:dyDescent="0.2">
      <c r="B988" s="47"/>
      <c r="C988" s="47"/>
      <c r="D988" s="47"/>
    </row>
    <row r="989" spans="2:4" x14ac:dyDescent="0.2">
      <c r="B989" s="47"/>
      <c r="C989" s="47"/>
      <c r="D989" s="47"/>
    </row>
    <row r="990" spans="2:4" x14ac:dyDescent="0.2">
      <c r="B990" s="47"/>
      <c r="C990" s="47"/>
      <c r="D990" s="47"/>
    </row>
    <row r="991" spans="2:4" x14ac:dyDescent="0.2">
      <c r="B991" s="47"/>
      <c r="C991" s="47"/>
      <c r="D991" s="47"/>
    </row>
    <row r="992" spans="2:4" x14ac:dyDescent="0.2">
      <c r="B992" s="47"/>
      <c r="C992" s="47"/>
      <c r="D992" s="47"/>
    </row>
    <row r="993" spans="2:4" x14ac:dyDescent="0.2">
      <c r="B993" s="47"/>
      <c r="C993" s="47"/>
      <c r="D993" s="47"/>
    </row>
    <row r="994" spans="2:4" x14ac:dyDescent="0.2">
      <c r="B994" s="47"/>
      <c r="C994" s="47"/>
      <c r="D994" s="47"/>
    </row>
    <row r="995" spans="2:4" x14ac:dyDescent="0.2">
      <c r="B995" s="47"/>
      <c r="C995" s="47"/>
      <c r="D995" s="47"/>
    </row>
    <row r="996" spans="2:4" x14ac:dyDescent="0.2">
      <c r="B996" s="47"/>
      <c r="C996" s="47"/>
      <c r="D996" s="47"/>
    </row>
    <row r="997" spans="2:4" x14ac:dyDescent="0.2">
      <c r="B997" s="47"/>
      <c r="C997" s="47"/>
      <c r="D997" s="47"/>
    </row>
    <row r="998" spans="2:4" x14ac:dyDescent="0.2">
      <c r="B998" s="47"/>
      <c r="C998" s="47"/>
      <c r="D998" s="47"/>
    </row>
    <row r="999" spans="2:4" x14ac:dyDescent="0.2">
      <c r="B999" s="47"/>
      <c r="C999" s="47"/>
      <c r="D999" s="47"/>
    </row>
    <row r="1000" spans="2:4" x14ac:dyDescent="0.2">
      <c r="B1000" s="47"/>
      <c r="C1000" s="47"/>
      <c r="D1000" s="47"/>
    </row>
    <row r="1001" spans="2:4" x14ac:dyDescent="0.2">
      <c r="B1001" s="47"/>
      <c r="C1001" s="47"/>
      <c r="D1001" s="47"/>
    </row>
    <row r="1002" spans="2:4" x14ac:dyDescent="0.2">
      <c r="B1002" s="47"/>
      <c r="C1002" s="47"/>
      <c r="D1002" s="47"/>
    </row>
    <row r="1003" spans="2:4" x14ac:dyDescent="0.2">
      <c r="B1003" s="47"/>
      <c r="C1003" s="47"/>
      <c r="D1003" s="47"/>
    </row>
    <row r="1004" spans="2:4" x14ac:dyDescent="0.2">
      <c r="B1004" s="47"/>
      <c r="C1004" s="47"/>
      <c r="D1004" s="47"/>
    </row>
    <row r="1005" spans="2:4" x14ac:dyDescent="0.2">
      <c r="B1005" s="47"/>
      <c r="C1005" s="47"/>
      <c r="D1005" s="47"/>
    </row>
    <row r="1006" spans="2:4" x14ac:dyDescent="0.2">
      <c r="B1006" s="47"/>
      <c r="C1006" s="47"/>
      <c r="D1006" s="47"/>
    </row>
    <row r="1007" spans="2:4" x14ac:dyDescent="0.2">
      <c r="B1007" s="47"/>
      <c r="C1007" s="47"/>
      <c r="D1007" s="47"/>
    </row>
    <row r="1008" spans="2:4" x14ac:dyDescent="0.2">
      <c r="B1008" s="47"/>
      <c r="C1008" s="47"/>
      <c r="D1008" s="47"/>
    </row>
    <row r="1009" spans="2:4" x14ac:dyDescent="0.2">
      <c r="B1009" s="47"/>
      <c r="C1009" s="47"/>
      <c r="D1009" s="47"/>
    </row>
    <row r="1010" spans="2:4" x14ac:dyDescent="0.2">
      <c r="B1010" s="47"/>
      <c r="C1010" s="47"/>
      <c r="D1010" s="47"/>
    </row>
    <row r="1011" spans="2:4" x14ac:dyDescent="0.2">
      <c r="B1011" s="47"/>
      <c r="C1011" s="47"/>
      <c r="D1011" s="47"/>
    </row>
    <row r="1012" spans="2:4" x14ac:dyDescent="0.2">
      <c r="B1012" s="47"/>
      <c r="C1012" s="47"/>
      <c r="D1012" s="47"/>
    </row>
    <row r="1013" spans="2:4" x14ac:dyDescent="0.2">
      <c r="B1013" s="47"/>
      <c r="C1013" s="47"/>
      <c r="D1013" s="47"/>
    </row>
    <row r="1014" spans="2:4" x14ac:dyDescent="0.2">
      <c r="B1014" s="47"/>
      <c r="C1014" s="47"/>
      <c r="D1014" s="47"/>
    </row>
    <row r="1015" spans="2:4" x14ac:dyDescent="0.2">
      <c r="B1015" s="47"/>
      <c r="C1015" s="47"/>
      <c r="D1015" s="47"/>
    </row>
    <row r="1016" spans="2:4" x14ac:dyDescent="0.2">
      <c r="B1016" s="47"/>
      <c r="C1016" s="47"/>
      <c r="D1016" s="47"/>
    </row>
    <row r="1017" spans="2:4" x14ac:dyDescent="0.2">
      <c r="B1017" s="47"/>
      <c r="C1017" s="47"/>
      <c r="D1017" s="47"/>
    </row>
    <row r="1018" spans="2:4" x14ac:dyDescent="0.2">
      <c r="B1018" s="47"/>
      <c r="C1018" s="47"/>
      <c r="D1018" s="47"/>
    </row>
    <row r="1019" spans="2:4" x14ac:dyDescent="0.2">
      <c r="B1019" s="47"/>
      <c r="C1019" s="47"/>
      <c r="D1019" s="47"/>
    </row>
    <row r="1020" spans="2:4" x14ac:dyDescent="0.2">
      <c r="B1020" s="47"/>
      <c r="C1020" s="47"/>
      <c r="D1020" s="47"/>
    </row>
    <row r="1021" spans="2:4" x14ac:dyDescent="0.2">
      <c r="B1021" s="47"/>
      <c r="C1021" s="47"/>
      <c r="D1021" s="47"/>
    </row>
    <row r="1022" spans="2:4" x14ac:dyDescent="0.2">
      <c r="B1022" s="47"/>
      <c r="C1022" s="47"/>
      <c r="D1022" s="47"/>
    </row>
    <row r="1023" spans="2:4" x14ac:dyDescent="0.2">
      <c r="B1023" s="47"/>
      <c r="C1023" s="47"/>
      <c r="D1023" s="47"/>
    </row>
    <row r="1024" spans="2:4" x14ac:dyDescent="0.2">
      <c r="B1024" s="47"/>
      <c r="C1024" s="47"/>
      <c r="D1024" s="47"/>
    </row>
    <row r="1025" spans="2:4" x14ac:dyDescent="0.2">
      <c r="B1025" s="47"/>
      <c r="C1025" s="47"/>
      <c r="D1025" s="47"/>
    </row>
    <row r="1026" spans="2:4" x14ac:dyDescent="0.2">
      <c r="B1026" s="47"/>
      <c r="C1026" s="47"/>
      <c r="D1026" s="47"/>
    </row>
    <row r="1027" spans="2:4" x14ac:dyDescent="0.2">
      <c r="B1027" s="47"/>
      <c r="C1027" s="47"/>
      <c r="D1027" s="47"/>
    </row>
    <row r="1028" spans="2:4" x14ac:dyDescent="0.2">
      <c r="B1028" s="47"/>
      <c r="C1028" s="47"/>
      <c r="D1028" s="47"/>
    </row>
    <row r="1029" spans="2:4" x14ac:dyDescent="0.2">
      <c r="B1029" s="47"/>
      <c r="C1029" s="47"/>
      <c r="D1029" s="47"/>
    </row>
    <row r="1030" spans="2:4" x14ac:dyDescent="0.2">
      <c r="B1030" s="47"/>
      <c r="C1030" s="47"/>
      <c r="D1030" s="47"/>
    </row>
    <row r="1031" spans="2:4" x14ac:dyDescent="0.2">
      <c r="B1031" s="47"/>
      <c r="C1031" s="47"/>
      <c r="D1031" s="47"/>
    </row>
    <row r="1032" spans="2:4" x14ac:dyDescent="0.2">
      <c r="B1032" s="47"/>
      <c r="C1032" s="47"/>
      <c r="D1032" s="47"/>
    </row>
    <row r="1033" spans="2:4" x14ac:dyDescent="0.2">
      <c r="B1033" s="47"/>
      <c r="C1033" s="47"/>
      <c r="D1033" s="47"/>
    </row>
    <row r="1034" spans="2:4" x14ac:dyDescent="0.2">
      <c r="B1034" s="47"/>
      <c r="C1034" s="47"/>
      <c r="D1034" s="47"/>
    </row>
    <row r="1035" spans="2:4" x14ac:dyDescent="0.2">
      <c r="B1035" s="47"/>
      <c r="C1035" s="47"/>
      <c r="D1035" s="47"/>
    </row>
    <row r="1036" spans="2:4" x14ac:dyDescent="0.2">
      <c r="B1036" s="47"/>
      <c r="C1036" s="47"/>
      <c r="D1036" s="47"/>
    </row>
    <row r="1037" spans="2:4" x14ac:dyDescent="0.2">
      <c r="B1037" s="47"/>
      <c r="C1037" s="47"/>
      <c r="D1037" s="47"/>
    </row>
    <row r="1038" spans="2:4" x14ac:dyDescent="0.2">
      <c r="B1038" s="47"/>
      <c r="C1038" s="47"/>
      <c r="D1038" s="47"/>
    </row>
    <row r="1039" spans="2:4" x14ac:dyDescent="0.2">
      <c r="B1039" s="47"/>
      <c r="C1039" s="47"/>
      <c r="D1039" s="47"/>
    </row>
    <row r="1040" spans="2:4" x14ac:dyDescent="0.2">
      <c r="B1040" s="47"/>
      <c r="C1040" s="47"/>
      <c r="D1040" s="47"/>
    </row>
    <row r="1041" spans="2:4" x14ac:dyDescent="0.2">
      <c r="B1041" s="47"/>
      <c r="C1041" s="47"/>
      <c r="D1041" s="47"/>
    </row>
    <row r="1042" spans="2:4" x14ac:dyDescent="0.2">
      <c r="B1042" s="47"/>
      <c r="C1042" s="47"/>
      <c r="D1042" s="47"/>
    </row>
    <row r="1043" spans="2:4" x14ac:dyDescent="0.2">
      <c r="B1043" s="47"/>
      <c r="C1043" s="47"/>
      <c r="D1043" s="47"/>
    </row>
    <row r="1044" spans="2:4" x14ac:dyDescent="0.2">
      <c r="B1044" s="47"/>
      <c r="C1044" s="47"/>
      <c r="D1044" s="47"/>
    </row>
    <row r="1045" spans="2:4" x14ac:dyDescent="0.2">
      <c r="B1045" s="47"/>
      <c r="C1045" s="47"/>
      <c r="D1045" s="47"/>
    </row>
    <row r="1046" spans="2:4" x14ac:dyDescent="0.2">
      <c r="B1046" s="47"/>
      <c r="C1046" s="47"/>
      <c r="D1046" s="47"/>
    </row>
    <row r="1047" spans="2:4" x14ac:dyDescent="0.2">
      <c r="B1047" s="47"/>
      <c r="C1047" s="47"/>
      <c r="D1047" s="47"/>
    </row>
    <row r="1048" spans="2:4" x14ac:dyDescent="0.2">
      <c r="B1048" s="47"/>
      <c r="C1048" s="47"/>
      <c r="D1048" s="47"/>
    </row>
    <row r="1049" spans="2:4" x14ac:dyDescent="0.2">
      <c r="B1049" s="47"/>
      <c r="C1049" s="47"/>
      <c r="D1049" s="47"/>
    </row>
    <row r="1050" spans="2:4" x14ac:dyDescent="0.2">
      <c r="B1050" s="47"/>
      <c r="C1050" s="47"/>
      <c r="D1050" s="47"/>
    </row>
    <row r="1051" spans="2:4" x14ac:dyDescent="0.2">
      <c r="B1051" s="47"/>
      <c r="C1051" s="47"/>
      <c r="D1051" s="47"/>
    </row>
    <row r="1052" spans="2:4" x14ac:dyDescent="0.2">
      <c r="B1052" s="47"/>
      <c r="C1052" s="47"/>
      <c r="D1052" s="47"/>
    </row>
    <row r="1053" spans="2:4" x14ac:dyDescent="0.2">
      <c r="B1053" s="47"/>
      <c r="C1053" s="47"/>
      <c r="D1053" s="47"/>
    </row>
    <row r="1054" spans="2:4" x14ac:dyDescent="0.2">
      <c r="B1054" s="47"/>
      <c r="C1054" s="47"/>
      <c r="D1054" s="47"/>
    </row>
    <row r="1055" spans="2:4" x14ac:dyDescent="0.2">
      <c r="B1055" s="47"/>
      <c r="C1055" s="47"/>
      <c r="D1055" s="47"/>
    </row>
    <row r="1056" spans="2:4" x14ac:dyDescent="0.2">
      <c r="B1056" s="47"/>
      <c r="C1056" s="47"/>
      <c r="D1056" s="47"/>
    </row>
    <row r="1057" spans="2:4" x14ac:dyDescent="0.2">
      <c r="B1057" s="47"/>
      <c r="C1057" s="47"/>
      <c r="D1057" s="47"/>
    </row>
    <row r="1058" spans="2:4" x14ac:dyDescent="0.2">
      <c r="B1058" s="47"/>
      <c r="C1058" s="47"/>
      <c r="D1058" s="47"/>
    </row>
    <row r="1059" spans="2:4" x14ac:dyDescent="0.2">
      <c r="B1059" s="47"/>
      <c r="C1059" s="47"/>
      <c r="D1059" s="47"/>
    </row>
    <row r="1060" spans="2:4" x14ac:dyDescent="0.2">
      <c r="B1060" s="47"/>
      <c r="C1060" s="47"/>
      <c r="D1060" s="47"/>
    </row>
    <row r="1061" spans="2:4" x14ac:dyDescent="0.2">
      <c r="B1061" s="47"/>
      <c r="C1061" s="47"/>
      <c r="D1061" s="47"/>
    </row>
    <row r="1062" spans="2:4" x14ac:dyDescent="0.2">
      <c r="B1062" s="47"/>
      <c r="C1062" s="47"/>
      <c r="D1062" s="47"/>
    </row>
    <row r="1063" spans="2:4" x14ac:dyDescent="0.2">
      <c r="B1063" s="47"/>
      <c r="C1063" s="47"/>
      <c r="D1063" s="47"/>
    </row>
    <row r="1064" spans="2:4" x14ac:dyDescent="0.2">
      <c r="B1064" s="47"/>
      <c r="C1064" s="47"/>
      <c r="D1064" s="47"/>
    </row>
    <row r="1065" spans="2:4" x14ac:dyDescent="0.2">
      <c r="B1065" s="47"/>
      <c r="C1065" s="47"/>
      <c r="D1065" s="47"/>
    </row>
    <row r="1066" spans="2:4" x14ac:dyDescent="0.2">
      <c r="B1066" s="47"/>
      <c r="C1066" s="47"/>
      <c r="D1066" s="47"/>
    </row>
    <row r="1067" spans="2:4" x14ac:dyDescent="0.2">
      <c r="B1067" s="47"/>
      <c r="C1067" s="47"/>
      <c r="D1067" s="47"/>
    </row>
    <row r="1068" spans="2:4" x14ac:dyDescent="0.2">
      <c r="B1068" s="47"/>
      <c r="C1068" s="47"/>
      <c r="D1068" s="47"/>
    </row>
    <row r="1069" spans="2:4" x14ac:dyDescent="0.2">
      <c r="B1069" s="47"/>
      <c r="C1069" s="47"/>
      <c r="D1069" s="47"/>
    </row>
    <row r="1070" spans="2:4" x14ac:dyDescent="0.2">
      <c r="B1070" s="47"/>
      <c r="C1070" s="47"/>
      <c r="D1070" s="47"/>
    </row>
    <row r="1071" spans="2:4" x14ac:dyDescent="0.2">
      <c r="B1071" s="47"/>
      <c r="C1071" s="47"/>
      <c r="D1071" s="47"/>
    </row>
    <row r="1072" spans="2:4" x14ac:dyDescent="0.2">
      <c r="B1072" s="47"/>
      <c r="C1072" s="47"/>
      <c r="D1072" s="47"/>
    </row>
    <row r="1073" spans="2:4" x14ac:dyDescent="0.2">
      <c r="B1073" s="47"/>
      <c r="C1073" s="47"/>
      <c r="D1073" s="47"/>
    </row>
    <row r="1074" spans="2:4" x14ac:dyDescent="0.2">
      <c r="B1074" s="47"/>
      <c r="C1074" s="47"/>
      <c r="D1074" s="47"/>
    </row>
    <row r="1075" spans="2:4" x14ac:dyDescent="0.2">
      <c r="B1075" s="47"/>
      <c r="C1075" s="47"/>
      <c r="D1075" s="47"/>
    </row>
    <row r="1076" spans="2:4" x14ac:dyDescent="0.2">
      <c r="B1076" s="47"/>
      <c r="C1076" s="47"/>
      <c r="D1076" s="47"/>
    </row>
    <row r="1077" spans="2:4" x14ac:dyDescent="0.2">
      <c r="B1077" s="47"/>
      <c r="C1077" s="47"/>
      <c r="D1077" s="47"/>
    </row>
    <row r="1078" spans="2:4" x14ac:dyDescent="0.2">
      <c r="B1078" s="47"/>
      <c r="C1078" s="47"/>
      <c r="D1078" s="47"/>
    </row>
    <row r="1079" spans="2:4" x14ac:dyDescent="0.2">
      <c r="B1079" s="47"/>
      <c r="C1079" s="47"/>
      <c r="D1079" s="47"/>
    </row>
    <row r="1080" spans="2:4" x14ac:dyDescent="0.2">
      <c r="B1080" s="47"/>
      <c r="C1080" s="47"/>
      <c r="D1080" s="47"/>
    </row>
    <row r="1081" spans="2:4" x14ac:dyDescent="0.2">
      <c r="B1081" s="47"/>
      <c r="C1081" s="47"/>
      <c r="D1081" s="47"/>
    </row>
    <row r="1082" spans="2:4" x14ac:dyDescent="0.2">
      <c r="B1082" s="47"/>
      <c r="C1082" s="47"/>
      <c r="D1082" s="47"/>
    </row>
    <row r="1083" spans="2:4" x14ac:dyDescent="0.2">
      <c r="B1083" s="47"/>
      <c r="C1083" s="47"/>
      <c r="D1083" s="47"/>
    </row>
    <row r="1084" spans="2:4" x14ac:dyDescent="0.2">
      <c r="B1084" s="47"/>
      <c r="C1084" s="47"/>
      <c r="D1084" s="47"/>
    </row>
    <row r="1085" spans="2:4" x14ac:dyDescent="0.2">
      <c r="B1085" s="47"/>
      <c r="C1085" s="47"/>
      <c r="D1085" s="47"/>
    </row>
    <row r="1086" spans="2:4" x14ac:dyDescent="0.2">
      <c r="B1086" s="47"/>
      <c r="C1086" s="47"/>
      <c r="D1086" s="47"/>
    </row>
    <row r="1087" spans="2:4" x14ac:dyDescent="0.2">
      <c r="B1087" s="47"/>
      <c r="C1087" s="47"/>
      <c r="D1087" s="47"/>
    </row>
    <row r="1088" spans="2:4" x14ac:dyDescent="0.2">
      <c r="B1088" s="47"/>
      <c r="C1088" s="47"/>
      <c r="D1088" s="47"/>
    </row>
    <row r="1089" spans="2:4" x14ac:dyDescent="0.2">
      <c r="B1089" s="47"/>
      <c r="C1089" s="47"/>
      <c r="D1089" s="47"/>
    </row>
    <row r="1090" spans="2:4" x14ac:dyDescent="0.2">
      <c r="B1090" s="47"/>
      <c r="C1090" s="47"/>
      <c r="D1090" s="47"/>
    </row>
    <row r="1091" spans="2:4" x14ac:dyDescent="0.2">
      <c r="B1091" s="47"/>
      <c r="C1091" s="47"/>
      <c r="D1091" s="47"/>
    </row>
    <row r="1092" spans="2:4" x14ac:dyDescent="0.2">
      <c r="B1092" s="47"/>
      <c r="C1092" s="47"/>
      <c r="D1092" s="47"/>
    </row>
    <row r="1093" spans="2:4" x14ac:dyDescent="0.2">
      <c r="B1093" s="47"/>
      <c r="C1093" s="47"/>
      <c r="D1093" s="47"/>
    </row>
    <row r="1094" spans="2:4" x14ac:dyDescent="0.2">
      <c r="B1094" s="47"/>
      <c r="C1094" s="47"/>
      <c r="D1094" s="47"/>
    </row>
    <row r="1095" spans="2:4" x14ac:dyDescent="0.2">
      <c r="B1095" s="47"/>
      <c r="C1095" s="47"/>
      <c r="D1095" s="47"/>
    </row>
    <row r="1096" spans="2:4" x14ac:dyDescent="0.2">
      <c r="B1096" s="47"/>
      <c r="C1096" s="47"/>
      <c r="D1096" s="47"/>
    </row>
    <row r="1097" spans="2:4" x14ac:dyDescent="0.2">
      <c r="B1097" s="47"/>
      <c r="C1097" s="47"/>
      <c r="D1097" s="47"/>
    </row>
    <row r="1098" spans="2:4" x14ac:dyDescent="0.2">
      <c r="B1098" s="47"/>
      <c r="C1098" s="47"/>
      <c r="D1098" s="47"/>
    </row>
    <row r="1099" spans="2:4" x14ac:dyDescent="0.2">
      <c r="B1099" s="47"/>
      <c r="C1099" s="47"/>
      <c r="D1099" s="47"/>
    </row>
    <row r="1100" spans="2:4" x14ac:dyDescent="0.2">
      <c r="B1100" s="47"/>
      <c r="C1100" s="47"/>
      <c r="D1100" s="47"/>
    </row>
    <row r="1101" spans="2:4" x14ac:dyDescent="0.2">
      <c r="B1101" s="47"/>
      <c r="C1101" s="47"/>
      <c r="D1101" s="47"/>
    </row>
    <row r="1102" spans="2:4" x14ac:dyDescent="0.2">
      <c r="B1102" s="47"/>
      <c r="C1102" s="47"/>
      <c r="D1102" s="47"/>
    </row>
    <row r="1103" spans="2:4" x14ac:dyDescent="0.2">
      <c r="B1103" s="47"/>
      <c r="C1103" s="47"/>
      <c r="D1103" s="47"/>
    </row>
    <row r="1104" spans="2:4" x14ac:dyDescent="0.2">
      <c r="B1104" s="47"/>
      <c r="C1104" s="47"/>
      <c r="D1104" s="47"/>
    </row>
    <row r="1105" spans="2:4" x14ac:dyDescent="0.2">
      <c r="B1105" s="47"/>
      <c r="C1105" s="47"/>
      <c r="D1105" s="47"/>
    </row>
    <row r="1106" spans="2:4" x14ac:dyDescent="0.2">
      <c r="B1106" s="47"/>
      <c r="C1106" s="47"/>
      <c r="D1106" s="47"/>
    </row>
    <row r="1107" spans="2:4" x14ac:dyDescent="0.2">
      <c r="B1107" s="47"/>
      <c r="C1107" s="47"/>
      <c r="D1107" s="47"/>
    </row>
    <row r="1108" spans="2:4" x14ac:dyDescent="0.2">
      <c r="B1108" s="47"/>
      <c r="C1108" s="47"/>
      <c r="D1108" s="47"/>
    </row>
    <row r="1109" spans="2:4" x14ac:dyDescent="0.2">
      <c r="B1109" s="47"/>
      <c r="C1109" s="47"/>
      <c r="D1109" s="47"/>
    </row>
    <row r="1110" spans="2:4" x14ac:dyDescent="0.2">
      <c r="B1110" s="47"/>
      <c r="C1110" s="47"/>
      <c r="D1110" s="47"/>
    </row>
    <row r="1111" spans="2:4" x14ac:dyDescent="0.2">
      <c r="B1111" s="47"/>
      <c r="C1111" s="47"/>
      <c r="D1111" s="47"/>
    </row>
    <row r="1112" spans="2:4" x14ac:dyDescent="0.2">
      <c r="B1112" s="47"/>
      <c r="C1112" s="47"/>
      <c r="D1112" s="47"/>
    </row>
    <row r="1113" spans="2:4" x14ac:dyDescent="0.2">
      <c r="B1113" s="47"/>
      <c r="C1113" s="47"/>
      <c r="D1113" s="47"/>
    </row>
    <row r="1114" spans="2:4" x14ac:dyDescent="0.2">
      <c r="B1114" s="47"/>
      <c r="C1114" s="47"/>
      <c r="D1114" s="47"/>
    </row>
    <row r="1115" spans="2:4" x14ac:dyDescent="0.2">
      <c r="B1115" s="47"/>
      <c r="C1115" s="47"/>
      <c r="D1115" s="47"/>
    </row>
    <row r="1116" spans="2:4" x14ac:dyDescent="0.2">
      <c r="B1116" s="47"/>
      <c r="C1116" s="47"/>
      <c r="D1116" s="47"/>
    </row>
    <row r="1117" spans="2:4" x14ac:dyDescent="0.2">
      <c r="B1117" s="47"/>
      <c r="C1117" s="47"/>
      <c r="D1117" s="47"/>
    </row>
    <row r="1118" spans="2:4" x14ac:dyDescent="0.2">
      <c r="B1118" s="47"/>
      <c r="C1118" s="47"/>
      <c r="D1118" s="47"/>
    </row>
    <row r="1119" spans="2:4" x14ac:dyDescent="0.2">
      <c r="B1119" s="47"/>
      <c r="C1119" s="47"/>
      <c r="D1119" s="47"/>
    </row>
    <row r="1120" spans="2:4" x14ac:dyDescent="0.2">
      <c r="B1120" s="47"/>
      <c r="C1120" s="47"/>
      <c r="D1120" s="47"/>
    </row>
    <row r="1121" spans="2:4" x14ac:dyDescent="0.2">
      <c r="B1121" s="47"/>
      <c r="C1121" s="47"/>
      <c r="D1121" s="47"/>
    </row>
    <row r="1122" spans="2:4" x14ac:dyDescent="0.2">
      <c r="B1122" s="47"/>
      <c r="C1122" s="47"/>
      <c r="D1122" s="47"/>
    </row>
    <row r="1123" spans="2:4" x14ac:dyDescent="0.2">
      <c r="B1123" s="47"/>
      <c r="C1123" s="47"/>
      <c r="D1123" s="47"/>
    </row>
    <row r="1124" spans="2:4" x14ac:dyDescent="0.2">
      <c r="B1124" s="47"/>
      <c r="C1124" s="47"/>
      <c r="D1124" s="47"/>
    </row>
    <row r="1125" spans="2:4" x14ac:dyDescent="0.2">
      <c r="B1125" s="47"/>
      <c r="C1125" s="47"/>
      <c r="D1125" s="47"/>
    </row>
    <row r="1126" spans="2:4" x14ac:dyDescent="0.2">
      <c r="B1126" s="47"/>
      <c r="C1126" s="47"/>
      <c r="D1126" s="47"/>
    </row>
    <row r="1127" spans="2:4" x14ac:dyDescent="0.2">
      <c r="B1127" s="47"/>
      <c r="C1127" s="47"/>
      <c r="D1127" s="47"/>
    </row>
    <row r="1128" spans="2:4" x14ac:dyDescent="0.2">
      <c r="B1128" s="47"/>
      <c r="C1128" s="47"/>
      <c r="D1128" s="47"/>
    </row>
    <row r="1129" spans="2:4" x14ac:dyDescent="0.2">
      <c r="B1129" s="47"/>
      <c r="C1129" s="47"/>
      <c r="D1129" s="47"/>
    </row>
    <row r="1130" spans="2:4" x14ac:dyDescent="0.2">
      <c r="B1130" s="47"/>
      <c r="C1130" s="47"/>
      <c r="D1130" s="47"/>
    </row>
    <row r="1131" spans="2:4" x14ac:dyDescent="0.2">
      <c r="B1131" s="47"/>
      <c r="C1131" s="47"/>
      <c r="D1131" s="47"/>
    </row>
    <row r="1132" spans="2:4" x14ac:dyDescent="0.2">
      <c r="B1132" s="47"/>
      <c r="C1132" s="47"/>
      <c r="D1132" s="47"/>
    </row>
    <row r="1133" spans="2:4" x14ac:dyDescent="0.2">
      <c r="B1133" s="47"/>
      <c r="C1133" s="47"/>
      <c r="D1133" s="47"/>
    </row>
    <row r="1134" spans="2:4" x14ac:dyDescent="0.2">
      <c r="B1134" s="47"/>
      <c r="C1134" s="47"/>
      <c r="D1134" s="47"/>
    </row>
    <row r="1135" spans="2:4" x14ac:dyDescent="0.2">
      <c r="B1135" s="47"/>
      <c r="C1135" s="47"/>
      <c r="D1135" s="47"/>
    </row>
    <row r="1136" spans="2:4" x14ac:dyDescent="0.2">
      <c r="B1136" s="47"/>
      <c r="C1136" s="47"/>
      <c r="D1136" s="47"/>
    </row>
    <row r="1137" spans="2:4" x14ac:dyDescent="0.2">
      <c r="B1137" s="47"/>
      <c r="C1137" s="47"/>
      <c r="D1137" s="47"/>
    </row>
    <row r="1138" spans="2:4" x14ac:dyDescent="0.2">
      <c r="B1138" s="47"/>
      <c r="C1138" s="47"/>
      <c r="D1138" s="47"/>
    </row>
    <row r="1139" spans="2:4" x14ac:dyDescent="0.2">
      <c r="B1139" s="47"/>
      <c r="C1139" s="47"/>
      <c r="D1139" s="47"/>
    </row>
    <row r="1140" spans="2:4" x14ac:dyDescent="0.2">
      <c r="B1140" s="47"/>
      <c r="C1140" s="47"/>
      <c r="D1140" s="47"/>
    </row>
    <row r="1141" spans="2:4" x14ac:dyDescent="0.2">
      <c r="B1141" s="47"/>
      <c r="C1141" s="47"/>
      <c r="D1141" s="47"/>
    </row>
    <row r="1142" spans="2:4" x14ac:dyDescent="0.2">
      <c r="B1142" s="47"/>
      <c r="C1142" s="47"/>
      <c r="D1142" s="47"/>
    </row>
    <row r="1143" spans="2:4" x14ac:dyDescent="0.2">
      <c r="B1143" s="47"/>
      <c r="C1143" s="47"/>
      <c r="D1143" s="47"/>
    </row>
    <row r="1144" spans="2:4" x14ac:dyDescent="0.2">
      <c r="B1144" s="47"/>
      <c r="C1144" s="47"/>
      <c r="D1144" s="47"/>
    </row>
    <row r="1145" spans="2:4" x14ac:dyDescent="0.2">
      <c r="B1145" s="47"/>
      <c r="C1145" s="47"/>
      <c r="D1145" s="47"/>
    </row>
    <row r="1146" spans="2:4" x14ac:dyDescent="0.2">
      <c r="B1146" s="47"/>
      <c r="C1146" s="47"/>
      <c r="D1146" s="47"/>
    </row>
    <row r="1147" spans="2:4" x14ac:dyDescent="0.2">
      <c r="B1147" s="47"/>
      <c r="C1147" s="47"/>
      <c r="D1147" s="47"/>
    </row>
    <row r="1148" spans="2:4" x14ac:dyDescent="0.2">
      <c r="B1148" s="47"/>
      <c r="C1148" s="47"/>
      <c r="D1148" s="47"/>
    </row>
    <row r="1149" spans="2:4" x14ac:dyDescent="0.2">
      <c r="B1149" s="47"/>
      <c r="C1149" s="47"/>
      <c r="D1149" s="47"/>
    </row>
    <row r="1150" spans="2:4" x14ac:dyDescent="0.2">
      <c r="B1150" s="47"/>
      <c r="C1150" s="47"/>
      <c r="D1150" s="47"/>
    </row>
    <row r="1151" spans="2:4" x14ac:dyDescent="0.2">
      <c r="B1151" s="47"/>
      <c r="C1151" s="47"/>
      <c r="D1151" s="47"/>
    </row>
    <row r="1152" spans="2:4" x14ac:dyDescent="0.2">
      <c r="B1152" s="47"/>
      <c r="C1152" s="47"/>
      <c r="D1152" s="47"/>
    </row>
    <row r="1153" spans="2:4" x14ac:dyDescent="0.2">
      <c r="B1153" s="47"/>
      <c r="C1153" s="47"/>
      <c r="D1153" s="47"/>
    </row>
    <row r="1154" spans="2:4" x14ac:dyDescent="0.2">
      <c r="B1154" s="47"/>
      <c r="C1154" s="47"/>
      <c r="D1154" s="47"/>
    </row>
    <row r="1155" spans="2:4" x14ac:dyDescent="0.2">
      <c r="B1155" s="47"/>
      <c r="C1155" s="47"/>
      <c r="D1155" s="47"/>
    </row>
    <row r="1156" spans="2:4" x14ac:dyDescent="0.2">
      <c r="B1156" s="47"/>
      <c r="C1156" s="47"/>
      <c r="D1156" s="47"/>
    </row>
    <row r="1157" spans="2:4" x14ac:dyDescent="0.2">
      <c r="B1157" s="47"/>
      <c r="C1157" s="47"/>
      <c r="D1157" s="47"/>
    </row>
    <row r="1158" spans="2:4" x14ac:dyDescent="0.2">
      <c r="B1158" s="47"/>
      <c r="C1158" s="47"/>
      <c r="D1158" s="47"/>
    </row>
    <row r="1159" spans="2:4" x14ac:dyDescent="0.2">
      <c r="B1159" s="47"/>
      <c r="C1159" s="47"/>
      <c r="D1159" s="47"/>
    </row>
    <row r="1160" spans="2:4" x14ac:dyDescent="0.2">
      <c r="B1160" s="47"/>
      <c r="C1160" s="47"/>
      <c r="D1160" s="47"/>
    </row>
    <row r="1161" spans="2:4" x14ac:dyDescent="0.2">
      <c r="B1161" s="47"/>
      <c r="C1161" s="47"/>
      <c r="D1161" s="47"/>
    </row>
    <row r="1162" spans="2:4" x14ac:dyDescent="0.2">
      <c r="B1162" s="47"/>
      <c r="C1162" s="47"/>
      <c r="D1162" s="47"/>
    </row>
    <row r="1163" spans="2:4" x14ac:dyDescent="0.2">
      <c r="B1163" s="47"/>
      <c r="C1163" s="47"/>
      <c r="D1163" s="47"/>
    </row>
    <row r="1164" spans="2:4" x14ac:dyDescent="0.2">
      <c r="B1164" s="47"/>
      <c r="C1164" s="47"/>
      <c r="D1164" s="47"/>
    </row>
    <row r="1165" spans="2:4" x14ac:dyDescent="0.2">
      <c r="B1165" s="47"/>
      <c r="C1165" s="47"/>
      <c r="D1165" s="47"/>
    </row>
    <row r="1166" spans="2:4" x14ac:dyDescent="0.2">
      <c r="B1166" s="47"/>
      <c r="C1166" s="47"/>
      <c r="D1166" s="47"/>
    </row>
    <row r="1167" spans="2:4" x14ac:dyDescent="0.2">
      <c r="B1167" s="47"/>
      <c r="C1167" s="47"/>
      <c r="D1167" s="47"/>
    </row>
    <row r="1168" spans="2:4" x14ac:dyDescent="0.2">
      <c r="B1168" s="47"/>
      <c r="C1168" s="47"/>
      <c r="D1168" s="47"/>
    </row>
    <row r="1169" spans="2:4" x14ac:dyDescent="0.2">
      <c r="B1169" s="47"/>
      <c r="C1169" s="47"/>
      <c r="D1169" s="47"/>
    </row>
    <row r="1170" spans="2:4" x14ac:dyDescent="0.2">
      <c r="B1170" s="47"/>
      <c r="C1170" s="47"/>
      <c r="D1170" s="47"/>
    </row>
    <row r="1171" spans="2:4" x14ac:dyDescent="0.2">
      <c r="B1171" s="47"/>
      <c r="C1171" s="47"/>
      <c r="D1171" s="47"/>
    </row>
    <row r="1172" spans="2:4" x14ac:dyDescent="0.2">
      <c r="B1172" s="47"/>
      <c r="C1172" s="47"/>
      <c r="D1172" s="47"/>
    </row>
    <row r="1173" spans="2:4" x14ac:dyDescent="0.2">
      <c r="B1173" s="47"/>
      <c r="C1173" s="47"/>
      <c r="D1173" s="47"/>
    </row>
    <row r="1174" spans="2:4" x14ac:dyDescent="0.2">
      <c r="B1174" s="47"/>
      <c r="C1174" s="47"/>
      <c r="D1174" s="47"/>
    </row>
    <row r="1175" spans="2:4" x14ac:dyDescent="0.2">
      <c r="B1175" s="47"/>
      <c r="C1175" s="47"/>
      <c r="D1175" s="47"/>
    </row>
    <row r="1176" spans="2:4" x14ac:dyDescent="0.2">
      <c r="B1176" s="47"/>
      <c r="C1176" s="47"/>
      <c r="D1176" s="47"/>
    </row>
    <row r="1177" spans="2:4" x14ac:dyDescent="0.2">
      <c r="B1177" s="47"/>
      <c r="C1177" s="47"/>
      <c r="D1177" s="47"/>
    </row>
    <row r="1178" spans="2:4" x14ac:dyDescent="0.2">
      <c r="B1178" s="47"/>
      <c r="C1178" s="47"/>
      <c r="D1178" s="47"/>
    </row>
    <row r="1179" spans="2:4" x14ac:dyDescent="0.2">
      <c r="B1179" s="47"/>
      <c r="C1179" s="47"/>
      <c r="D1179" s="47"/>
    </row>
    <row r="1180" spans="2:4" x14ac:dyDescent="0.2">
      <c r="B1180" s="47"/>
      <c r="C1180" s="47"/>
      <c r="D1180" s="47"/>
    </row>
    <row r="1181" spans="2:4" x14ac:dyDescent="0.2">
      <c r="B1181" s="47"/>
      <c r="C1181" s="47"/>
      <c r="D1181" s="47"/>
    </row>
    <row r="1182" spans="2:4" x14ac:dyDescent="0.2">
      <c r="B1182" s="47"/>
      <c r="C1182" s="47"/>
      <c r="D1182" s="47"/>
    </row>
    <row r="1183" spans="2:4" x14ac:dyDescent="0.2">
      <c r="B1183" s="47"/>
      <c r="C1183" s="47"/>
      <c r="D1183" s="47"/>
    </row>
    <row r="1184" spans="2:4" x14ac:dyDescent="0.2">
      <c r="B1184" s="47"/>
      <c r="C1184" s="47"/>
      <c r="D1184" s="47"/>
    </row>
    <row r="1185" spans="2:4" x14ac:dyDescent="0.2">
      <c r="B1185" s="47"/>
      <c r="C1185" s="47"/>
      <c r="D1185" s="47"/>
    </row>
    <row r="1186" spans="2:4" x14ac:dyDescent="0.2">
      <c r="B1186" s="47"/>
      <c r="C1186" s="47"/>
      <c r="D1186" s="47"/>
    </row>
    <row r="1187" spans="2:4" x14ac:dyDescent="0.2">
      <c r="B1187" s="47"/>
      <c r="C1187" s="47"/>
      <c r="D1187" s="47"/>
    </row>
    <row r="1188" spans="2:4" x14ac:dyDescent="0.2">
      <c r="B1188" s="47"/>
      <c r="C1188" s="47"/>
      <c r="D1188" s="47"/>
    </row>
    <row r="1189" spans="2:4" x14ac:dyDescent="0.2">
      <c r="B1189" s="47"/>
      <c r="C1189" s="47"/>
      <c r="D1189" s="47"/>
    </row>
    <row r="1190" spans="2:4" x14ac:dyDescent="0.2">
      <c r="B1190" s="47"/>
      <c r="C1190" s="47"/>
      <c r="D1190" s="47"/>
    </row>
    <row r="1191" spans="2:4" x14ac:dyDescent="0.2">
      <c r="B1191" s="47"/>
      <c r="C1191" s="47"/>
      <c r="D1191" s="47"/>
    </row>
    <row r="1192" spans="2:4" x14ac:dyDescent="0.2">
      <c r="B1192" s="47"/>
      <c r="C1192" s="47"/>
      <c r="D1192" s="47"/>
    </row>
    <row r="1193" spans="2:4" x14ac:dyDescent="0.2">
      <c r="B1193" s="47"/>
      <c r="C1193" s="47"/>
      <c r="D1193" s="47"/>
    </row>
    <row r="1194" spans="2:4" x14ac:dyDescent="0.2">
      <c r="B1194" s="47"/>
      <c r="C1194" s="47"/>
      <c r="D1194" s="47"/>
    </row>
    <row r="1195" spans="2:4" x14ac:dyDescent="0.2">
      <c r="B1195" s="47"/>
      <c r="C1195" s="47"/>
      <c r="D1195" s="47"/>
    </row>
    <row r="1196" spans="2:4" x14ac:dyDescent="0.2">
      <c r="B1196" s="47"/>
      <c r="C1196" s="47"/>
      <c r="D1196" s="47"/>
    </row>
    <row r="1197" spans="2:4" x14ac:dyDescent="0.2">
      <c r="B1197" s="47"/>
      <c r="C1197" s="47"/>
      <c r="D1197" s="47"/>
    </row>
    <row r="1198" spans="2:4" x14ac:dyDescent="0.2">
      <c r="B1198" s="47"/>
      <c r="C1198" s="47"/>
      <c r="D1198" s="47"/>
    </row>
    <row r="1199" spans="2:4" x14ac:dyDescent="0.2">
      <c r="B1199" s="47"/>
      <c r="C1199" s="47"/>
      <c r="D1199" s="47"/>
    </row>
    <row r="1200" spans="2:4" x14ac:dyDescent="0.2">
      <c r="B1200" s="47"/>
      <c r="C1200" s="47"/>
      <c r="D1200" s="47"/>
    </row>
    <row r="1201" spans="2:4" x14ac:dyDescent="0.2">
      <c r="B1201" s="47"/>
      <c r="C1201" s="47"/>
      <c r="D1201" s="47"/>
    </row>
    <row r="1202" spans="2:4" x14ac:dyDescent="0.2">
      <c r="B1202" s="47"/>
      <c r="C1202" s="47"/>
      <c r="D1202" s="47"/>
    </row>
    <row r="1203" spans="2:4" x14ac:dyDescent="0.2">
      <c r="B1203" s="47"/>
      <c r="C1203" s="47"/>
      <c r="D1203" s="47"/>
    </row>
    <row r="1204" spans="2:4" x14ac:dyDescent="0.2">
      <c r="B1204" s="47"/>
      <c r="C1204" s="47"/>
      <c r="D1204" s="47"/>
    </row>
    <row r="1205" spans="2:4" x14ac:dyDescent="0.2">
      <c r="B1205" s="47"/>
      <c r="C1205" s="47"/>
      <c r="D1205" s="47"/>
    </row>
    <row r="1206" spans="2:4" x14ac:dyDescent="0.2">
      <c r="B1206" s="47"/>
      <c r="C1206" s="47"/>
      <c r="D1206" s="47"/>
    </row>
    <row r="1207" spans="2:4" x14ac:dyDescent="0.2">
      <c r="B1207" s="47"/>
      <c r="C1207" s="47"/>
      <c r="D1207" s="47"/>
    </row>
    <row r="1208" spans="2:4" x14ac:dyDescent="0.2">
      <c r="B1208" s="47"/>
      <c r="C1208" s="47"/>
      <c r="D1208" s="47"/>
    </row>
    <row r="1209" spans="2:4" x14ac:dyDescent="0.2">
      <c r="B1209" s="47"/>
      <c r="C1209" s="47"/>
      <c r="D1209" s="47"/>
    </row>
    <row r="1210" spans="2:4" x14ac:dyDescent="0.2">
      <c r="B1210" s="47"/>
      <c r="C1210" s="47"/>
      <c r="D1210" s="47"/>
    </row>
    <row r="1211" spans="2:4" x14ac:dyDescent="0.2">
      <c r="B1211" s="47"/>
      <c r="C1211" s="47"/>
      <c r="D1211" s="47"/>
    </row>
    <row r="1212" spans="2:4" x14ac:dyDescent="0.2">
      <c r="B1212" s="47"/>
      <c r="C1212" s="47"/>
      <c r="D1212" s="47"/>
    </row>
    <row r="1213" spans="2:4" x14ac:dyDescent="0.2">
      <c r="B1213" s="47"/>
      <c r="C1213" s="47"/>
      <c r="D1213" s="47"/>
    </row>
    <row r="1214" spans="2:4" x14ac:dyDescent="0.2">
      <c r="B1214" s="47"/>
      <c r="C1214" s="47"/>
      <c r="D1214" s="47"/>
    </row>
    <row r="1215" spans="2:4" x14ac:dyDescent="0.2">
      <c r="B1215" s="47"/>
      <c r="C1215" s="47"/>
      <c r="D1215" s="47"/>
    </row>
    <row r="1216" spans="2:4" x14ac:dyDescent="0.2">
      <c r="B1216" s="47"/>
      <c r="C1216" s="47"/>
      <c r="D1216" s="47"/>
    </row>
    <row r="1217" spans="2:4" x14ac:dyDescent="0.2">
      <c r="B1217" s="47"/>
      <c r="C1217" s="47"/>
      <c r="D1217" s="47"/>
    </row>
    <row r="1218" spans="2:4" x14ac:dyDescent="0.2">
      <c r="B1218" s="47"/>
      <c r="C1218" s="47"/>
      <c r="D1218" s="47"/>
    </row>
    <row r="1219" spans="2:4" x14ac:dyDescent="0.2">
      <c r="B1219" s="47"/>
      <c r="C1219" s="47"/>
      <c r="D1219" s="47"/>
    </row>
    <row r="1220" spans="2:4" x14ac:dyDescent="0.2">
      <c r="B1220" s="47"/>
      <c r="C1220" s="47"/>
      <c r="D1220" s="47"/>
    </row>
    <row r="1221" spans="2:4" x14ac:dyDescent="0.2">
      <c r="B1221" s="47"/>
      <c r="C1221" s="47"/>
      <c r="D1221" s="47"/>
    </row>
    <row r="1222" spans="2:4" x14ac:dyDescent="0.2">
      <c r="B1222" s="47"/>
      <c r="C1222" s="47"/>
      <c r="D1222" s="47"/>
    </row>
    <row r="1223" spans="2:4" x14ac:dyDescent="0.2">
      <c r="B1223" s="47"/>
      <c r="C1223" s="47"/>
      <c r="D1223" s="47"/>
    </row>
    <row r="1224" spans="2:4" x14ac:dyDescent="0.2">
      <c r="B1224" s="47"/>
      <c r="C1224" s="47"/>
      <c r="D1224" s="47"/>
    </row>
    <row r="1225" spans="2:4" x14ac:dyDescent="0.2">
      <c r="B1225" s="47"/>
      <c r="C1225" s="47"/>
      <c r="D1225" s="47"/>
    </row>
    <row r="1226" spans="2:4" x14ac:dyDescent="0.2">
      <c r="B1226" s="47"/>
      <c r="C1226" s="47"/>
      <c r="D1226" s="47"/>
    </row>
    <row r="1227" spans="2:4" x14ac:dyDescent="0.2">
      <c r="B1227" s="47"/>
      <c r="C1227" s="47"/>
      <c r="D1227" s="47"/>
    </row>
    <row r="1228" spans="2:4" x14ac:dyDescent="0.2">
      <c r="B1228" s="47"/>
      <c r="C1228" s="47"/>
      <c r="D1228" s="47"/>
    </row>
    <row r="1229" spans="2:4" x14ac:dyDescent="0.2">
      <c r="B1229" s="47"/>
      <c r="C1229" s="47"/>
      <c r="D1229" s="47"/>
    </row>
    <row r="1230" spans="2:4" x14ac:dyDescent="0.2">
      <c r="B1230" s="47"/>
      <c r="C1230" s="47"/>
      <c r="D1230" s="47"/>
    </row>
    <row r="1231" spans="2:4" x14ac:dyDescent="0.2">
      <c r="B1231" s="47"/>
      <c r="C1231" s="47"/>
      <c r="D1231" s="47"/>
    </row>
    <row r="1232" spans="2:4" x14ac:dyDescent="0.2">
      <c r="B1232" s="47"/>
      <c r="C1232" s="47"/>
      <c r="D1232" s="47"/>
    </row>
    <row r="1233" spans="2:4" x14ac:dyDescent="0.2">
      <c r="B1233" s="47"/>
      <c r="C1233" s="47"/>
      <c r="D1233" s="47"/>
    </row>
    <row r="1234" spans="2:4" x14ac:dyDescent="0.2">
      <c r="B1234" s="47"/>
      <c r="C1234" s="47"/>
      <c r="D1234" s="47"/>
    </row>
    <row r="1235" spans="2:4" x14ac:dyDescent="0.2">
      <c r="B1235" s="47"/>
      <c r="C1235" s="47"/>
      <c r="D1235" s="47"/>
    </row>
    <row r="1236" spans="2:4" x14ac:dyDescent="0.2">
      <c r="B1236" s="47"/>
      <c r="C1236" s="47"/>
      <c r="D1236" s="47"/>
    </row>
    <row r="1237" spans="2:4" x14ac:dyDescent="0.2">
      <c r="B1237" s="47"/>
      <c r="C1237" s="47"/>
      <c r="D1237" s="47"/>
    </row>
    <row r="1238" spans="2:4" x14ac:dyDescent="0.2">
      <c r="B1238" s="47"/>
      <c r="C1238" s="47"/>
      <c r="D1238" s="47"/>
    </row>
    <row r="1239" spans="2:4" x14ac:dyDescent="0.2">
      <c r="B1239" s="47"/>
      <c r="C1239" s="47"/>
      <c r="D1239" s="47"/>
    </row>
    <row r="1240" spans="2:4" x14ac:dyDescent="0.2">
      <c r="B1240" s="47"/>
      <c r="C1240" s="47"/>
      <c r="D1240" s="47"/>
    </row>
    <row r="1241" spans="2:4" x14ac:dyDescent="0.2">
      <c r="B1241" s="47"/>
      <c r="C1241" s="47"/>
      <c r="D1241" s="47"/>
    </row>
    <row r="1242" spans="2:4" x14ac:dyDescent="0.2">
      <c r="B1242" s="47"/>
      <c r="C1242" s="47"/>
      <c r="D1242" s="47"/>
    </row>
    <row r="1243" spans="2:4" x14ac:dyDescent="0.2">
      <c r="B1243" s="47"/>
      <c r="C1243" s="47"/>
      <c r="D1243" s="47"/>
    </row>
    <row r="1244" spans="2:4" x14ac:dyDescent="0.2">
      <c r="B1244" s="47"/>
      <c r="C1244" s="47"/>
      <c r="D1244" s="47"/>
    </row>
    <row r="1245" spans="2:4" x14ac:dyDescent="0.2">
      <c r="B1245" s="47"/>
      <c r="C1245" s="47"/>
      <c r="D1245" s="47"/>
    </row>
    <row r="1246" spans="2:4" x14ac:dyDescent="0.2">
      <c r="B1246" s="47"/>
      <c r="C1246" s="47"/>
      <c r="D1246" s="47"/>
    </row>
    <row r="1247" spans="2:4" x14ac:dyDescent="0.2">
      <c r="B1247" s="47"/>
      <c r="C1247" s="47"/>
      <c r="D1247" s="47"/>
    </row>
    <row r="1248" spans="2:4" x14ac:dyDescent="0.2">
      <c r="B1248" s="47"/>
      <c r="C1248" s="47"/>
      <c r="D1248" s="47"/>
    </row>
    <row r="1249" spans="2:4" x14ac:dyDescent="0.2">
      <c r="B1249" s="47"/>
      <c r="C1249" s="47"/>
      <c r="D1249" s="47"/>
    </row>
    <row r="1250" spans="2:4" x14ac:dyDescent="0.2">
      <c r="B1250" s="47"/>
      <c r="C1250" s="47"/>
      <c r="D1250" s="47"/>
    </row>
    <row r="1251" spans="2:4" x14ac:dyDescent="0.2">
      <c r="B1251" s="47"/>
      <c r="C1251" s="47"/>
      <c r="D1251" s="47"/>
    </row>
    <row r="1252" spans="2:4" x14ac:dyDescent="0.2">
      <c r="B1252" s="47"/>
      <c r="C1252" s="47"/>
      <c r="D1252" s="47"/>
    </row>
    <row r="1253" spans="2:4" x14ac:dyDescent="0.2">
      <c r="B1253" s="47"/>
      <c r="C1253" s="47"/>
      <c r="D1253" s="47"/>
    </row>
    <row r="1254" spans="2:4" x14ac:dyDescent="0.2">
      <c r="B1254" s="47"/>
      <c r="C1254" s="47"/>
      <c r="D1254" s="47"/>
    </row>
    <row r="1255" spans="2:4" x14ac:dyDescent="0.2">
      <c r="B1255" s="47"/>
      <c r="C1255" s="47"/>
      <c r="D1255" s="47"/>
    </row>
    <row r="1256" spans="2:4" x14ac:dyDescent="0.2">
      <c r="B1256" s="47"/>
      <c r="C1256" s="47"/>
      <c r="D1256" s="47"/>
    </row>
    <row r="1257" spans="2:4" x14ac:dyDescent="0.2">
      <c r="B1257" s="47"/>
      <c r="C1257" s="47"/>
      <c r="D1257" s="47"/>
    </row>
    <row r="1258" spans="2:4" x14ac:dyDescent="0.2">
      <c r="B1258" s="47"/>
      <c r="C1258" s="47"/>
      <c r="D1258" s="47"/>
    </row>
    <row r="1259" spans="2:4" x14ac:dyDescent="0.2">
      <c r="B1259" s="47"/>
      <c r="C1259" s="47"/>
      <c r="D1259" s="47"/>
    </row>
    <row r="1260" spans="2:4" x14ac:dyDescent="0.2">
      <c r="B1260" s="47"/>
      <c r="C1260" s="47"/>
      <c r="D1260" s="47"/>
    </row>
    <row r="1261" spans="2:4" x14ac:dyDescent="0.2">
      <c r="B1261" s="47"/>
      <c r="C1261" s="47"/>
      <c r="D1261" s="47"/>
    </row>
    <row r="1262" spans="2:4" x14ac:dyDescent="0.2">
      <c r="B1262" s="47"/>
      <c r="C1262" s="47"/>
      <c r="D1262" s="47"/>
    </row>
    <row r="1263" spans="2:4" x14ac:dyDescent="0.2">
      <c r="B1263" s="47"/>
      <c r="C1263" s="47"/>
      <c r="D1263" s="47"/>
    </row>
    <row r="1264" spans="2:4" x14ac:dyDescent="0.2">
      <c r="B1264" s="47"/>
      <c r="C1264" s="47"/>
      <c r="D1264" s="47"/>
    </row>
    <row r="1265" spans="2:4" x14ac:dyDescent="0.2">
      <c r="B1265" s="47"/>
      <c r="C1265" s="47"/>
      <c r="D1265" s="47"/>
    </row>
    <row r="1266" spans="2:4" x14ac:dyDescent="0.2">
      <c r="B1266" s="47"/>
      <c r="C1266" s="47"/>
      <c r="D1266" s="47"/>
    </row>
    <row r="1267" spans="2:4" x14ac:dyDescent="0.2">
      <c r="B1267" s="47"/>
      <c r="C1267" s="47"/>
      <c r="D1267" s="47"/>
    </row>
    <row r="1268" spans="2:4" x14ac:dyDescent="0.2">
      <c r="B1268" s="47"/>
      <c r="C1268" s="47"/>
      <c r="D1268" s="47"/>
    </row>
    <row r="1269" spans="2:4" x14ac:dyDescent="0.2">
      <c r="B1269" s="47"/>
      <c r="C1269" s="47"/>
      <c r="D1269" s="47"/>
    </row>
    <row r="1270" spans="2:4" x14ac:dyDescent="0.2">
      <c r="B1270" s="47"/>
      <c r="C1270" s="47"/>
      <c r="D1270" s="47"/>
    </row>
    <row r="1271" spans="2:4" x14ac:dyDescent="0.2">
      <c r="B1271" s="47"/>
      <c r="C1271" s="47"/>
      <c r="D1271" s="47"/>
    </row>
    <row r="1272" spans="2:4" x14ac:dyDescent="0.2">
      <c r="B1272" s="47"/>
      <c r="C1272" s="47"/>
      <c r="D1272" s="47"/>
    </row>
    <row r="1273" spans="2:4" x14ac:dyDescent="0.2">
      <c r="B1273" s="47"/>
      <c r="C1273" s="47"/>
      <c r="D1273" s="47"/>
    </row>
    <row r="1274" spans="2:4" x14ac:dyDescent="0.2">
      <c r="B1274" s="47"/>
      <c r="C1274" s="47"/>
      <c r="D1274" s="47"/>
    </row>
    <row r="1275" spans="2:4" x14ac:dyDescent="0.2">
      <c r="B1275" s="47"/>
      <c r="C1275" s="47"/>
      <c r="D1275" s="47"/>
    </row>
    <row r="1276" spans="2:4" x14ac:dyDescent="0.2">
      <c r="B1276" s="47"/>
      <c r="C1276" s="47"/>
      <c r="D1276" s="47"/>
    </row>
    <row r="1277" spans="2:4" x14ac:dyDescent="0.2">
      <c r="B1277" s="47"/>
      <c r="C1277" s="47"/>
      <c r="D1277" s="47"/>
    </row>
    <row r="1278" spans="2:4" x14ac:dyDescent="0.2">
      <c r="B1278" s="47"/>
      <c r="C1278" s="47"/>
      <c r="D1278" s="47"/>
    </row>
    <row r="1279" spans="2:4" x14ac:dyDescent="0.2">
      <c r="B1279" s="47"/>
      <c r="C1279" s="47"/>
      <c r="D1279" s="47"/>
    </row>
    <row r="1280" spans="2:4" x14ac:dyDescent="0.2">
      <c r="B1280" s="47"/>
      <c r="C1280" s="47"/>
      <c r="D1280" s="47"/>
    </row>
    <row r="1281" spans="2:4" x14ac:dyDescent="0.2">
      <c r="B1281" s="47"/>
      <c r="C1281" s="47"/>
      <c r="D1281" s="47"/>
    </row>
    <row r="1282" spans="2:4" x14ac:dyDescent="0.2">
      <c r="B1282" s="47"/>
      <c r="C1282" s="47"/>
      <c r="D1282" s="47"/>
    </row>
    <row r="1283" spans="2:4" x14ac:dyDescent="0.2">
      <c r="B1283" s="47"/>
      <c r="C1283" s="47"/>
      <c r="D1283" s="47"/>
    </row>
    <row r="1284" spans="2:4" x14ac:dyDescent="0.2">
      <c r="B1284" s="47"/>
      <c r="C1284" s="47"/>
      <c r="D1284" s="47"/>
    </row>
    <row r="1285" spans="2:4" x14ac:dyDescent="0.2">
      <c r="B1285" s="47"/>
      <c r="C1285" s="47"/>
      <c r="D1285" s="47"/>
    </row>
    <row r="1286" spans="2:4" x14ac:dyDescent="0.2">
      <c r="B1286" s="47"/>
      <c r="C1286" s="47"/>
      <c r="D1286" s="47"/>
    </row>
    <row r="1287" spans="2:4" x14ac:dyDescent="0.2">
      <c r="B1287" s="47"/>
      <c r="C1287" s="47"/>
      <c r="D1287" s="47"/>
    </row>
    <row r="1288" spans="2:4" x14ac:dyDescent="0.2">
      <c r="B1288" s="47"/>
      <c r="C1288" s="47"/>
      <c r="D1288" s="47"/>
    </row>
    <row r="1289" spans="2:4" x14ac:dyDescent="0.2">
      <c r="B1289" s="47"/>
      <c r="C1289" s="47"/>
      <c r="D1289" s="47"/>
    </row>
    <row r="1290" spans="2:4" x14ac:dyDescent="0.2">
      <c r="B1290" s="47"/>
      <c r="C1290" s="47"/>
      <c r="D1290" s="47"/>
    </row>
    <row r="1291" spans="2:4" x14ac:dyDescent="0.2">
      <c r="B1291" s="47"/>
      <c r="C1291" s="47"/>
      <c r="D1291" s="47"/>
    </row>
    <row r="1292" spans="2:4" x14ac:dyDescent="0.2">
      <c r="B1292" s="47"/>
      <c r="C1292" s="47"/>
      <c r="D1292" s="47"/>
    </row>
    <row r="1293" spans="2:4" x14ac:dyDescent="0.2">
      <c r="B1293" s="47"/>
      <c r="C1293" s="47"/>
      <c r="D1293" s="47"/>
    </row>
    <row r="1294" spans="2:4" x14ac:dyDescent="0.2">
      <c r="B1294" s="47"/>
      <c r="C1294" s="47"/>
      <c r="D1294" s="47"/>
    </row>
    <row r="1295" spans="2:4" x14ac:dyDescent="0.2">
      <c r="B1295" s="47"/>
      <c r="C1295" s="47"/>
      <c r="D1295" s="47"/>
    </row>
    <row r="1296" spans="2:4" x14ac:dyDescent="0.2">
      <c r="B1296" s="47"/>
      <c r="C1296" s="47"/>
      <c r="D1296" s="47"/>
    </row>
    <row r="1297" spans="2:4" x14ac:dyDescent="0.2">
      <c r="B1297" s="47"/>
      <c r="C1297" s="47"/>
      <c r="D1297" s="47"/>
    </row>
    <row r="1298" spans="2:4" x14ac:dyDescent="0.2">
      <c r="B1298" s="47"/>
      <c r="C1298" s="47"/>
      <c r="D1298" s="47"/>
    </row>
    <row r="1299" spans="2:4" x14ac:dyDescent="0.2">
      <c r="B1299" s="47"/>
      <c r="C1299" s="47"/>
      <c r="D1299" s="47"/>
    </row>
    <row r="1300" spans="2:4" x14ac:dyDescent="0.2">
      <c r="B1300" s="47"/>
      <c r="C1300" s="47"/>
      <c r="D1300" s="47"/>
    </row>
    <row r="1301" spans="2:4" x14ac:dyDescent="0.2">
      <c r="B1301" s="47"/>
      <c r="C1301" s="47"/>
      <c r="D1301" s="47"/>
    </row>
    <row r="1302" spans="2:4" x14ac:dyDescent="0.2">
      <c r="B1302" s="47"/>
      <c r="C1302" s="47"/>
      <c r="D1302" s="47"/>
    </row>
    <row r="1303" spans="2:4" x14ac:dyDescent="0.2">
      <c r="B1303" s="47"/>
      <c r="C1303" s="47"/>
      <c r="D1303" s="47"/>
    </row>
    <row r="1304" spans="2:4" x14ac:dyDescent="0.2">
      <c r="B1304" s="47"/>
      <c r="C1304" s="47"/>
      <c r="D1304" s="47"/>
    </row>
    <row r="1305" spans="2:4" x14ac:dyDescent="0.2">
      <c r="B1305" s="47"/>
      <c r="C1305" s="47"/>
      <c r="D1305" s="47"/>
    </row>
    <row r="1306" spans="2:4" x14ac:dyDescent="0.2">
      <c r="B1306" s="47"/>
      <c r="C1306" s="47"/>
      <c r="D1306" s="47"/>
    </row>
    <row r="1307" spans="2:4" x14ac:dyDescent="0.2">
      <c r="B1307" s="47"/>
      <c r="C1307" s="47"/>
      <c r="D1307" s="47"/>
    </row>
    <row r="1308" spans="2:4" x14ac:dyDescent="0.2">
      <c r="B1308" s="47"/>
      <c r="C1308" s="47"/>
      <c r="D1308" s="47"/>
    </row>
    <row r="1309" spans="2:4" x14ac:dyDescent="0.2">
      <c r="B1309" s="47"/>
      <c r="C1309" s="47"/>
      <c r="D1309" s="47"/>
    </row>
    <row r="1310" spans="2:4" x14ac:dyDescent="0.2">
      <c r="B1310" s="47"/>
      <c r="C1310" s="47"/>
      <c r="D1310" s="47"/>
    </row>
    <row r="1311" spans="2:4" x14ac:dyDescent="0.2">
      <c r="B1311" s="47"/>
      <c r="C1311" s="47"/>
      <c r="D1311" s="47"/>
    </row>
    <row r="1312" spans="2:4" x14ac:dyDescent="0.2">
      <c r="B1312" s="47"/>
      <c r="C1312" s="47"/>
      <c r="D1312" s="47"/>
    </row>
    <row r="1313" spans="2:4" x14ac:dyDescent="0.2">
      <c r="B1313" s="47"/>
      <c r="C1313" s="47"/>
      <c r="D1313" s="47"/>
    </row>
    <row r="1314" spans="2:4" x14ac:dyDescent="0.2">
      <c r="B1314" s="47"/>
      <c r="C1314" s="47"/>
      <c r="D1314" s="47"/>
    </row>
    <row r="1315" spans="2:4" x14ac:dyDescent="0.2">
      <c r="B1315" s="47"/>
      <c r="C1315" s="47"/>
      <c r="D1315" s="47"/>
    </row>
    <row r="1316" spans="2:4" x14ac:dyDescent="0.2">
      <c r="B1316" s="47"/>
      <c r="C1316" s="47"/>
      <c r="D1316" s="47"/>
    </row>
    <row r="1317" spans="2:4" x14ac:dyDescent="0.2">
      <c r="B1317" s="47"/>
      <c r="C1317" s="47"/>
      <c r="D1317" s="47"/>
    </row>
    <row r="1318" spans="2:4" x14ac:dyDescent="0.2">
      <c r="B1318" s="47"/>
      <c r="C1318" s="47"/>
      <c r="D1318" s="47"/>
    </row>
    <row r="1319" spans="2:4" x14ac:dyDescent="0.2">
      <c r="B1319" s="47"/>
      <c r="C1319" s="47"/>
      <c r="D1319" s="47"/>
    </row>
    <row r="1320" spans="2:4" x14ac:dyDescent="0.2">
      <c r="B1320" s="47"/>
      <c r="C1320" s="47"/>
      <c r="D1320" s="47"/>
    </row>
    <row r="1321" spans="2:4" x14ac:dyDescent="0.2">
      <c r="B1321" s="47"/>
      <c r="C1321" s="47"/>
      <c r="D1321" s="47"/>
    </row>
    <row r="1322" spans="2:4" x14ac:dyDescent="0.2">
      <c r="B1322" s="47"/>
      <c r="C1322" s="47"/>
      <c r="D1322" s="47"/>
    </row>
    <row r="1323" spans="2:4" x14ac:dyDescent="0.2">
      <c r="B1323" s="47"/>
      <c r="C1323" s="47"/>
      <c r="D1323" s="47"/>
    </row>
    <row r="1324" spans="2:4" x14ac:dyDescent="0.2">
      <c r="B1324" s="47"/>
      <c r="C1324" s="47"/>
      <c r="D1324" s="47"/>
    </row>
    <row r="1325" spans="2:4" x14ac:dyDescent="0.2">
      <c r="B1325" s="47"/>
      <c r="C1325" s="47"/>
      <c r="D1325" s="47"/>
    </row>
    <row r="1326" spans="2:4" x14ac:dyDescent="0.2">
      <c r="B1326" s="47"/>
      <c r="C1326" s="47"/>
      <c r="D1326" s="47"/>
    </row>
    <row r="1327" spans="2:4" x14ac:dyDescent="0.2">
      <c r="B1327" s="47"/>
      <c r="C1327" s="47"/>
      <c r="D1327" s="47"/>
    </row>
    <row r="1328" spans="2:4" x14ac:dyDescent="0.2">
      <c r="B1328" s="47"/>
      <c r="C1328" s="47"/>
      <c r="D1328" s="47"/>
    </row>
    <row r="1329" spans="2:4" x14ac:dyDescent="0.2">
      <c r="B1329" s="47"/>
      <c r="C1329" s="47"/>
      <c r="D1329" s="47"/>
    </row>
    <row r="1330" spans="2:4" x14ac:dyDescent="0.2">
      <c r="B1330" s="47"/>
      <c r="C1330" s="47"/>
      <c r="D1330" s="47"/>
    </row>
    <row r="1331" spans="2:4" x14ac:dyDescent="0.2">
      <c r="B1331" s="47"/>
      <c r="C1331" s="47"/>
      <c r="D1331" s="47"/>
    </row>
    <row r="1332" spans="2:4" x14ac:dyDescent="0.2">
      <c r="B1332" s="47"/>
      <c r="C1332" s="47"/>
      <c r="D1332" s="47"/>
    </row>
    <row r="1333" spans="2:4" x14ac:dyDescent="0.2">
      <c r="B1333" s="47"/>
      <c r="C1333" s="47"/>
      <c r="D1333" s="47"/>
    </row>
    <row r="1334" spans="2:4" x14ac:dyDescent="0.2">
      <c r="B1334" s="47"/>
      <c r="C1334" s="47"/>
      <c r="D1334" s="47"/>
    </row>
    <row r="1335" spans="2:4" x14ac:dyDescent="0.2">
      <c r="B1335" s="47"/>
      <c r="C1335" s="47"/>
      <c r="D1335" s="47"/>
    </row>
    <row r="1336" spans="2:4" x14ac:dyDescent="0.2">
      <c r="B1336" s="47"/>
      <c r="C1336" s="47"/>
      <c r="D1336" s="47"/>
    </row>
    <row r="1337" spans="2:4" x14ac:dyDescent="0.2">
      <c r="B1337" s="47"/>
      <c r="C1337" s="47"/>
      <c r="D1337" s="47"/>
    </row>
    <row r="1338" spans="2:4" x14ac:dyDescent="0.2">
      <c r="B1338" s="47"/>
      <c r="C1338" s="47"/>
      <c r="D1338" s="47"/>
    </row>
    <row r="1339" spans="2:4" x14ac:dyDescent="0.2">
      <c r="B1339" s="47"/>
      <c r="C1339" s="47"/>
      <c r="D1339" s="47"/>
    </row>
    <row r="1340" spans="2:4" x14ac:dyDescent="0.2">
      <c r="B1340" s="47"/>
      <c r="C1340" s="47"/>
      <c r="D1340" s="47"/>
    </row>
    <row r="1341" spans="2:4" x14ac:dyDescent="0.2">
      <c r="B1341" s="47"/>
      <c r="C1341" s="47"/>
      <c r="D1341" s="47"/>
    </row>
    <row r="1342" spans="2:4" x14ac:dyDescent="0.2">
      <c r="B1342" s="47"/>
      <c r="C1342" s="47"/>
      <c r="D1342" s="47"/>
    </row>
    <row r="1343" spans="2:4" x14ac:dyDescent="0.2">
      <c r="B1343" s="47"/>
      <c r="C1343" s="47"/>
      <c r="D1343" s="47"/>
    </row>
    <row r="1344" spans="2:4" x14ac:dyDescent="0.2">
      <c r="B1344" s="47"/>
      <c r="C1344" s="47"/>
      <c r="D1344" s="47"/>
    </row>
    <row r="1345" spans="2:4" x14ac:dyDescent="0.2">
      <c r="B1345" s="47"/>
      <c r="C1345" s="47"/>
      <c r="D1345" s="47"/>
    </row>
    <row r="1346" spans="2:4" x14ac:dyDescent="0.2">
      <c r="B1346" s="47"/>
      <c r="C1346" s="47"/>
      <c r="D1346" s="47"/>
    </row>
    <row r="1347" spans="2:4" x14ac:dyDescent="0.2">
      <c r="B1347" s="47"/>
      <c r="C1347" s="47"/>
      <c r="D1347" s="47"/>
    </row>
    <row r="1348" spans="2:4" x14ac:dyDescent="0.2">
      <c r="B1348" s="47"/>
      <c r="C1348" s="47"/>
      <c r="D1348" s="47"/>
    </row>
    <row r="1349" spans="2:4" x14ac:dyDescent="0.2">
      <c r="B1349" s="47"/>
      <c r="C1349" s="47"/>
      <c r="D1349" s="47"/>
    </row>
    <row r="1350" spans="2:4" x14ac:dyDescent="0.2">
      <c r="B1350" s="47"/>
      <c r="C1350" s="47"/>
      <c r="D1350" s="47"/>
    </row>
    <row r="1351" spans="2:4" x14ac:dyDescent="0.2">
      <c r="B1351" s="47"/>
      <c r="C1351" s="47"/>
      <c r="D1351" s="47"/>
    </row>
    <row r="1352" spans="2:4" x14ac:dyDescent="0.2">
      <c r="B1352" s="47"/>
      <c r="C1352" s="47"/>
      <c r="D1352" s="47"/>
    </row>
    <row r="1353" spans="2:4" x14ac:dyDescent="0.2">
      <c r="B1353" s="47"/>
      <c r="C1353" s="47"/>
      <c r="D1353" s="47"/>
    </row>
    <row r="1354" spans="2:4" x14ac:dyDescent="0.2">
      <c r="B1354" s="47"/>
      <c r="C1354" s="47"/>
      <c r="D1354" s="47"/>
    </row>
    <row r="1355" spans="2:4" x14ac:dyDescent="0.2">
      <c r="B1355" s="47"/>
      <c r="C1355" s="47"/>
      <c r="D1355" s="47"/>
    </row>
    <row r="1356" spans="2:4" x14ac:dyDescent="0.2">
      <c r="B1356" s="47"/>
      <c r="C1356" s="47"/>
      <c r="D1356" s="47"/>
    </row>
    <row r="1357" spans="2:4" x14ac:dyDescent="0.2">
      <c r="B1357" s="47"/>
      <c r="C1357" s="47"/>
      <c r="D1357" s="47"/>
    </row>
    <row r="1358" spans="2:4" x14ac:dyDescent="0.2">
      <c r="B1358" s="47"/>
      <c r="C1358" s="47"/>
      <c r="D1358" s="47"/>
    </row>
    <row r="1359" spans="2:4" x14ac:dyDescent="0.2">
      <c r="B1359" s="47"/>
      <c r="C1359" s="47"/>
      <c r="D1359" s="47"/>
    </row>
    <row r="1360" spans="2:4" x14ac:dyDescent="0.2">
      <c r="B1360" s="47"/>
      <c r="C1360" s="47"/>
      <c r="D1360" s="47"/>
    </row>
    <row r="1361" spans="2:4" x14ac:dyDescent="0.2">
      <c r="B1361" s="47"/>
      <c r="C1361" s="47"/>
      <c r="D1361" s="47"/>
    </row>
    <row r="1362" spans="2:4" x14ac:dyDescent="0.2">
      <c r="B1362" s="47"/>
      <c r="C1362" s="47"/>
      <c r="D1362" s="47"/>
    </row>
    <row r="1363" spans="2:4" x14ac:dyDescent="0.2">
      <c r="B1363" s="47"/>
      <c r="C1363" s="47"/>
      <c r="D1363" s="47"/>
    </row>
    <row r="1364" spans="2:4" x14ac:dyDescent="0.2">
      <c r="B1364" s="47"/>
      <c r="C1364" s="47"/>
      <c r="D1364" s="47"/>
    </row>
    <row r="1365" spans="2:4" x14ac:dyDescent="0.2">
      <c r="B1365" s="47"/>
      <c r="C1365" s="47"/>
      <c r="D1365" s="47"/>
    </row>
    <row r="1366" spans="2:4" x14ac:dyDescent="0.2">
      <c r="B1366" s="47"/>
      <c r="C1366" s="47"/>
      <c r="D1366" s="47"/>
    </row>
    <row r="1367" spans="2:4" x14ac:dyDescent="0.2">
      <c r="B1367" s="47"/>
      <c r="C1367" s="47"/>
      <c r="D1367" s="47"/>
    </row>
    <row r="1368" spans="2:4" x14ac:dyDescent="0.2">
      <c r="B1368" s="47"/>
      <c r="C1368" s="47"/>
      <c r="D1368" s="47"/>
    </row>
    <row r="1369" spans="2:4" x14ac:dyDescent="0.2">
      <c r="B1369" s="47"/>
      <c r="C1369" s="47"/>
      <c r="D1369" s="47"/>
    </row>
    <row r="1370" spans="2:4" x14ac:dyDescent="0.2">
      <c r="B1370" s="47"/>
      <c r="C1370" s="47"/>
      <c r="D1370" s="47"/>
    </row>
    <row r="1371" spans="2:4" x14ac:dyDescent="0.2">
      <c r="B1371" s="47"/>
      <c r="C1371" s="47"/>
      <c r="D1371" s="47"/>
    </row>
    <row r="1372" spans="2:4" x14ac:dyDescent="0.2">
      <c r="B1372" s="47"/>
      <c r="C1372" s="47"/>
      <c r="D1372" s="47"/>
    </row>
    <row r="1373" spans="2:4" x14ac:dyDescent="0.2">
      <c r="B1373" s="47"/>
      <c r="C1373" s="47"/>
      <c r="D1373" s="47"/>
    </row>
    <row r="1374" spans="2:4" x14ac:dyDescent="0.2">
      <c r="B1374" s="47"/>
      <c r="C1374" s="47"/>
      <c r="D1374" s="47"/>
    </row>
    <row r="1375" spans="2:4" x14ac:dyDescent="0.2">
      <c r="B1375" s="47"/>
      <c r="C1375" s="47"/>
      <c r="D1375" s="47"/>
    </row>
    <row r="1376" spans="2:4" x14ac:dyDescent="0.2">
      <c r="B1376" s="47"/>
      <c r="C1376" s="47"/>
      <c r="D1376" s="47"/>
    </row>
    <row r="1377" spans="2:4" x14ac:dyDescent="0.2">
      <c r="B1377" s="47"/>
      <c r="C1377" s="47"/>
      <c r="D1377" s="47"/>
    </row>
    <row r="1378" spans="2:4" x14ac:dyDescent="0.2">
      <c r="B1378" s="47"/>
      <c r="C1378" s="47"/>
      <c r="D1378" s="47"/>
    </row>
    <row r="1379" spans="2:4" x14ac:dyDescent="0.2">
      <c r="B1379" s="47"/>
      <c r="C1379" s="47"/>
      <c r="D1379" s="47"/>
    </row>
    <row r="1380" spans="2:4" x14ac:dyDescent="0.2">
      <c r="B1380" s="47"/>
      <c r="C1380" s="47"/>
      <c r="D1380" s="47"/>
    </row>
    <row r="1381" spans="2:4" x14ac:dyDescent="0.2">
      <c r="B1381" s="47"/>
      <c r="C1381" s="47"/>
      <c r="D1381" s="47"/>
    </row>
    <row r="1382" spans="2:4" x14ac:dyDescent="0.2">
      <c r="B1382" s="47"/>
      <c r="C1382" s="47"/>
      <c r="D1382" s="47"/>
    </row>
    <row r="1383" spans="2:4" x14ac:dyDescent="0.2">
      <c r="B1383" s="47"/>
      <c r="C1383" s="47"/>
      <c r="D1383" s="47"/>
    </row>
    <row r="1384" spans="2:4" x14ac:dyDescent="0.2">
      <c r="B1384" s="47"/>
      <c r="C1384" s="47"/>
      <c r="D1384" s="47"/>
    </row>
    <row r="1385" spans="2:4" x14ac:dyDescent="0.2">
      <c r="B1385" s="47"/>
      <c r="C1385" s="47"/>
      <c r="D1385" s="47"/>
    </row>
    <row r="1386" spans="2:4" x14ac:dyDescent="0.2">
      <c r="B1386" s="47"/>
      <c r="C1386" s="47"/>
      <c r="D1386" s="47"/>
    </row>
    <row r="1387" spans="2:4" x14ac:dyDescent="0.2">
      <c r="B1387" s="47"/>
      <c r="C1387" s="47"/>
      <c r="D1387" s="47"/>
    </row>
    <row r="1388" spans="2:4" x14ac:dyDescent="0.2">
      <c r="B1388" s="47"/>
      <c r="C1388" s="47"/>
      <c r="D1388" s="47"/>
    </row>
    <row r="1389" spans="2:4" x14ac:dyDescent="0.2">
      <c r="B1389" s="47"/>
      <c r="C1389" s="47"/>
      <c r="D1389" s="47"/>
    </row>
    <row r="1390" spans="2:4" x14ac:dyDescent="0.2">
      <c r="B1390" s="47"/>
      <c r="C1390" s="47"/>
      <c r="D1390" s="47"/>
    </row>
    <row r="1391" spans="2:4" x14ac:dyDescent="0.2">
      <c r="B1391" s="47"/>
      <c r="C1391" s="47"/>
      <c r="D1391" s="47"/>
    </row>
    <row r="1392" spans="2:4" x14ac:dyDescent="0.2">
      <c r="B1392" s="47"/>
      <c r="C1392" s="47"/>
      <c r="D1392" s="47"/>
    </row>
    <row r="1393" spans="2:4" x14ac:dyDescent="0.2">
      <c r="B1393" s="47"/>
      <c r="C1393" s="47"/>
      <c r="D1393" s="47"/>
    </row>
    <row r="1394" spans="2:4" x14ac:dyDescent="0.2">
      <c r="B1394" s="47"/>
      <c r="C1394" s="47"/>
      <c r="D1394" s="47"/>
    </row>
    <row r="1395" spans="2:4" x14ac:dyDescent="0.2">
      <c r="B1395" s="47"/>
      <c r="C1395" s="47"/>
      <c r="D1395" s="47"/>
    </row>
    <row r="1396" spans="2:4" x14ac:dyDescent="0.2">
      <c r="B1396" s="47"/>
      <c r="C1396" s="47"/>
      <c r="D1396" s="47"/>
    </row>
    <row r="1397" spans="2:4" x14ac:dyDescent="0.2">
      <c r="B1397" s="47"/>
      <c r="C1397" s="47"/>
      <c r="D1397" s="47"/>
    </row>
    <row r="1398" spans="2:4" x14ac:dyDescent="0.2">
      <c r="B1398" s="47"/>
      <c r="C1398" s="47"/>
      <c r="D1398" s="47"/>
    </row>
    <row r="1399" spans="2:4" x14ac:dyDescent="0.2">
      <c r="B1399" s="47"/>
      <c r="C1399" s="47"/>
      <c r="D1399" s="47"/>
    </row>
    <row r="1400" spans="2:4" x14ac:dyDescent="0.2">
      <c r="B1400" s="47"/>
      <c r="C1400" s="47"/>
      <c r="D1400" s="47"/>
    </row>
    <row r="1401" spans="2:4" x14ac:dyDescent="0.2">
      <c r="B1401" s="47"/>
      <c r="C1401" s="47"/>
      <c r="D1401" s="47"/>
    </row>
    <row r="1402" spans="2:4" x14ac:dyDescent="0.2">
      <c r="B1402" s="47"/>
      <c r="C1402" s="47"/>
      <c r="D1402" s="47"/>
    </row>
    <row r="1403" spans="2:4" x14ac:dyDescent="0.2">
      <c r="B1403" s="47"/>
      <c r="C1403" s="47"/>
      <c r="D1403" s="47"/>
    </row>
    <row r="1404" spans="2:4" x14ac:dyDescent="0.2">
      <c r="B1404" s="47"/>
      <c r="C1404" s="47"/>
      <c r="D1404" s="47"/>
    </row>
    <row r="1405" spans="2:4" x14ac:dyDescent="0.2">
      <c r="B1405" s="47"/>
      <c r="C1405" s="47"/>
      <c r="D1405" s="47"/>
    </row>
    <row r="1406" spans="2:4" x14ac:dyDescent="0.2">
      <c r="B1406" s="47"/>
      <c r="C1406" s="47"/>
      <c r="D1406" s="47"/>
    </row>
    <row r="1407" spans="2:4" x14ac:dyDescent="0.2">
      <c r="B1407" s="47"/>
      <c r="C1407" s="47"/>
      <c r="D1407" s="47"/>
    </row>
    <row r="1408" spans="2:4" x14ac:dyDescent="0.2">
      <c r="B1408" s="47"/>
      <c r="C1408" s="47"/>
      <c r="D1408" s="47"/>
    </row>
    <row r="1409" spans="2:4" x14ac:dyDescent="0.2">
      <c r="B1409" s="47"/>
      <c r="C1409" s="47"/>
      <c r="D1409" s="47"/>
    </row>
    <row r="1410" spans="2:4" x14ac:dyDescent="0.2">
      <c r="B1410" s="47"/>
      <c r="C1410" s="47"/>
      <c r="D1410" s="47"/>
    </row>
    <row r="1411" spans="2:4" x14ac:dyDescent="0.2">
      <c r="B1411" s="47"/>
      <c r="C1411" s="47"/>
      <c r="D1411" s="47"/>
    </row>
    <row r="1412" spans="2:4" x14ac:dyDescent="0.2">
      <c r="B1412" s="47"/>
      <c r="C1412" s="47"/>
      <c r="D1412" s="47"/>
    </row>
    <row r="1413" spans="2:4" x14ac:dyDescent="0.2">
      <c r="B1413" s="47"/>
      <c r="C1413" s="47"/>
      <c r="D1413" s="47"/>
    </row>
    <row r="1414" spans="2:4" x14ac:dyDescent="0.2">
      <c r="B1414" s="47"/>
      <c r="C1414" s="47"/>
      <c r="D1414" s="47"/>
    </row>
    <row r="1415" spans="2:4" x14ac:dyDescent="0.2">
      <c r="B1415" s="47"/>
      <c r="C1415" s="47"/>
      <c r="D1415" s="47"/>
    </row>
    <row r="1416" spans="2:4" x14ac:dyDescent="0.2">
      <c r="B1416" s="47"/>
      <c r="C1416" s="47"/>
      <c r="D1416" s="47"/>
    </row>
    <row r="1417" spans="2:4" x14ac:dyDescent="0.2">
      <c r="B1417" s="47"/>
      <c r="C1417" s="47"/>
      <c r="D1417" s="47"/>
    </row>
    <row r="1418" spans="2:4" x14ac:dyDescent="0.2">
      <c r="B1418" s="47"/>
      <c r="C1418" s="47"/>
      <c r="D1418" s="47"/>
    </row>
    <row r="1419" spans="2:4" x14ac:dyDescent="0.2">
      <c r="B1419" s="47"/>
      <c r="C1419" s="47"/>
      <c r="D1419" s="47"/>
    </row>
    <row r="1420" spans="2:4" x14ac:dyDescent="0.2">
      <c r="B1420" s="47"/>
      <c r="C1420" s="47"/>
      <c r="D1420" s="47"/>
    </row>
    <row r="1421" spans="2:4" x14ac:dyDescent="0.2">
      <c r="B1421" s="47"/>
      <c r="C1421" s="47"/>
      <c r="D1421" s="47"/>
    </row>
    <row r="1422" spans="2:4" x14ac:dyDescent="0.2">
      <c r="B1422" s="47"/>
      <c r="C1422" s="47"/>
      <c r="D1422" s="47"/>
    </row>
    <row r="1423" spans="2:4" x14ac:dyDescent="0.2">
      <c r="B1423" s="47"/>
      <c r="C1423" s="47"/>
      <c r="D1423" s="47"/>
    </row>
    <row r="1424" spans="2:4" x14ac:dyDescent="0.2">
      <c r="B1424" s="47"/>
      <c r="C1424" s="47"/>
      <c r="D1424" s="47"/>
    </row>
    <row r="1425" spans="2:4" x14ac:dyDescent="0.2">
      <c r="B1425" s="47"/>
      <c r="C1425" s="47"/>
      <c r="D1425" s="47"/>
    </row>
    <row r="1426" spans="2:4" x14ac:dyDescent="0.2">
      <c r="B1426" s="47"/>
      <c r="C1426" s="47"/>
      <c r="D1426" s="47"/>
    </row>
    <row r="1427" spans="2:4" x14ac:dyDescent="0.2">
      <c r="B1427" s="47"/>
      <c r="C1427" s="47"/>
      <c r="D1427" s="47"/>
    </row>
    <row r="1428" spans="2:4" x14ac:dyDescent="0.2">
      <c r="B1428" s="47"/>
      <c r="C1428" s="47"/>
      <c r="D1428" s="47"/>
    </row>
    <row r="1429" spans="2:4" x14ac:dyDescent="0.2">
      <c r="B1429" s="47"/>
      <c r="C1429" s="47"/>
      <c r="D1429" s="47"/>
    </row>
    <row r="1430" spans="2:4" x14ac:dyDescent="0.2">
      <c r="B1430" s="47"/>
      <c r="C1430" s="47"/>
      <c r="D1430" s="47"/>
    </row>
    <row r="1431" spans="2:4" x14ac:dyDescent="0.2">
      <c r="B1431" s="47"/>
      <c r="C1431" s="47"/>
      <c r="D1431" s="47"/>
    </row>
    <row r="1432" spans="2:4" x14ac:dyDescent="0.2">
      <c r="B1432" s="47"/>
      <c r="C1432" s="47"/>
      <c r="D1432" s="47"/>
    </row>
    <row r="1433" spans="2:4" x14ac:dyDescent="0.2">
      <c r="B1433" s="47"/>
      <c r="C1433" s="47"/>
      <c r="D1433" s="47"/>
    </row>
    <row r="1434" spans="2:4" x14ac:dyDescent="0.2">
      <c r="B1434" s="47"/>
      <c r="C1434" s="47"/>
      <c r="D1434" s="47"/>
    </row>
    <row r="1435" spans="2:4" x14ac:dyDescent="0.2">
      <c r="B1435" s="47"/>
      <c r="C1435" s="47"/>
      <c r="D1435" s="47"/>
    </row>
    <row r="1436" spans="2:4" x14ac:dyDescent="0.2">
      <c r="B1436" s="47"/>
      <c r="C1436" s="47"/>
      <c r="D1436" s="47"/>
    </row>
    <row r="1437" spans="2:4" x14ac:dyDescent="0.2">
      <c r="B1437" s="47"/>
      <c r="C1437" s="47"/>
      <c r="D1437" s="47"/>
    </row>
    <row r="1438" spans="2:4" x14ac:dyDescent="0.2">
      <c r="B1438" s="47"/>
      <c r="C1438" s="47"/>
      <c r="D1438" s="47"/>
    </row>
    <row r="1439" spans="2:4" x14ac:dyDescent="0.2">
      <c r="B1439" s="47"/>
      <c r="C1439" s="47"/>
      <c r="D1439" s="47"/>
    </row>
    <row r="1440" spans="2:4" x14ac:dyDescent="0.2">
      <c r="B1440" s="47"/>
      <c r="C1440" s="47"/>
      <c r="D1440" s="47"/>
    </row>
    <row r="1441" spans="2:4" x14ac:dyDescent="0.2">
      <c r="B1441" s="47"/>
      <c r="C1441" s="47"/>
      <c r="D1441" s="47"/>
    </row>
    <row r="1442" spans="2:4" x14ac:dyDescent="0.2">
      <c r="B1442" s="47"/>
      <c r="C1442" s="47"/>
      <c r="D1442" s="47"/>
    </row>
    <row r="1443" spans="2:4" x14ac:dyDescent="0.2">
      <c r="B1443" s="47"/>
      <c r="C1443" s="47"/>
      <c r="D1443" s="47"/>
    </row>
    <row r="1444" spans="2:4" x14ac:dyDescent="0.2">
      <c r="B1444" s="47"/>
      <c r="C1444" s="47"/>
      <c r="D1444" s="47"/>
    </row>
    <row r="1445" spans="2:4" x14ac:dyDescent="0.2">
      <c r="B1445" s="47"/>
      <c r="C1445" s="47"/>
      <c r="D1445" s="47"/>
    </row>
    <row r="1446" spans="2:4" x14ac:dyDescent="0.2">
      <c r="B1446" s="47"/>
      <c r="C1446" s="47"/>
      <c r="D1446" s="47"/>
    </row>
    <row r="1447" spans="2:4" x14ac:dyDescent="0.2">
      <c r="B1447" s="47"/>
      <c r="C1447" s="47"/>
      <c r="D1447" s="47"/>
    </row>
    <row r="1448" spans="2:4" x14ac:dyDescent="0.2">
      <c r="B1448" s="47"/>
      <c r="C1448" s="47"/>
      <c r="D1448" s="47"/>
    </row>
    <row r="1449" spans="2:4" x14ac:dyDescent="0.2">
      <c r="B1449" s="47"/>
      <c r="C1449" s="47"/>
      <c r="D1449" s="47"/>
    </row>
    <row r="1450" spans="2:4" x14ac:dyDescent="0.2">
      <c r="B1450" s="47"/>
      <c r="C1450" s="47"/>
      <c r="D1450" s="47"/>
    </row>
    <row r="1451" spans="2:4" x14ac:dyDescent="0.2">
      <c r="B1451" s="47"/>
      <c r="C1451" s="47"/>
      <c r="D1451" s="47"/>
    </row>
    <row r="1452" spans="2:4" x14ac:dyDescent="0.2">
      <c r="B1452" s="47"/>
      <c r="C1452" s="47"/>
      <c r="D1452" s="47"/>
    </row>
    <row r="1453" spans="2:4" x14ac:dyDescent="0.2">
      <c r="B1453" s="47"/>
      <c r="C1453" s="47"/>
      <c r="D1453" s="47"/>
    </row>
    <row r="1454" spans="2:4" x14ac:dyDescent="0.2">
      <c r="B1454" s="47"/>
      <c r="C1454" s="47"/>
      <c r="D1454" s="47"/>
    </row>
    <row r="1455" spans="2:4" x14ac:dyDescent="0.2">
      <c r="B1455" s="47"/>
      <c r="C1455" s="47"/>
      <c r="D1455" s="47"/>
    </row>
    <row r="1456" spans="2:4" x14ac:dyDescent="0.2">
      <c r="B1456" s="47"/>
      <c r="C1456" s="47"/>
      <c r="D1456" s="47"/>
    </row>
    <row r="1457" spans="2:4" x14ac:dyDescent="0.2">
      <c r="B1457" s="47"/>
      <c r="C1457" s="47"/>
      <c r="D1457" s="47"/>
    </row>
    <row r="1458" spans="2:4" x14ac:dyDescent="0.2">
      <c r="B1458" s="47"/>
      <c r="C1458" s="47"/>
      <c r="D1458" s="47"/>
    </row>
    <row r="1459" spans="2:4" x14ac:dyDescent="0.2">
      <c r="B1459" s="47"/>
      <c r="C1459" s="47"/>
      <c r="D1459" s="47"/>
    </row>
    <row r="1460" spans="2:4" x14ac:dyDescent="0.2">
      <c r="B1460" s="47"/>
      <c r="C1460" s="47"/>
      <c r="D1460" s="47"/>
    </row>
    <row r="1461" spans="2:4" x14ac:dyDescent="0.2">
      <c r="B1461" s="47"/>
      <c r="C1461" s="47"/>
      <c r="D1461" s="47"/>
    </row>
    <row r="1462" spans="2:4" x14ac:dyDescent="0.2">
      <c r="B1462" s="47"/>
      <c r="C1462" s="47"/>
      <c r="D1462" s="47"/>
    </row>
    <row r="1463" spans="2:4" x14ac:dyDescent="0.2">
      <c r="B1463" s="47"/>
      <c r="C1463" s="47"/>
      <c r="D1463" s="47"/>
    </row>
    <row r="1464" spans="2:4" x14ac:dyDescent="0.2">
      <c r="B1464" s="47"/>
      <c r="C1464" s="47"/>
      <c r="D1464" s="47"/>
    </row>
    <row r="1465" spans="2:4" x14ac:dyDescent="0.2">
      <c r="B1465" s="47"/>
      <c r="C1465" s="47"/>
      <c r="D1465" s="47"/>
    </row>
    <row r="1466" spans="2:4" x14ac:dyDescent="0.2">
      <c r="B1466" s="47"/>
      <c r="C1466" s="47"/>
      <c r="D1466" s="47"/>
    </row>
    <row r="1467" spans="2:4" x14ac:dyDescent="0.2">
      <c r="B1467" s="47"/>
      <c r="C1467" s="47"/>
      <c r="D1467" s="47"/>
    </row>
    <row r="1468" spans="2:4" x14ac:dyDescent="0.2">
      <c r="B1468" s="47"/>
      <c r="C1468" s="47"/>
      <c r="D1468" s="47"/>
    </row>
    <row r="1469" spans="2:4" x14ac:dyDescent="0.2">
      <c r="B1469" s="47"/>
      <c r="C1469" s="47"/>
      <c r="D1469" s="47"/>
    </row>
    <row r="1470" spans="2:4" x14ac:dyDescent="0.2">
      <c r="B1470" s="47"/>
      <c r="C1470" s="47"/>
      <c r="D1470" s="47"/>
    </row>
    <row r="1471" spans="2:4" x14ac:dyDescent="0.2">
      <c r="B1471" s="47"/>
      <c r="C1471" s="47"/>
      <c r="D1471" s="47"/>
    </row>
    <row r="1472" spans="2:4" x14ac:dyDescent="0.2">
      <c r="B1472" s="47"/>
      <c r="C1472" s="47"/>
      <c r="D1472" s="47"/>
    </row>
    <row r="1473" spans="2:4" x14ac:dyDescent="0.2">
      <c r="B1473" s="47"/>
      <c r="C1473" s="47"/>
      <c r="D1473" s="47"/>
    </row>
    <row r="1474" spans="2:4" x14ac:dyDescent="0.2">
      <c r="B1474" s="47"/>
      <c r="C1474" s="47"/>
      <c r="D1474" s="47"/>
    </row>
    <row r="1475" spans="2:4" x14ac:dyDescent="0.2">
      <c r="B1475" s="47"/>
      <c r="C1475" s="47"/>
      <c r="D1475" s="47"/>
    </row>
    <row r="1476" spans="2:4" x14ac:dyDescent="0.2">
      <c r="B1476" s="47"/>
      <c r="C1476" s="47"/>
      <c r="D1476" s="47"/>
    </row>
    <row r="1477" spans="2:4" x14ac:dyDescent="0.2">
      <c r="B1477" s="47"/>
      <c r="C1477" s="47"/>
      <c r="D1477" s="47"/>
    </row>
    <row r="1478" spans="2:4" x14ac:dyDescent="0.2">
      <c r="B1478" s="47"/>
      <c r="C1478" s="47"/>
      <c r="D1478" s="47"/>
    </row>
    <row r="1479" spans="2:4" x14ac:dyDescent="0.2">
      <c r="B1479" s="47"/>
      <c r="C1479" s="47"/>
      <c r="D1479" s="47"/>
    </row>
    <row r="1480" spans="2:4" x14ac:dyDescent="0.2">
      <c r="B1480" s="47"/>
      <c r="C1480" s="47"/>
      <c r="D1480" s="47"/>
    </row>
    <row r="1481" spans="2:4" x14ac:dyDescent="0.2">
      <c r="B1481" s="47"/>
      <c r="C1481" s="47"/>
      <c r="D1481" s="47"/>
    </row>
    <row r="1482" spans="2:4" x14ac:dyDescent="0.2">
      <c r="B1482" s="47"/>
      <c r="C1482" s="47"/>
      <c r="D1482" s="47"/>
    </row>
    <row r="1483" spans="2:4" x14ac:dyDescent="0.2">
      <c r="B1483" s="47"/>
      <c r="C1483" s="47"/>
      <c r="D1483" s="47"/>
    </row>
    <row r="1484" spans="2:4" x14ac:dyDescent="0.2">
      <c r="B1484" s="47"/>
      <c r="C1484" s="47"/>
      <c r="D1484" s="47"/>
    </row>
    <row r="1485" spans="2:4" x14ac:dyDescent="0.2">
      <c r="B1485" s="47"/>
      <c r="C1485" s="47"/>
      <c r="D1485" s="47"/>
    </row>
    <row r="1486" spans="2:4" x14ac:dyDescent="0.2">
      <c r="B1486" s="47"/>
      <c r="C1486" s="47"/>
      <c r="D1486" s="47"/>
    </row>
    <row r="1487" spans="2:4" x14ac:dyDescent="0.2">
      <c r="B1487" s="47"/>
      <c r="C1487" s="47"/>
      <c r="D1487" s="47"/>
    </row>
    <row r="1488" spans="2:4" x14ac:dyDescent="0.2">
      <c r="B1488" s="47"/>
      <c r="C1488" s="47"/>
      <c r="D1488" s="47"/>
    </row>
    <row r="1489" spans="2:4" x14ac:dyDescent="0.2">
      <c r="B1489" s="47"/>
      <c r="C1489" s="47"/>
      <c r="D1489" s="47"/>
    </row>
    <row r="1490" spans="2:4" x14ac:dyDescent="0.2">
      <c r="B1490" s="47"/>
      <c r="C1490" s="47"/>
      <c r="D1490" s="47"/>
    </row>
    <row r="1491" spans="2:4" x14ac:dyDescent="0.2">
      <c r="B1491" s="47"/>
      <c r="C1491" s="47"/>
      <c r="D1491" s="47"/>
    </row>
    <row r="1492" spans="2:4" x14ac:dyDescent="0.2">
      <c r="B1492" s="47"/>
      <c r="C1492" s="47"/>
      <c r="D1492" s="47"/>
    </row>
    <row r="1493" spans="2:4" x14ac:dyDescent="0.2">
      <c r="B1493" s="47"/>
      <c r="C1493" s="47"/>
      <c r="D1493" s="47"/>
    </row>
    <row r="1494" spans="2:4" x14ac:dyDescent="0.2">
      <c r="B1494" s="47"/>
      <c r="C1494" s="47"/>
      <c r="D1494" s="47"/>
    </row>
    <row r="1495" spans="2:4" x14ac:dyDescent="0.2">
      <c r="B1495" s="47"/>
      <c r="C1495" s="47"/>
      <c r="D1495" s="47"/>
    </row>
    <row r="1496" spans="2:4" x14ac:dyDescent="0.2">
      <c r="B1496" s="47"/>
      <c r="C1496" s="47"/>
      <c r="D1496" s="47"/>
    </row>
    <row r="1497" spans="2:4" x14ac:dyDescent="0.2">
      <c r="B1497" s="47"/>
      <c r="C1497" s="47"/>
      <c r="D1497" s="47"/>
    </row>
    <row r="1498" spans="2:4" x14ac:dyDescent="0.2">
      <c r="B1498" s="47"/>
      <c r="C1498" s="47"/>
      <c r="D1498" s="47"/>
    </row>
    <row r="1499" spans="2:4" x14ac:dyDescent="0.2">
      <c r="B1499" s="47"/>
      <c r="C1499" s="47"/>
      <c r="D1499" s="47"/>
    </row>
    <row r="1500" spans="2:4" x14ac:dyDescent="0.2">
      <c r="B1500" s="47"/>
      <c r="C1500" s="47"/>
      <c r="D1500" s="47"/>
    </row>
    <row r="1501" spans="2:4" x14ac:dyDescent="0.2">
      <c r="B1501" s="47"/>
      <c r="C1501" s="47"/>
      <c r="D1501" s="47"/>
    </row>
    <row r="1502" spans="2:4" x14ac:dyDescent="0.2">
      <c r="B1502" s="47"/>
      <c r="C1502" s="47"/>
      <c r="D1502" s="47"/>
    </row>
    <row r="1503" spans="2:4" x14ac:dyDescent="0.2">
      <c r="B1503" s="47"/>
      <c r="C1503" s="47"/>
      <c r="D1503" s="47"/>
    </row>
    <row r="1504" spans="2:4" x14ac:dyDescent="0.2">
      <c r="B1504" s="47"/>
      <c r="C1504" s="47"/>
      <c r="D1504" s="47"/>
    </row>
    <row r="1505" spans="2:4" x14ac:dyDescent="0.2">
      <c r="B1505" s="47"/>
      <c r="C1505" s="47"/>
      <c r="D1505" s="47"/>
    </row>
    <row r="1506" spans="2:4" x14ac:dyDescent="0.2">
      <c r="B1506" s="47"/>
      <c r="C1506" s="47"/>
      <c r="D1506" s="47"/>
    </row>
    <row r="1507" spans="2:4" x14ac:dyDescent="0.2">
      <c r="B1507" s="47"/>
      <c r="C1507" s="47"/>
      <c r="D1507" s="47"/>
    </row>
    <row r="1508" spans="2:4" x14ac:dyDescent="0.2">
      <c r="B1508" s="47"/>
      <c r="C1508" s="47"/>
      <c r="D1508" s="47"/>
    </row>
    <row r="1509" spans="2:4" x14ac:dyDescent="0.2">
      <c r="B1509" s="47"/>
      <c r="C1509" s="47"/>
      <c r="D1509" s="47"/>
    </row>
    <row r="1510" spans="2:4" x14ac:dyDescent="0.2">
      <c r="B1510" s="47"/>
      <c r="C1510" s="47"/>
      <c r="D1510" s="47"/>
    </row>
    <row r="1511" spans="2:4" x14ac:dyDescent="0.2">
      <c r="B1511" s="47"/>
      <c r="C1511" s="47"/>
      <c r="D1511" s="47"/>
    </row>
    <row r="1512" spans="2:4" x14ac:dyDescent="0.2">
      <c r="B1512" s="47"/>
      <c r="C1512" s="47"/>
      <c r="D1512" s="47"/>
    </row>
    <row r="1513" spans="2:4" x14ac:dyDescent="0.2">
      <c r="B1513" s="47"/>
      <c r="C1513" s="47"/>
      <c r="D1513" s="47"/>
    </row>
    <row r="1514" spans="2:4" x14ac:dyDescent="0.2">
      <c r="B1514" s="47"/>
      <c r="C1514" s="47"/>
      <c r="D1514" s="47"/>
    </row>
    <row r="1515" spans="2:4" x14ac:dyDescent="0.2">
      <c r="B1515" s="47"/>
      <c r="C1515" s="47"/>
      <c r="D1515" s="47"/>
    </row>
    <row r="1516" spans="2:4" x14ac:dyDescent="0.2">
      <c r="B1516" s="47"/>
      <c r="C1516" s="47"/>
      <c r="D1516" s="47"/>
    </row>
    <row r="1517" spans="2:4" x14ac:dyDescent="0.2">
      <c r="B1517" s="47"/>
      <c r="C1517" s="47"/>
      <c r="D1517" s="47"/>
    </row>
    <row r="1518" spans="2:4" x14ac:dyDescent="0.2">
      <c r="B1518" s="47"/>
      <c r="C1518" s="47"/>
      <c r="D1518" s="47"/>
    </row>
    <row r="1519" spans="2:4" x14ac:dyDescent="0.2">
      <c r="B1519" s="47"/>
      <c r="C1519" s="47"/>
      <c r="D1519" s="47"/>
    </row>
    <row r="1520" spans="2:4" x14ac:dyDescent="0.2">
      <c r="B1520" s="47"/>
      <c r="C1520" s="47"/>
      <c r="D1520" s="47"/>
    </row>
    <row r="1521" spans="2:4" x14ac:dyDescent="0.2">
      <c r="B1521" s="47"/>
      <c r="C1521" s="47"/>
      <c r="D1521" s="47"/>
    </row>
    <row r="1522" spans="2:4" x14ac:dyDescent="0.2">
      <c r="B1522" s="47"/>
      <c r="C1522" s="47"/>
      <c r="D1522" s="47"/>
    </row>
    <row r="1523" spans="2:4" x14ac:dyDescent="0.2">
      <c r="B1523" s="47"/>
      <c r="C1523" s="47"/>
      <c r="D1523" s="47"/>
    </row>
    <row r="1524" spans="2:4" x14ac:dyDescent="0.2">
      <c r="B1524" s="47"/>
      <c r="C1524" s="47"/>
      <c r="D1524" s="47"/>
    </row>
    <row r="1525" spans="2:4" x14ac:dyDescent="0.2">
      <c r="B1525" s="47"/>
      <c r="C1525" s="47"/>
      <c r="D1525" s="47"/>
    </row>
    <row r="1526" spans="2:4" x14ac:dyDescent="0.2">
      <c r="B1526" s="47"/>
      <c r="C1526" s="47"/>
      <c r="D1526" s="47"/>
    </row>
    <row r="1527" spans="2:4" x14ac:dyDescent="0.2">
      <c r="B1527" s="47"/>
      <c r="C1527" s="47"/>
      <c r="D1527" s="47"/>
    </row>
    <row r="1528" spans="2:4" x14ac:dyDescent="0.2">
      <c r="B1528" s="47"/>
      <c r="C1528" s="47"/>
      <c r="D1528" s="47"/>
    </row>
    <row r="1529" spans="2:4" x14ac:dyDescent="0.2">
      <c r="B1529" s="47"/>
      <c r="C1529" s="47"/>
      <c r="D1529" s="47"/>
    </row>
    <row r="1530" spans="2:4" x14ac:dyDescent="0.2">
      <c r="B1530" s="47"/>
      <c r="C1530" s="47"/>
      <c r="D1530" s="47"/>
    </row>
    <row r="1531" spans="2:4" x14ac:dyDescent="0.2">
      <c r="B1531" s="47"/>
      <c r="C1531" s="47"/>
      <c r="D1531" s="47"/>
    </row>
    <row r="1532" spans="2:4" x14ac:dyDescent="0.2">
      <c r="B1532" s="47"/>
      <c r="C1532" s="47"/>
      <c r="D1532" s="47"/>
    </row>
    <row r="1533" spans="2:4" x14ac:dyDescent="0.2">
      <c r="B1533" s="47"/>
      <c r="C1533" s="47"/>
      <c r="D1533" s="47"/>
    </row>
    <row r="1534" spans="2:4" x14ac:dyDescent="0.2">
      <c r="B1534" s="47"/>
      <c r="C1534" s="47"/>
      <c r="D1534" s="47"/>
    </row>
    <row r="1535" spans="2:4" x14ac:dyDescent="0.2">
      <c r="B1535" s="47"/>
      <c r="C1535" s="47"/>
      <c r="D1535" s="47"/>
    </row>
    <row r="1536" spans="2:4" x14ac:dyDescent="0.2">
      <c r="B1536" s="47"/>
      <c r="C1536" s="47"/>
      <c r="D1536" s="47"/>
    </row>
    <row r="1537" spans="2:4" x14ac:dyDescent="0.2">
      <c r="B1537" s="47"/>
      <c r="C1537" s="47"/>
      <c r="D1537" s="47"/>
    </row>
    <row r="1538" spans="2:4" x14ac:dyDescent="0.2">
      <c r="B1538" s="47"/>
      <c r="C1538" s="47"/>
      <c r="D1538" s="47"/>
    </row>
    <row r="1539" spans="2:4" x14ac:dyDescent="0.2">
      <c r="B1539" s="47"/>
      <c r="C1539" s="47"/>
      <c r="D1539" s="47"/>
    </row>
    <row r="1540" spans="2:4" x14ac:dyDescent="0.2">
      <c r="B1540" s="47"/>
      <c r="C1540" s="47"/>
      <c r="D1540" s="47"/>
    </row>
    <row r="1541" spans="2:4" x14ac:dyDescent="0.2">
      <c r="B1541" s="47"/>
      <c r="C1541" s="47"/>
      <c r="D1541" s="47"/>
    </row>
    <row r="1542" spans="2:4" x14ac:dyDescent="0.2">
      <c r="B1542" s="47"/>
      <c r="C1542" s="47"/>
      <c r="D1542" s="47"/>
    </row>
    <row r="1543" spans="2:4" x14ac:dyDescent="0.2">
      <c r="B1543" s="47"/>
      <c r="C1543" s="47"/>
      <c r="D1543" s="47"/>
    </row>
    <row r="1544" spans="2:4" x14ac:dyDescent="0.2">
      <c r="B1544" s="47"/>
      <c r="C1544" s="47"/>
      <c r="D1544" s="47"/>
    </row>
    <row r="1545" spans="2:4" x14ac:dyDescent="0.2">
      <c r="B1545" s="47"/>
      <c r="C1545" s="47"/>
      <c r="D1545" s="47"/>
    </row>
    <row r="1546" spans="2:4" x14ac:dyDescent="0.2">
      <c r="B1546" s="47"/>
      <c r="C1546" s="47"/>
      <c r="D1546" s="47"/>
    </row>
    <row r="1547" spans="2:4" x14ac:dyDescent="0.2">
      <c r="B1547" s="47"/>
      <c r="C1547" s="47"/>
      <c r="D1547" s="47"/>
    </row>
    <row r="1548" spans="2:4" x14ac:dyDescent="0.2">
      <c r="B1548" s="47"/>
      <c r="C1548" s="47"/>
      <c r="D1548" s="47"/>
    </row>
    <row r="1549" spans="2:4" x14ac:dyDescent="0.2">
      <c r="B1549" s="47"/>
      <c r="C1549" s="47"/>
      <c r="D1549" s="47"/>
    </row>
    <row r="1550" spans="2:4" x14ac:dyDescent="0.2">
      <c r="B1550" s="47"/>
      <c r="C1550" s="47"/>
      <c r="D1550" s="47"/>
    </row>
    <row r="1551" spans="2:4" x14ac:dyDescent="0.2">
      <c r="B1551" s="47"/>
      <c r="C1551" s="47"/>
      <c r="D1551" s="47"/>
    </row>
    <row r="1552" spans="2:4" x14ac:dyDescent="0.2">
      <c r="B1552" s="47"/>
      <c r="C1552" s="47"/>
      <c r="D1552" s="47"/>
    </row>
    <row r="1553" spans="2:4" x14ac:dyDescent="0.2">
      <c r="B1553" s="47"/>
      <c r="C1553" s="47"/>
      <c r="D1553" s="47"/>
    </row>
    <row r="1554" spans="2:4" x14ac:dyDescent="0.2">
      <c r="B1554" s="47"/>
      <c r="C1554" s="47"/>
      <c r="D1554" s="47"/>
    </row>
    <row r="1555" spans="2:4" x14ac:dyDescent="0.2">
      <c r="B1555" s="47"/>
      <c r="C1555" s="47"/>
      <c r="D1555" s="47"/>
    </row>
    <row r="1556" spans="2:4" x14ac:dyDescent="0.2">
      <c r="B1556" s="47"/>
      <c r="C1556" s="47"/>
      <c r="D1556" s="47"/>
    </row>
    <row r="1557" spans="2:4" x14ac:dyDescent="0.2">
      <c r="B1557" s="47"/>
      <c r="C1557" s="47"/>
      <c r="D1557" s="47"/>
    </row>
    <row r="1558" spans="2:4" x14ac:dyDescent="0.2">
      <c r="B1558" s="47"/>
      <c r="C1558" s="47"/>
      <c r="D1558" s="47"/>
    </row>
    <row r="1559" spans="2:4" x14ac:dyDescent="0.2">
      <c r="B1559" s="47"/>
      <c r="C1559" s="47"/>
      <c r="D1559" s="47"/>
    </row>
    <row r="1560" spans="2:4" x14ac:dyDescent="0.2">
      <c r="B1560" s="47"/>
      <c r="C1560" s="47"/>
      <c r="D1560" s="47"/>
    </row>
    <row r="1561" spans="2:4" x14ac:dyDescent="0.2">
      <c r="B1561" s="47"/>
      <c r="C1561" s="47"/>
      <c r="D1561" s="47"/>
    </row>
    <row r="1562" spans="2:4" x14ac:dyDescent="0.2">
      <c r="B1562" s="47"/>
      <c r="C1562" s="47"/>
      <c r="D1562" s="47"/>
    </row>
    <row r="1563" spans="2:4" x14ac:dyDescent="0.2">
      <c r="B1563" s="47"/>
      <c r="C1563" s="47"/>
      <c r="D1563" s="47"/>
    </row>
    <row r="1564" spans="2:4" x14ac:dyDescent="0.2">
      <c r="B1564" s="47"/>
      <c r="C1564" s="47"/>
      <c r="D1564" s="47"/>
    </row>
    <row r="1565" spans="2:4" x14ac:dyDescent="0.2">
      <c r="B1565" s="47"/>
      <c r="C1565" s="47"/>
      <c r="D1565" s="47"/>
    </row>
    <row r="1566" spans="2:4" x14ac:dyDescent="0.2">
      <c r="B1566" s="47"/>
      <c r="C1566" s="47"/>
      <c r="D1566" s="47"/>
    </row>
    <row r="1567" spans="2:4" x14ac:dyDescent="0.2">
      <c r="B1567" s="47"/>
      <c r="C1567" s="47"/>
      <c r="D1567" s="47"/>
    </row>
    <row r="1568" spans="2:4" x14ac:dyDescent="0.2">
      <c r="B1568" s="47"/>
      <c r="C1568" s="47"/>
      <c r="D1568" s="47"/>
    </row>
    <row r="1569" spans="2:4" x14ac:dyDescent="0.2">
      <c r="B1569" s="47"/>
      <c r="C1569" s="47"/>
      <c r="D1569" s="47"/>
    </row>
    <row r="1570" spans="2:4" x14ac:dyDescent="0.2">
      <c r="B1570" s="47"/>
      <c r="C1570" s="47"/>
      <c r="D1570" s="47"/>
    </row>
    <row r="1571" spans="2:4" x14ac:dyDescent="0.2">
      <c r="B1571" s="47"/>
      <c r="C1571" s="47"/>
      <c r="D1571" s="47"/>
    </row>
    <row r="1572" spans="2:4" x14ac:dyDescent="0.2">
      <c r="B1572" s="47"/>
      <c r="C1572" s="47"/>
      <c r="D1572" s="47"/>
    </row>
    <row r="1573" spans="2:4" x14ac:dyDescent="0.2">
      <c r="B1573" s="47"/>
      <c r="C1573" s="47"/>
      <c r="D1573" s="47"/>
    </row>
    <row r="1574" spans="2:4" x14ac:dyDescent="0.2">
      <c r="B1574" s="47"/>
      <c r="C1574" s="47"/>
      <c r="D1574" s="47"/>
    </row>
    <row r="1575" spans="2:4" x14ac:dyDescent="0.2">
      <c r="B1575" s="47"/>
      <c r="C1575" s="47"/>
      <c r="D1575" s="47"/>
    </row>
    <row r="1576" spans="2:4" x14ac:dyDescent="0.2">
      <c r="B1576" s="47"/>
      <c r="C1576" s="47"/>
      <c r="D1576" s="47"/>
    </row>
    <row r="1577" spans="2:4" x14ac:dyDescent="0.2">
      <c r="B1577" s="47"/>
      <c r="C1577" s="47"/>
      <c r="D1577" s="47"/>
    </row>
    <row r="1578" spans="2:4" x14ac:dyDescent="0.2">
      <c r="B1578" s="47"/>
      <c r="C1578" s="47"/>
      <c r="D1578" s="47"/>
    </row>
    <row r="1579" spans="2:4" x14ac:dyDescent="0.2">
      <c r="B1579" s="47"/>
      <c r="C1579" s="47"/>
      <c r="D1579" s="47"/>
    </row>
    <row r="1580" spans="2:4" x14ac:dyDescent="0.2">
      <c r="B1580" s="47"/>
      <c r="C1580" s="47"/>
      <c r="D1580" s="47"/>
    </row>
    <row r="1581" spans="2:4" x14ac:dyDescent="0.2">
      <c r="B1581" s="47"/>
      <c r="C1581" s="47"/>
      <c r="D1581" s="47"/>
    </row>
    <row r="1582" spans="2:4" x14ac:dyDescent="0.2">
      <c r="B1582" s="47"/>
      <c r="C1582" s="47"/>
      <c r="D1582" s="47"/>
    </row>
    <row r="1583" spans="2:4" x14ac:dyDescent="0.2">
      <c r="B1583" s="47"/>
      <c r="C1583" s="47"/>
      <c r="D1583" s="47"/>
    </row>
    <row r="1584" spans="2:4" x14ac:dyDescent="0.2">
      <c r="B1584" s="47"/>
      <c r="C1584" s="47"/>
      <c r="D1584" s="47"/>
    </row>
    <row r="1585" spans="2:4" x14ac:dyDescent="0.2">
      <c r="B1585" s="47"/>
      <c r="C1585" s="47"/>
      <c r="D1585" s="47"/>
    </row>
    <row r="1586" spans="2:4" x14ac:dyDescent="0.2">
      <c r="B1586" s="47"/>
      <c r="C1586" s="47"/>
      <c r="D1586" s="47"/>
    </row>
    <row r="1587" spans="2:4" x14ac:dyDescent="0.2">
      <c r="B1587" s="47"/>
      <c r="C1587" s="47"/>
      <c r="D1587" s="47"/>
    </row>
    <row r="1588" spans="2:4" x14ac:dyDescent="0.2">
      <c r="B1588" s="47"/>
      <c r="C1588" s="47"/>
      <c r="D1588" s="47"/>
    </row>
    <row r="1589" spans="2:4" x14ac:dyDescent="0.2">
      <c r="B1589" s="47"/>
      <c r="C1589" s="47"/>
      <c r="D1589" s="47"/>
    </row>
    <row r="1590" spans="2:4" x14ac:dyDescent="0.2">
      <c r="B1590" s="47"/>
      <c r="C1590" s="47"/>
      <c r="D1590" s="47"/>
    </row>
    <row r="1591" spans="2:4" x14ac:dyDescent="0.2">
      <c r="B1591" s="47"/>
      <c r="C1591" s="47"/>
      <c r="D1591" s="47"/>
    </row>
    <row r="1592" spans="2:4" x14ac:dyDescent="0.2">
      <c r="B1592" s="47"/>
      <c r="C1592" s="47"/>
      <c r="D1592" s="47"/>
    </row>
    <row r="1593" spans="2:4" x14ac:dyDescent="0.2">
      <c r="B1593" s="47"/>
      <c r="C1593" s="47"/>
      <c r="D1593" s="47"/>
    </row>
    <row r="1594" spans="2:4" x14ac:dyDescent="0.2">
      <c r="B1594" s="47"/>
      <c r="C1594" s="47"/>
      <c r="D1594" s="47"/>
    </row>
    <row r="1595" spans="2:4" x14ac:dyDescent="0.2">
      <c r="B1595" s="47"/>
      <c r="C1595" s="47"/>
      <c r="D1595" s="47"/>
    </row>
    <row r="1596" spans="2:4" x14ac:dyDescent="0.2">
      <c r="B1596" s="47"/>
      <c r="C1596" s="47"/>
      <c r="D1596" s="47"/>
    </row>
    <row r="1597" spans="2:4" x14ac:dyDescent="0.2">
      <c r="B1597" s="47"/>
      <c r="C1597" s="47"/>
      <c r="D1597" s="47"/>
    </row>
    <row r="1598" spans="2:4" x14ac:dyDescent="0.2">
      <c r="B1598" s="47"/>
      <c r="C1598" s="47"/>
      <c r="D1598" s="47"/>
    </row>
    <row r="1599" spans="2:4" x14ac:dyDescent="0.2">
      <c r="B1599" s="47"/>
      <c r="C1599" s="47"/>
      <c r="D1599" s="47"/>
    </row>
    <row r="1600" spans="2:4" x14ac:dyDescent="0.2">
      <c r="B1600" s="47"/>
      <c r="C1600" s="47"/>
      <c r="D1600" s="47"/>
    </row>
    <row r="1601" spans="2:4" x14ac:dyDescent="0.2">
      <c r="B1601" s="47"/>
      <c r="C1601" s="47"/>
      <c r="D1601" s="47"/>
    </row>
    <row r="1602" spans="2:4" x14ac:dyDescent="0.2">
      <c r="B1602" s="47"/>
      <c r="C1602" s="47"/>
      <c r="D1602" s="47"/>
    </row>
    <row r="1603" spans="2:4" x14ac:dyDescent="0.2">
      <c r="B1603" s="47"/>
      <c r="C1603" s="47"/>
      <c r="D1603" s="47"/>
    </row>
    <row r="1604" spans="2:4" x14ac:dyDescent="0.2">
      <c r="B1604" s="47"/>
      <c r="C1604" s="47"/>
      <c r="D1604" s="47"/>
    </row>
    <row r="1605" spans="2:4" x14ac:dyDescent="0.2">
      <c r="B1605" s="47"/>
      <c r="C1605" s="47"/>
      <c r="D1605" s="47"/>
    </row>
    <row r="1606" spans="2:4" x14ac:dyDescent="0.2">
      <c r="B1606" s="47"/>
      <c r="C1606" s="47"/>
      <c r="D1606" s="47"/>
    </row>
    <row r="1607" spans="2:4" x14ac:dyDescent="0.2">
      <c r="B1607" s="47"/>
      <c r="C1607" s="47"/>
      <c r="D1607" s="47"/>
    </row>
    <row r="1608" spans="2:4" x14ac:dyDescent="0.2">
      <c r="B1608" s="47"/>
      <c r="C1608" s="47"/>
      <c r="D1608" s="47"/>
    </row>
    <row r="1609" spans="2:4" x14ac:dyDescent="0.2">
      <c r="B1609" s="47"/>
      <c r="C1609" s="47"/>
      <c r="D1609" s="47"/>
    </row>
    <row r="1610" spans="2:4" x14ac:dyDescent="0.2">
      <c r="B1610" s="47"/>
      <c r="C1610" s="47"/>
      <c r="D1610" s="47"/>
    </row>
    <row r="1611" spans="2:4" x14ac:dyDescent="0.2">
      <c r="B1611" s="47"/>
      <c r="C1611" s="47"/>
      <c r="D1611" s="47"/>
    </row>
    <row r="1612" spans="2:4" x14ac:dyDescent="0.2">
      <c r="B1612" s="47"/>
      <c r="C1612" s="47"/>
      <c r="D1612" s="47"/>
    </row>
    <row r="1613" spans="2:4" x14ac:dyDescent="0.2">
      <c r="B1613" s="47"/>
      <c r="C1613" s="47"/>
      <c r="D1613" s="47"/>
    </row>
    <row r="1614" spans="2:4" x14ac:dyDescent="0.2">
      <c r="B1614" s="47"/>
      <c r="C1614" s="47"/>
      <c r="D1614" s="47"/>
    </row>
    <row r="1615" spans="2:4" x14ac:dyDescent="0.2">
      <c r="B1615" s="47"/>
      <c r="C1615" s="47"/>
      <c r="D1615" s="47"/>
    </row>
    <row r="1616" spans="2:4" x14ac:dyDescent="0.2">
      <c r="B1616" s="47"/>
      <c r="C1616" s="47"/>
      <c r="D1616" s="47"/>
    </row>
    <row r="1617" spans="2:4" x14ac:dyDescent="0.2">
      <c r="B1617" s="47"/>
      <c r="C1617" s="47"/>
      <c r="D1617" s="47"/>
    </row>
    <row r="1618" spans="2:4" x14ac:dyDescent="0.2">
      <c r="B1618" s="47"/>
      <c r="C1618" s="47"/>
      <c r="D1618" s="47"/>
    </row>
    <row r="1619" spans="2:4" x14ac:dyDescent="0.2">
      <c r="B1619" s="47"/>
      <c r="C1619" s="47"/>
      <c r="D1619" s="47"/>
    </row>
    <row r="1620" spans="2:4" x14ac:dyDescent="0.2">
      <c r="B1620" s="47"/>
      <c r="C1620" s="47"/>
      <c r="D1620" s="47"/>
    </row>
    <row r="1621" spans="2:4" x14ac:dyDescent="0.2">
      <c r="B1621" s="47"/>
      <c r="C1621" s="47"/>
      <c r="D1621" s="47"/>
    </row>
    <row r="1622" spans="2:4" x14ac:dyDescent="0.2">
      <c r="B1622" s="47"/>
      <c r="C1622" s="47"/>
      <c r="D1622" s="47"/>
    </row>
    <row r="1623" spans="2:4" x14ac:dyDescent="0.2">
      <c r="B1623" s="47"/>
      <c r="C1623" s="47"/>
      <c r="D1623" s="47"/>
    </row>
    <row r="1624" spans="2:4" x14ac:dyDescent="0.2">
      <c r="B1624" s="47"/>
      <c r="C1624" s="47"/>
      <c r="D1624" s="47"/>
    </row>
    <row r="1625" spans="2:4" x14ac:dyDescent="0.2">
      <c r="B1625" s="47"/>
      <c r="C1625" s="47"/>
      <c r="D1625" s="47"/>
    </row>
    <row r="1626" spans="2:4" x14ac:dyDescent="0.2">
      <c r="B1626" s="47"/>
      <c r="C1626" s="47"/>
      <c r="D1626" s="47"/>
    </row>
    <row r="1627" spans="2:4" x14ac:dyDescent="0.2">
      <c r="B1627" s="47"/>
      <c r="C1627" s="47"/>
      <c r="D1627" s="47"/>
    </row>
    <row r="1628" spans="2:4" x14ac:dyDescent="0.2">
      <c r="B1628" s="47"/>
      <c r="C1628" s="47"/>
      <c r="D1628" s="47"/>
    </row>
    <row r="1629" spans="2:4" x14ac:dyDescent="0.2">
      <c r="B1629" s="47"/>
      <c r="C1629" s="47"/>
      <c r="D1629" s="47"/>
    </row>
    <row r="1630" spans="2:4" x14ac:dyDescent="0.2">
      <c r="B1630" s="47"/>
      <c r="C1630" s="47"/>
      <c r="D1630" s="47"/>
    </row>
    <row r="1631" spans="2:4" x14ac:dyDescent="0.2">
      <c r="B1631" s="47"/>
      <c r="C1631" s="47"/>
      <c r="D1631" s="47"/>
    </row>
    <row r="1632" spans="2:4" x14ac:dyDescent="0.2">
      <c r="B1632" s="47"/>
      <c r="C1632" s="47"/>
      <c r="D1632" s="47"/>
    </row>
    <row r="1633" spans="2:4" x14ac:dyDescent="0.2">
      <c r="B1633" s="47"/>
      <c r="C1633" s="47"/>
      <c r="D1633" s="47"/>
    </row>
    <row r="1634" spans="2:4" x14ac:dyDescent="0.2">
      <c r="B1634" s="47"/>
      <c r="C1634" s="47"/>
      <c r="D1634" s="47"/>
    </row>
    <row r="1635" spans="2:4" x14ac:dyDescent="0.2">
      <c r="B1635" s="47"/>
      <c r="C1635" s="47"/>
      <c r="D1635" s="47"/>
    </row>
    <row r="1636" spans="2:4" x14ac:dyDescent="0.2">
      <c r="B1636" s="47"/>
      <c r="C1636" s="47"/>
      <c r="D1636" s="47"/>
    </row>
    <row r="1637" spans="2:4" x14ac:dyDescent="0.2">
      <c r="B1637" s="47"/>
      <c r="C1637" s="47"/>
      <c r="D1637" s="47"/>
    </row>
    <row r="1638" spans="2:4" x14ac:dyDescent="0.2">
      <c r="B1638" s="47"/>
      <c r="C1638" s="47"/>
      <c r="D1638" s="47"/>
    </row>
    <row r="1639" spans="2:4" x14ac:dyDescent="0.2">
      <c r="B1639" s="47"/>
      <c r="C1639" s="47"/>
      <c r="D1639" s="47"/>
    </row>
    <row r="1640" spans="2:4" x14ac:dyDescent="0.2">
      <c r="B1640" s="47"/>
      <c r="C1640" s="47"/>
      <c r="D1640" s="47"/>
    </row>
    <row r="1641" spans="2:4" x14ac:dyDescent="0.2">
      <c r="B1641" s="47"/>
      <c r="C1641" s="47"/>
      <c r="D1641" s="47"/>
    </row>
    <row r="1642" spans="2:4" x14ac:dyDescent="0.2">
      <c r="B1642" s="47"/>
      <c r="C1642" s="47"/>
      <c r="D1642" s="47"/>
    </row>
    <row r="1643" spans="2:4" x14ac:dyDescent="0.2">
      <c r="B1643" s="47"/>
      <c r="C1643" s="47"/>
      <c r="D1643" s="47"/>
    </row>
    <row r="1644" spans="2:4" x14ac:dyDescent="0.2">
      <c r="B1644" s="47"/>
      <c r="C1644" s="47"/>
      <c r="D1644" s="47"/>
    </row>
    <row r="1645" spans="2:4" x14ac:dyDescent="0.2">
      <c r="B1645" s="47"/>
      <c r="C1645" s="47"/>
      <c r="D1645" s="47"/>
    </row>
    <row r="1646" spans="2:4" x14ac:dyDescent="0.2">
      <c r="B1646" s="47"/>
      <c r="C1646" s="47"/>
      <c r="D1646" s="47"/>
    </row>
    <row r="1647" spans="2:4" x14ac:dyDescent="0.2">
      <c r="B1647" s="47"/>
      <c r="C1647" s="47"/>
      <c r="D1647" s="47"/>
    </row>
    <row r="1648" spans="2:4" x14ac:dyDescent="0.2">
      <c r="B1648" s="47"/>
      <c r="C1648" s="47"/>
      <c r="D1648" s="47"/>
    </row>
    <row r="1649" spans="2:4" x14ac:dyDescent="0.2">
      <c r="B1649" s="47"/>
      <c r="C1649" s="47"/>
      <c r="D1649" s="47"/>
    </row>
    <row r="1650" spans="2:4" x14ac:dyDescent="0.2">
      <c r="B1650" s="47"/>
      <c r="C1650" s="47"/>
      <c r="D1650" s="47"/>
    </row>
    <row r="1651" spans="2:4" x14ac:dyDescent="0.2">
      <c r="B1651" s="47"/>
      <c r="C1651" s="47"/>
      <c r="D1651" s="47"/>
    </row>
    <row r="1652" spans="2:4" x14ac:dyDescent="0.2">
      <c r="B1652" s="47"/>
      <c r="C1652" s="47"/>
      <c r="D1652" s="47"/>
    </row>
    <row r="1653" spans="2:4" x14ac:dyDescent="0.2">
      <c r="B1653" s="47"/>
      <c r="C1653" s="47"/>
      <c r="D1653" s="47"/>
    </row>
    <row r="1654" spans="2:4" x14ac:dyDescent="0.2">
      <c r="B1654" s="47"/>
      <c r="C1654" s="47"/>
      <c r="D1654" s="47"/>
    </row>
    <row r="1655" spans="2:4" x14ac:dyDescent="0.2">
      <c r="B1655" s="47"/>
      <c r="C1655" s="47"/>
      <c r="D1655" s="47"/>
    </row>
    <row r="1656" spans="2:4" x14ac:dyDescent="0.2">
      <c r="B1656" s="47"/>
      <c r="C1656" s="47"/>
      <c r="D1656" s="47"/>
    </row>
    <row r="1657" spans="2:4" x14ac:dyDescent="0.2">
      <c r="B1657" s="47"/>
      <c r="C1657" s="47"/>
      <c r="D1657" s="47"/>
    </row>
    <row r="1658" spans="2:4" x14ac:dyDescent="0.2">
      <c r="B1658" s="47"/>
      <c r="C1658" s="47"/>
      <c r="D1658" s="47"/>
    </row>
    <row r="1659" spans="2:4" x14ac:dyDescent="0.2">
      <c r="B1659" s="47"/>
      <c r="C1659" s="47"/>
      <c r="D1659" s="47"/>
    </row>
    <row r="1660" spans="2:4" x14ac:dyDescent="0.2">
      <c r="B1660" s="47"/>
      <c r="C1660" s="47"/>
      <c r="D1660" s="47"/>
    </row>
    <row r="1661" spans="2:4" x14ac:dyDescent="0.2">
      <c r="B1661" s="47"/>
      <c r="C1661" s="47"/>
      <c r="D1661" s="47"/>
    </row>
    <row r="1662" spans="2:4" x14ac:dyDescent="0.2">
      <c r="B1662" s="47"/>
      <c r="C1662" s="47"/>
      <c r="D1662" s="47"/>
    </row>
    <row r="1663" spans="2:4" x14ac:dyDescent="0.2">
      <c r="B1663" s="47"/>
      <c r="C1663" s="47"/>
      <c r="D1663" s="47"/>
    </row>
    <row r="1664" spans="2:4" x14ac:dyDescent="0.2">
      <c r="B1664" s="47"/>
      <c r="C1664" s="47"/>
      <c r="D1664" s="47"/>
    </row>
    <row r="1665" spans="2:4" x14ac:dyDescent="0.2">
      <c r="B1665" s="47"/>
      <c r="C1665" s="47"/>
      <c r="D1665" s="47"/>
    </row>
    <row r="1666" spans="2:4" x14ac:dyDescent="0.2">
      <c r="B1666" s="47"/>
      <c r="C1666" s="47"/>
      <c r="D1666" s="47"/>
    </row>
    <row r="1667" spans="2:4" x14ac:dyDescent="0.2">
      <c r="B1667" s="47"/>
      <c r="C1667" s="47"/>
      <c r="D1667" s="47"/>
    </row>
    <row r="1668" spans="2:4" x14ac:dyDescent="0.2">
      <c r="B1668" s="47"/>
      <c r="C1668" s="47"/>
      <c r="D1668" s="47"/>
    </row>
    <row r="1669" spans="2:4" x14ac:dyDescent="0.2">
      <c r="B1669" s="47"/>
      <c r="C1669" s="47"/>
      <c r="D1669" s="47"/>
    </row>
    <row r="1670" spans="2:4" x14ac:dyDescent="0.2">
      <c r="B1670" s="47"/>
      <c r="C1670" s="47"/>
      <c r="D1670" s="47"/>
    </row>
    <row r="1671" spans="2:4" x14ac:dyDescent="0.2">
      <c r="B1671" s="47"/>
      <c r="C1671" s="47"/>
      <c r="D1671" s="47"/>
    </row>
    <row r="1672" spans="2:4" x14ac:dyDescent="0.2">
      <c r="B1672" s="47"/>
      <c r="C1672" s="47"/>
      <c r="D1672" s="47"/>
    </row>
    <row r="1673" spans="2:4" x14ac:dyDescent="0.2">
      <c r="B1673" s="47"/>
      <c r="C1673" s="47"/>
      <c r="D1673" s="47"/>
    </row>
    <row r="1674" spans="2:4" x14ac:dyDescent="0.2">
      <c r="B1674" s="47"/>
      <c r="C1674" s="47"/>
      <c r="D1674" s="47"/>
    </row>
    <row r="1675" spans="2:4" x14ac:dyDescent="0.2">
      <c r="B1675" s="47"/>
      <c r="C1675" s="47"/>
      <c r="D1675" s="47"/>
    </row>
    <row r="1676" spans="2:4" x14ac:dyDescent="0.2">
      <c r="B1676" s="47"/>
      <c r="C1676" s="47"/>
      <c r="D1676" s="47"/>
    </row>
    <row r="1677" spans="2:4" x14ac:dyDescent="0.2">
      <c r="B1677" s="47"/>
      <c r="C1677" s="47"/>
      <c r="D1677" s="47"/>
    </row>
    <row r="1678" spans="2:4" x14ac:dyDescent="0.2">
      <c r="B1678" s="47"/>
      <c r="C1678" s="47"/>
      <c r="D1678" s="47"/>
    </row>
    <row r="1679" spans="2:4" x14ac:dyDescent="0.2">
      <c r="B1679" s="47"/>
      <c r="C1679" s="47"/>
      <c r="D1679" s="47"/>
    </row>
    <row r="1680" spans="2:4" x14ac:dyDescent="0.2">
      <c r="B1680" s="47"/>
      <c r="C1680" s="47"/>
      <c r="D1680" s="47"/>
    </row>
    <row r="1681" spans="2:4" x14ac:dyDescent="0.2">
      <c r="B1681" s="47"/>
      <c r="C1681" s="47"/>
      <c r="D1681" s="47"/>
    </row>
    <row r="1682" spans="2:4" x14ac:dyDescent="0.2">
      <c r="B1682" s="47"/>
      <c r="C1682" s="47"/>
      <c r="D1682" s="47"/>
    </row>
    <row r="1683" spans="2:4" x14ac:dyDescent="0.2">
      <c r="B1683" s="47"/>
      <c r="C1683" s="47"/>
      <c r="D1683" s="47"/>
    </row>
    <row r="1684" spans="2:4" x14ac:dyDescent="0.2">
      <c r="B1684" s="47"/>
      <c r="C1684" s="47"/>
      <c r="D1684" s="47"/>
    </row>
    <row r="1685" spans="2:4" x14ac:dyDescent="0.2">
      <c r="B1685" s="47"/>
      <c r="C1685" s="47"/>
      <c r="D1685" s="47"/>
    </row>
    <row r="1686" spans="2:4" x14ac:dyDescent="0.2">
      <c r="B1686" s="47"/>
      <c r="C1686" s="47"/>
      <c r="D1686" s="47"/>
    </row>
    <row r="1687" spans="2:4" x14ac:dyDescent="0.2">
      <c r="B1687" s="47"/>
      <c r="C1687" s="47"/>
      <c r="D1687" s="47"/>
    </row>
    <row r="1688" spans="2:4" x14ac:dyDescent="0.2">
      <c r="B1688" s="47"/>
      <c r="C1688" s="47"/>
      <c r="D1688" s="47"/>
    </row>
    <row r="1689" spans="2:4" x14ac:dyDescent="0.2">
      <c r="B1689" s="47"/>
      <c r="C1689" s="47"/>
      <c r="D1689" s="47"/>
    </row>
    <row r="1690" spans="2:4" x14ac:dyDescent="0.2">
      <c r="B1690" s="47"/>
      <c r="C1690" s="47"/>
      <c r="D1690" s="47"/>
    </row>
    <row r="1691" spans="2:4" x14ac:dyDescent="0.2">
      <c r="B1691" s="47"/>
      <c r="C1691" s="47"/>
      <c r="D1691" s="47"/>
    </row>
    <row r="1692" spans="2:4" x14ac:dyDescent="0.2">
      <c r="B1692" s="47"/>
      <c r="C1692" s="47"/>
      <c r="D1692" s="47"/>
    </row>
    <row r="1693" spans="2:4" x14ac:dyDescent="0.2">
      <c r="B1693" s="47"/>
      <c r="C1693" s="47"/>
      <c r="D1693" s="47"/>
    </row>
    <row r="1694" spans="2:4" x14ac:dyDescent="0.2">
      <c r="B1694" s="47"/>
      <c r="C1694" s="47"/>
      <c r="D1694" s="47"/>
    </row>
    <row r="1695" spans="2:4" x14ac:dyDescent="0.2">
      <c r="B1695" s="47"/>
      <c r="C1695" s="47"/>
      <c r="D1695" s="47"/>
    </row>
    <row r="1696" spans="2:4" x14ac:dyDescent="0.2">
      <c r="B1696" s="47"/>
      <c r="C1696" s="47"/>
      <c r="D1696" s="47"/>
    </row>
    <row r="1697" spans="2:4" x14ac:dyDescent="0.2">
      <c r="B1697" s="47"/>
      <c r="C1697" s="47"/>
      <c r="D1697" s="47"/>
    </row>
    <row r="1698" spans="2:4" x14ac:dyDescent="0.2">
      <c r="B1698" s="47"/>
      <c r="C1698" s="47"/>
      <c r="D1698" s="47"/>
    </row>
    <row r="1699" spans="2:4" x14ac:dyDescent="0.2">
      <c r="B1699" s="47"/>
      <c r="C1699" s="47"/>
      <c r="D1699" s="47"/>
    </row>
    <row r="1700" spans="2:4" x14ac:dyDescent="0.2">
      <c r="B1700" s="47"/>
      <c r="C1700" s="47"/>
      <c r="D1700" s="47"/>
    </row>
    <row r="1701" spans="2:4" x14ac:dyDescent="0.2">
      <c r="B1701" s="47"/>
      <c r="C1701" s="47"/>
      <c r="D1701" s="47"/>
    </row>
    <row r="1702" spans="2:4" x14ac:dyDescent="0.2">
      <c r="B1702" s="47"/>
      <c r="C1702" s="47"/>
      <c r="D1702" s="47"/>
    </row>
    <row r="1703" spans="2:4" x14ac:dyDescent="0.2">
      <c r="B1703" s="47"/>
      <c r="C1703" s="47"/>
      <c r="D1703" s="47"/>
    </row>
    <row r="1704" spans="2:4" x14ac:dyDescent="0.2">
      <c r="B1704" s="47"/>
      <c r="C1704" s="47"/>
      <c r="D1704" s="47"/>
    </row>
    <row r="1705" spans="2:4" x14ac:dyDescent="0.2">
      <c r="B1705" s="47"/>
      <c r="C1705" s="47"/>
      <c r="D1705" s="47"/>
    </row>
    <row r="1706" spans="2:4" x14ac:dyDescent="0.2">
      <c r="B1706" s="47"/>
      <c r="C1706" s="47"/>
      <c r="D1706" s="47"/>
    </row>
    <row r="1707" spans="2:4" x14ac:dyDescent="0.2">
      <c r="B1707" s="47"/>
      <c r="C1707" s="47"/>
      <c r="D1707" s="47"/>
    </row>
    <row r="1708" spans="2:4" x14ac:dyDescent="0.2">
      <c r="B1708" s="47"/>
      <c r="C1708" s="47"/>
      <c r="D1708" s="47"/>
    </row>
    <row r="1709" spans="2:4" x14ac:dyDescent="0.2">
      <c r="B1709" s="47"/>
      <c r="C1709" s="47"/>
      <c r="D1709" s="47"/>
    </row>
    <row r="1710" spans="2:4" x14ac:dyDescent="0.2">
      <c r="B1710" s="47"/>
      <c r="C1710" s="47"/>
      <c r="D1710" s="47"/>
    </row>
    <row r="1711" spans="2:4" x14ac:dyDescent="0.2">
      <c r="B1711" s="47"/>
      <c r="C1711" s="47"/>
      <c r="D1711" s="47"/>
    </row>
    <row r="1712" spans="2:4" x14ac:dyDescent="0.2">
      <c r="B1712" s="47"/>
      <c r="C1712" s="47"/>
      <c r="D1712" s="47"/>
    </row>
    <row r="1713" spans="2:4" x14ac:dyDescent="0.2">
      <c r="B1713" s="47"/>
      <c r="C1713" s="47"/>
      <c r="D1713" s="47"/>
    </row>
    <row r="1714" spans="2:4" x14ac:dyDescent="0.2">
      <c r="B1714" s="47"/>
      <c r="C1714" s="47"/>
      <c r="D1714" s="47"/>
    </row>
    <row r="1715" spans="2:4" x14ac:dyDescent="0.2">
      <c r="B1715" s="47"/>
      <c r="C1715" s="47"/>
      <c r="D1715" s="47"/>
    </row>
    <row r="1716" spans="2:4" x14ac:dyDescent="0.2">
      <c r="B1716" s="47"/>
      <c r="C1716" s="47"/>
      <c r="D1716" s="47"/>
    </row>
    <row r="1717" spans="2:4" x14ac:dyDescent="0.2">
      <c r="B1717" s="47"/>
      <c r="C1717" s="47"/>
      <c r="D1717" s="47"/>
    </row>
    <row r="1718" spans="2:4" x14ac:dyDescent="0.2">
      <c r="B1718" s="47"/>
      <c r="C1718" s="47"/>
      <c r="D1718" s="47"/>
    </row>
    <row r="1719" spans="2:4" x14ac:dyDescent="0.2">
      <c r="B1719" s="47"/>
      <c r="C1719" s="47"/>
      <c r="D1719" s="47"/>
    </row>
    <row r="1720" spans="2:4" x14ac:dyDescent="0.2">
      <c r="B1720" s="47"/>
      <c r="C1720" s="47"/>
      <c r="D1720" s="47"/>
    </row>
    <row r="1721" spans="2:4" x14ac:dyDescent="0.2">
      <c r="B1721" s="47"/>
      <c r="C1721" s="47"/>
      <c r="D1721" s="47"/>
    </row>
    <row r="1722" spans="2:4" x14ac:dyDescent="0.2">
      <c r="B1722" s="47"/>
      <c r="C1722" s="47"/>
      <c r="D1722" s="47"/>
    </row>
    <row r="1723" spans="2:4" x14ac:dyDescent="0.2">
      <c r="B1723" s="47"/>
      <c r="C1723" s="47"/>
      <c r="D1723" s="47"/>
    </row>
    <row r="1724" spans="2:4" x14ac:dyDescent="0.2">
      <c r="B1724" s="47"/>
      <c r="C1724" s="47"/>
      <c r="D1724" s="47"/>
    </row>
    <row r="1725" spans="2:4" x14ac:dyDescent="0.2">
      <c r="B1725" s="47"/>
      <c r="C1725" s="47"/>
      <c r="D1725" s="47"/>
    </row>
    <row r="1726" spans="2:4" x14ac:dyDescent="0.2">
      <c r="B1726" s="47"/>
      <c r="C1726" s="47"/>
      <c r="D1726" s="47"/>
    </row>
    <row r="1727" spans="2:4" x14ac:dyDescent="0.2">
      <c r="B1727" s="47"/>
      <c r="C1727" s="47"/>
      <c r="D1727" s="47"/>
    </row>
    <row r="1728" spans="2:4" x14ac:dyDescent="0.2">
      <c r="B1728" s="47"/>
      <c r="C1728" s="47"/>
      <c r="D1728" s="47"/>
    </row>
    <row r="1729" spans="2:4" x14ac:dyDescent="0.2">
      <c r="B1729" s="47"/>
      <c r="C1729" s="47"/>
      <c r="D1729" s="47"/>
    </row>
    <row r="1730" spans="2:4" x14ac:dyDescent="0.2">
      <c r="B1730" s="47"/>
      <c r="C1730" s="47"/>
      <c r="D1730" s="47"/>
    </row>
    <row r="1731" spans="2:4" x14ac:dyDescent="0.2">
      <c r="B1731" s="47"/>
      <c r="C1731" s="47"/>
      <c r="D1731" s="47"/>
    </row>
    <row r="1732" spans="2:4" x14ac:dyDescent="0.2">
      <c r="B1732" s="47"/>
      <c r="C1732" s="47"/>
      <c r="D1732" s="47"/>
    </row>
    <row r="1733" spans="2:4" x14ac:dyDescent="0.2">
      <c r="B1733" s="47"/>
      <c r="C1733" s="47"/>
      <c r="D1733" s="47"/>
    </row>
    <row r="1734" spans="2:4" x14ac:dyDescent="0.2">
      <c r="B1734" s="47"/>
      <c r="C1734" s="47"/>
      <c r="D1734" s="47"/>
    </row>
    <row r="1735" spans="2:4" x14ac:dyDescent="0.2">
      <c r="B1735" s="47"/>
      <c r="C1735" s="47"/>
      <c r="D1735" s="47"/>
    </row>
    <row r="1736" spans="2:4" x14ac:dyDescent="0.2">
      <c r="B1736" s="47"/>
      <c r="C1736" s="47"/>
      <c r="D1736" s="47"/>
    </row>
    <row r="1737" spans="2:4" x14ac:dyDescent="0.2">
      <c r="B1737" s="47"/>
      <c r="C1737" s="47"/>
      <c r="D1737" s="47"/>
    </row>
    <row r="1738" spans="2:4" x14ac:dyDescent="0.2">
      <c r="B1738" s="47"/>
      <c r="C1738" s="47"/>
      <c r="D1738" s="47"/>
    </row>
    <row r="1739" spans="2:4" x14ac:dyDescent="0.2">
      <c r="B1739" s="47"/>
      <c r="C1739" s="47"/>
      <c r="D1739" s="47"/>
    </row>
    <row r="1740" spans="2:4" x14ac:dyDescent="0.2">
      <c r="B1740" s="47"/>
      <c r="C1740" s="47"/>
      <c r="D1740" s="47"/>
    </row>
    <row r="1741" spans="2:4" x14ac:dyDescent="0.2">
      <c r="B1741" s="47"/>
      <c r="C1741" s="47"/>
      <c r="D1741" s="47"/>
    </row>
    <row r="1742" spans="2:4" x14ac:dyDescent="0.2">
      <c r="B1742" s="47"/>
      <c r="C1742" s="47"/>
      <c r="D1742" s="47"/>
    </row>
    <row r="1743" spans="2:4" x14ac:dyDescent="0.2">
      <c r="B1743" s="47"/>
      <c r="C1743" s="47"/>
      <c r="D1743" s="47"/>
    </row>
    <row r="1744" spans="2:4" x14ac:dyDescent="0.2">
      <c r="B1744" s="47"/>
      <c r="C1744" s="47"/>
      <c r="D1744" s="47"/>
    </row>
    <row r="1745" spans="2:4" x14ac:dyDescent="0.2">
      <c r="B1745" s="47"/>
      <c r="C1745" s="47"/>
      <c r="D1745" s="47"/>
    </row>
    <row r="1746" spans="2:4" x14ac:dyDescent="0.2">
      <c r="B1746" s="47"/>
      <c r="C1746" s="47"/>
      <c r="D1746" s="47"/>
    </row>
    <row r="1747" spans="2:4" x14ac:dyDescent="0.2">
      <c r="B1747" s="47"/>
      <c r="C1747" s="47"/>
      <c r="D1747" s="47"/>
    </row>
    <row r="1748" spans="2:4" x14ac:dyDescent="0.2">
      <c r="B1748" s="47"/>
      <c r="C1748" s="47"/>
      <c r="D1748" s="47"/>
    </row>
    <row r="1749" spans="2:4" x14ac:dyDescent="0.2">
      <c r="B1749" s="47"/>
      <c r="C1749" s="47"/>
      <c r="D1749" s="47"/>
    </row>
    <row r="1750" spans="2:4" x14ac:dyDescent="0.2">
      <c r="B1750" s="47"/>
      <c r="C1750" s="47"/>
      <c r="D1750" s="47"/>
    </row>
    <row r="1751" spans="2:4" x14ac:dyDescent="0.2">
      <c r="B1751" s="47"/>
      <c r="C1751" s="47"/>
      <c r="D1751" s="47"/>
    </row>
    <row r="1752" spans="2:4" x14ac:dyDescent="0.2">
      <c r="B1752" s="47"/>
      <c r="C1752" s="47"/>
      <c r="D1752" s="47"/>
    </row>
    <row r="1753" spans="2:4" x14ac:dyDescent="0.2">
      <c r="B1753" s="47"/>
      <c r="C1753" s="47"/>
      <c r="D1753" s="47"/>
    </row>
    <row r="1754" spans="2:4" x14ac:dyDescent="0.2">
      <c r="B1754" s="47"/>
      <c r="C1754" s="47"/>
      <c r="D1754" s="47"/>
    </row>
    <row r="1755" spans="2:4" x14ac:dyDescent="0.2">
      <c r="B1755" s="47"/>
      <c r="C1755" s="47"/>
      <c r="D1755" s="47"/>
    </row>
    <row r="1756" spans="2:4" x14ac:dyDescent="0.2">
      <c r="B1756" s="47"/>
      <c r="C1756" s="47"/>
      <c r="D1756" s="47"/>
    </row>
    <row r="1757" spans="2:4" x14ac:dyDescent="0.2">
      <c r="B1757" s="47"/>
      <c r="C1757" s="47"/>
      <c r="D1757" s="47"/>
    </row>
    <row r="1758" spans="2:4" x14ac:dyDescent="0.2">
      <c r="B1758" s="47"/>
      <c r="C1758" s="47"/>
      <c r="D1758" s="47"/>
    </row>
    <row r="1759" spans="2:4" x14ac:dyDescent="0.2">
      <c r="B1759" s="47"/>
      <c r="C1759" s="47"/>
      <c r="D1759" s="47"/>
    </row>
    <row r="1760" spans="2:4" x14ac:dyDescent="0.2">
      <c r="B1760" s="47"/>
      <c r="C1760" s="47"/>
      <c r="D1760" s="47"/>
    </row>
    <row r="1761" spans="2:4" x14ac:dyDescent="0.2">
      <c r="B1761" s="47"/>
      <c r="C1761" s="47"/>
      <c r="D1761" s="47"/>
    </row>
    <row r="1762" spans="2:4" x14ac:dyDescent="0.2">
      <c r="B1762" s="47"/>
      <c r="C1762" s="47"/>
      <c r="D1762" s="47"/>
    </row>
    <row r="1763" spans="2:4" x14ac:dyDescent="0.2">
      <c r="B1763" s="47"/>
      <c r="C1763" s="47"/>
      <c r="D1763" s="47"/>
    </row>
    <row r="1764" spans="2:4" x14ac:dyDescent="0.2">
      <c r="B1764" s="47"/>
      <c r="C1764" s="47"/>
      <c r="D1764" s="47"/>
    </row>
    <row r="1765" spans="2:4" x14ac:dyDescent="0.2">
      <c r="B1765" s="47"/>
      <c r="C1765" s="47"/>
      <c r="D1765" s="47"/>
    </row>
    <row r="1766" spans="2:4" x14ac:dyDescent="0.2">
      <c r="B1766" s="47"/>
      <c r="C1766" s="47"/>
      <c r="D1766" s="47"/>
    </row>
    <row r="1767" spans="2:4" x14ac:dyDescent="0.2">
      <c r="B1767" s="47"/>
      <c r="C1767" s="47"/>
      <c r="D1767" s="47"/>
    </row>
    <row r="1768" spans="2:4" x14ac:dyDescent="0.2">
      <c r="B1768" s="47"/>
      <c r="C1768" s="47"/>
      <c r="D1768" s="47"/>
    </row>
    <row r="1769" spans="2:4" x14ac:dyDescent="0.2">
      <c r="B1769" s="47"/>
      <c r="C1769" s="47"/>
      <c r="D1769" s="47"/>
    </row>
    <row r="1770" spans="2:4" x14ac:dyDescent="0.2">
      <c r="B1770" s="47"/>
      <c r="C1770" s="47"/>
      <c r="D1770" s="47"/>
    </row>
    <row r="1771" spans="2:4" x14ac:dyDescent="0.2">
      <c r="B1771" s="47"/>
      <c r="C1771" s="47"/>
      <c r="D1771" s="47"/>
    </row>
    <row r="1772" spans="2:4" x14ac:dyDescent="0.2">
      <c r="B1772" s="47"/>
      <c r="C1772" s="47"/>
      <c r="D1772" s="47"/>
    </row>
    <row r="1773" spans="2:4" x14ac:dyDescent="0.2">
      <c r="B1773" s="47"/>
      <c r="C1773" s="47"/>
      <c r="D1773" s="47"/>
    </row>
    <row r="1774" spans="2:4" x14ac:dyDescent="0.2">
      <c r="B1774" s="47"/>
      <c r="C1774" s="47"/>
      <c r="D1774" s="47"/>
    </row>
    <row r="1775" spans="2:4" x14ac:dyDescent="0.2">
      <c r="B1775" s="47"/>
      <c r="C1775" s="47"/>
      <c r="D1775" s="47"/>
    </row>
    <row r="1776" spans="2:4" x14ac:dyDescent="0.2">
      <c r="B1776" s="47"/>
      <c r="C1776" s="47"/>
      <c r="D1776" s="47"/>
    </row>
    <row r="1777" spans="2:4" x14ac:dyDescent="0.2">
      <c r="B1777" s="47"/>
      <c r="C1777" s="47"/>
      <c r="D1777" s="47"/>
    </row>
    <row r="1778" spans="2:4" x14ac:dyDescent="0.2">
      <c r="B1778" s="47"/>
      <c r="C1778" s="47"/>
      <c r="D1778" s="47"/>
    </row>
    <row r="1779" spans="2:4" x14ac:dyDescent="0.2">
      <c r="B1779" s="47"/>
      <c r="C1779" s="47"/>
      <c r="D1779" s="47"/>
    </row>
    <row r="1780" spans="2:4" x14ac:dyDescent="0.2">
      <c r="B1780" s="47"/>
      <c r="C1780" s="47"/>
      <c r="D1780" s="47"/>
    </row>
    <row r="1781" spans="2:4" x14ac:dyDescent="0.2">
      <c r="B1781" s="47"/>
      <c r="C1781" s="47"/>
      <c r="D1781" s="47"/>
    </row>
    <row r="1782" spans="2:4" x14ac:dyDescent="0.2">
      <c r="B1782" s="47"/>
      <c r="C1782" s="47"/>
      <c r="D1782" s="47"/>
    </row>
    <row r="1783" spans="2:4" x14ac:dyDescent="0.2">
      <c r="B1783" s="47"/>
      <c r="C1783" s="47"/>
      <c r="D1783" s="47"/>
    </row>
    <row r="1784" spans="2:4" x14ac:dyDescent="0.2">
      <c r="B1784" s="47"/>
      <c r="C1784" s="47"/>
      <c r="D1784" s="47"/>
    </row>
    <row r="1785" spans="2:4" x14ac:dyDescent="0.2">
      <c r="B1785" s="47"/>
      <c r="C1785" s="47"/>
      <c r="D1785" s="47"/>
    </row>
    <row r="1786" spans="2:4" x14ac:dyDescent="0.2">
      <c r="B1786" s="47"/>
      <c r="C1786" s="47"/>
      <c r="D1786" s="47"/>
    </row>
    <row r="1787" spans="2:4" x14ac:dyDescent="0.2">
      <c r="B1787" s="47"/>
      <c r="C1787" s="47"/>
      <c r="D1787" s="47"/>
    </row>
    <row r="1788" spans="2:4" x14ac:dyDescent="0.2">
      <c r="B1788" s="47"/>
      <c r="C1788" s="47"/>
      <c r="D1788" s="47"/>
    </row>
    <row r="1789" spans="2:4" x14ac:dyDescent="0.2">
      <c r="B1789" s="47"/>
      <c r="C1789" s="47"/>
      <c r="D1789" s="47"/>
    </row>
    <row r="1790" spans="2:4" x14ac:dyDescent="0.2">
      <c r="B1790" s="47"/>
      <c r="C1790" s="47"/>
      <c r="D1790" s="47"/>
    </row>
    <row r="1791" spans="2:4" x14ac:dyDescent="0.2">
      <c r="B1791" s="47"/>
      <c r="C1791" s="47"/>
      <c r="D1791" s="47"/>
    </row>
    <row r="1792" spans="2:4" x14ac:dyDescent="0.2">
      <c r="B1792" s="47"/>
      <c r="C1792" s="47"/>
      <c r="D1792" s="47"/>
    </row>
    <row r="1793" spans="2:4" x14ac:dyDescent="0.2">
      <c r="B1793" s="47"/>
      <c r="C1793" s="47"/>
      <c r="D1793" s="47"/>
    </row>
    <row r="1794" spans="2:4" x14ac:dyDescent="0.2">
      <c r="B1794" s="47"/>
      <c r="C1794" s="47"/>
      <c r="D1794" s="47"/>
    </row>
    <row r="1795" spans="2:4" x14ac:dyDescent="0.2">
      <c r="B1795" s="47"/>
      <c r="C1795" s="47"/>
      <c r="D1795" s="47"/>
    </row>
    <row r="1796" spans="2:4" x14ac:dyDescent="0.2">
      <c r="B1796" s="47"/>
      <c r="C1796" s="47"/>
      <c r="D1796" s="47"/>
    </row>
    <row r="1797" spans="2:4" x14ac:dyDescent="0.2">
      <c r="B1797" s="47"/>
      <c r="C1797" s="47"/>
      <c r="D1797" s="47"/>
    </row>
    <row r="1798" spans="2:4" x14ac:dyDescent="0.2">
      <c r="B1798" s="47"/>
      <c r="C1798" s="47"/>
      <c r="D1798" s="47"/>
    </row>
    <row r="1799" spans="2:4" x14ac:dyDescent="0.2">
      <c r="B1799" s="47"/>
      <c r="C1799" s="47"/>
      <c r="D1799" s="47"/>
    </row>
    <row r="1800" spans="2:4" x14ac:dyDescent="0.2">
      <c r="B1800" s="47"/>
      <c r="C1800" s="47"/>
      <c r="D1800" s="47"/>
    </row>
    <row r="1801" spans="2:4" x14ac:dyDescent="0.2">
      <c r="B1801" s="47"/>
      <c r="C1801" s="47"/>
      <c r="D1801" s="47"/>
    </row>
    <row r="1802" spans="2:4" x14ac:dyDescent="0.2">
      <c r="B1802" s="47"/>
      <c r="C1802" s="47"/>
      <c r="D1802" s="47"/>
    </row>
    <row r="1803" spans="2:4" x14ac:dyDescent="0.2">
      <c r="B1803" s="47"/>
      <c r="C1803" s="47"/>
      <c r="D1803" s="47"/>
    </row>
    <row r="1804" spans="2:4" x14ac:dyDescent="0.2">
      <c r="B1804" s="47"/>
      <c r="C1804" s="47"/>
      <c r="D1804" s="47"/>
    </row>
    <row r="1805" spans="2:4" x14ac:dyDescent="0.2">
      <c r="B1805" s="47"/>
      <c r="C1805" s="47"/>
      <c r="D1805" s="47"/>
    </row>
    <row r="1806" spans="2:4" x14ac:dyDescent="0.2">
      <c r="B1806" s="47"/>
      <c r="C1806" s="47"/>
      <c r="D1806" s="47"/>
    </row>
    <row r="1807" spans="2:4" x14ac:dyDescent="0.2">
      <c r="B1807" s="47"/>
      <c r="C1807" s="47"/>
      <c r="D1807" s="47"/>
    </row>
    <row r="1808" spans="2:4" x14ac:dyDescent="0.2">
      <c r="B1808" s="47"/>
      <c r="C1808" s="47"/>
      <c r="D1808" s="47"/>
    </row>
    <row r="1809" spans="2:4" x14ac:dyDescent="0.2">
      <c r="B1809" s="47"/>
      <c r="C1809" s="47"/>
      <c r="D1809" s="47"/>
    </row>
    <row r="1810" spans="2:4" x14ac:dyDescent="0.2">
      <c r="B1810" s="47"/>
      <c r="C1810" s="47"/>
      <c r="D1810" s="47"/>
    </row>
    <row r="1811" spans="2:4" x14ac:dyDescent="0.2">
      <c r="B1811" s="47"/>
      <c r="C1811" s="47"/>
      <c r="D1811" s="47"/>
    </row>
    <row r="1812" spans="2:4" x14ac:dyDescent="0.2">
      <c r="B1812" s="47"/>
      <c r="C1812" s="47"/>
      <c r="D1812" s="47"/>
    </row>
    <row r="1813" spans="2:4" x14ac:dyDescent="0.2">
      <c r="B1813" s="47"/>
      <c r="C1813" s="47"/>
      <c r="D1813" s="47"/>
    </row>
    <row r="1814" spans="2:4" x14ac:dyDescent="0.2">
      <c r="B1814" s="47"/>
      <c r="C1814" s="47"/>
      <c r="D1814" s="47"/>
    </row>
    <row r="1815" spans="2:4" x14ac:dyDescent="0.2">
      <c r="B1815" s="47"/>
      <c r="C1815" s="47"/>
      <c r="D1815" s="47"/>
    </row>
    <row r="1816" spans="2:4" x14ac:dyDescent="0.2">
      <c r="B1816" s="47"/>
      <c r="C1816" s="47"/>
      <c r="D1816" s="47"/>
    </row>
    <row r="1817" spans="2:4" x14ac:dyDescent="0.2">
      <c r="B1817" s="47"/>
      <c r="C1817" s="47"/>
      <c r="D1817" s="47"/>
    </row>
    <row r="1818" spans="2:4" x14ac:dyDescent="0.2">
      <c r="B1818" s="47"/>
      <c r="C1818" s="47"/>
      <c r="D1818" s="47"/>
    </row>
    <row r="1819" spans="2:4" x14ac:dyDescent="0.2">
      <c r="B1819" s="47"/>
      <c r="C1819" s="47"/>
      <c r="D1819" s="47"/>
    </row>
    <row r="1820" spans="2:4" x14ac:dyDescent="0.2">
      <c r="B1820" s="47"/>
      <c r="C1820" s="47"/>
      <c r="D1820" s="47"/>
    </row>
    <row r="1821" spans="2:4" x14ac:dyDescent="0.2">
      <c r="B1821" s="47"/>
      <c r="C1821" s="47"/>
      <c r="D1821" s="47"/>
    </row>
    <row r="1822" spans="2:4" x14ac:dyDescent="0.2">
      <c r="B1822" s="47"/>
      <c r="C1822" s="47"/>
      <c r="D1822" s="47"/>
    </row>
    <row r="1823" spans="2:4" x14ac:dyDescent="0.2">
      <c r="B1823" s="47"/>
      <c r="C1823" s="47"/>
      <c r="D1823" s="47"/>
    </row>
    <row r="1824" spans="2:4" x14ac:dyDescent="0.2">
      <c r="B1824" s="47"/>
      <c r="C1824" s="47"/>
      <c r="D1824" s="47"/>
    </row>
    <row r="1825" spans="2:4" x14ac:dyDescent="0.2">
      <c r="B1825" s="47"/>
      <c r="C1825" s="47"/>
      <c r="D1825" s="47"/>
    </row>
    <row r="1826" spans="2:4" x14ac:dyDescent="0.2">
      <c r="B1826" s="47"/>
      <c r="C1826" s="47"/>
      <c r="D1826" s="47"/>
    </row>
    <row r="1827" spans="2:4" x14ac:dyDescent="0.2">
      <c r="B1827" s="47"/>
      <c r="C1827" s="47"/>
      <c r="D1827" s="47"/>
    </row>
    <row r="1828" spans="2:4" x14ac:dyDescent="0.2">
      <c r="B1828" s="47"/>
      <c r="C1828" s="47"/>
      <c r="D1828" s="47"/>
    </row>
    <row r="1829" spans="2:4" x14ac:dyDescent="0.2">
      <c r="B1829" s="47"/>
      <c r="C1829" s="47"/>
      <c r="D1829" s="47"/>
    </row>
    <row r="1830" spans="2:4" x14ac:dyDescent="0.2">
      <c r="B1830" s="47"/>
      <c r="C1830" s="47"/>
      <c r="D1830" s="47"/>
    </row>
    <row r="1831" spans="2:4" x14ac:dyDescent="0.2">
      <c r="B1831" s="47"/>
      <c r="C1831" s="47"/>
      <c r="D1831" s="47"/>
    </row>
    <row r="1832" spans="2:4" x14ac:dyDescent="0.2">
      <c r="B1832" s="47"/>
      <c r="C1832" s="47"/>
      <c r="D1832" s="47"/>
    </row>
    <row r="1833" spans="2:4" x14ac:dyDescent="0.2">
      <c r="B1833" s="47"/>
      <c r="C1833" s="47"/>
      <c r="D1833" s="47"/>
    </row>
    <row r="1834" spans="2:4" x14ac:dyDescent="0.2">
      <c r="B1834" s="47"/>
      <c r="C1834" s="47"/>
      <c r="D1834" s="47"/>
    </row>
    <row r="1835" spans="2:4" x14ac:dyDescent="0.2">
      <c r="B1835" s="47"/>
      <c r="C1835" s="47"/>
      <c r="D1835" s="47"/>
    </row>
    <row r="1836" spans="2:4" x14ac:dyDescent="0.2">
      <c r="B1836" s="47"/>
      <c r="C1836" s="47"/>
      <c r="D1836" s="47"/>
    </row>
    <row r="1837" spans="2:4" x14ac:dyDescent="0.2">
      <c r="B1837" s="47"/>
      <c r="C1837" s="47"/>
      <c r="D1837" s="47"/>
    </row>
    <row r="1838" spans="2:4" x14ac:dyDescent="0.2">
      <c r="B1838" s="47"/>
      <c r="C1838" s="47"/>
      <c r="D1838" s="47"/>
    </row>
    <row r="1839" spans="2:4" x14ac:dyDescent="0.2">
      <c r="B1839" s="47"/>
      <c r="C1839" s="47"/>
      <c r="D1839" s="47"/>
    </row>
    <row r="1840" spans="2:4" x14ac:dyDescent="0.2">
      <c r="B1840" s="47"/>
      <c r="C1840" s="47"/>
      <c r="D1840" s="47"/>
    </row>
    <row r="1841" spans="2:4" x14ac:dyDescent="0.2">
      <c r="B1841" s="47"/>
      <c r="C1841" s="47"/>
      <c r="D1841" s="47"/>
    </row>
    <row r="1842" spans="2:4" x14ac:dyDescent="0.2">
      <c r="B1842" s="47"/>
      <c r="C1842" s="47"/>
      <c r="D1842" s="47"/>
    </row>
    <row r="1843" spans="2:4" x14ac:dyDescent="0.2">
      <c r="B1843" s="47"/>
      <c r="C1843" s="47"/>
      <c r="D1843" s="47"/>
    </row>
    <row r="1844" spans="2:4" x14ac:dyDescent="0.2">
      <c r="B1844" s="47"/>
      <c r="C1844" s="47"/>
      <c r="D1844" s="47"/>
    </row>
    <row r="1845" spans="2:4" x14ac:dyDescent="0.2">
      <c r="B1845" s="47"/>
      <c r="C1845" s="47"/>
      <c r="D1845" s="47"/>
    </row>
    <row r="1846" spans="2:4" x14ac:dyDescent="0.2">
      <c r="B1846" s="47"/>
      <c r="C1846" s="47"/>
      <c r="D1846" s="47"/>
    </row>
    <row r="1847" spans="2:4" x14ac:dyDescent="0.2">
      <c r="B1847" s="47"/>
      <c r="C1847" s="47"/>
      <c r="D1847" s="47"/>
    </row>
    <row r="1848" spans="2:4" x14ac:dyDescent="0.2">
      <c r="B1848" s="47"/>
      <c r="C1848" s="47"/>
      <c r="D1848" s="47"/>
    </row>
    <row r="1849" spans="2:4" x14ac:dyDescent="0.2">
      <c r="B1849" s="47"/>
      <c r="C1849" s="47"/>
      <c r="D1849" s="47"/>
    </row>
    <row r="1850" spans="2:4" x14ac:dyDescent="0.2">
      <c r="B1850" s="47"/>
      <c r="C1850" s="47"/>
      <c r="D1850" s="47"/>
    </row>
    <row r="1851" spans="2:4" x14ac:dyDescent="0.2">
      <c r="B1851" s="47"/>
      <c r="C1851" s="47"/>
      <c r="D1851" s="47"/>
    </row>
    <row r="1852" spans="2:4" x14ac:dyDescent="0.2">
      <c r="B1852" s="47"/>
      <c r="C1852" s="47"/>
      <c r="D1852" s="47"/>
    </row>
    <row r="1853" spans="2:4" x14ac:dyDescent="0.2">
      <c r="B1853" s="47"/>
      <c r="C1853" s="47"/>
      <c r="D1853" s="47"/>
    </row>
    <row r="1854" spans="2:4" x14ac:dyDescent="0.2">
      <c r="B1854" s="47"/>
      <c r="C1854" s="47"/>
      <c r="D1854" s="47"/>
    </row>
    <row r="1855" spans="2:4" x14ac:dyDescent="0.2">
      <c r="B1855" s="47"/>
      <c r="C1855" s="47"/>
      <c r="D1855" s="47"/>
    </row>
    <row r="1856" spans="2:4" x14ac:dyDescent="0.2">
      <c r="B1856" s="47"/>
      <c r="C1856" s="47"/>
      <c r="D1856" s="47"/>
    </row>
    <row r="1857" spans="2:4" x14ac:dyDescent="0.2">
      <c r="B1857" s="47"/>
      <c r="C1857" s="47"/>
      <c r="D1857" s="47"/>
    </row>
    <row r="1858" spans="2:4" x14ac:dyDescent="0.2">
      <c r="B1858" s="47"/>
      <c r="C1858" s="47"/>
      <c r="D1858" s="47"/>
    </row>
    <row r="1859" spans="2:4" x14ac:dyDescent="0.2">
      <c r="B1859" s="47"/>
      <c r="C1859" s="47"/>
      <c r="D1859" s="47"/>
    </row>
    <row r="1860" spans="2:4" x14ac:dyDescent="0.2">
      <c r="B1860" s="47"/>
      <c r="C1860" s="47"/>
      <c r="D1860" s="47"/>
    </row>
    <row r="1861" spans="2:4" x14ac:dyDescent="0.2">
      <c r="B1861" s="47"/>
      <c r="C1861" s="47"/>
      <c r="D1861" s="47"/>
    </row>
    <row r="1862" spans="2:4" x14ac:dyDescent="0.2">
      <c r="B1862" s="47"/>
      <c r="C1862" s="47"/>
      <c r="D1862" s="47"/>
    </row>
    <row r="1863" spans="2:4" x14ac:dyDescent="0.2">
      <c r="B1863" s="47"/>
      <c r="C1863" s="47"/>
      <c r="D1863" s="47"/>
    </row>
    <row r="1864" spans="2:4" x14ac:dyDescent="0.2">
      <c r="B1864" s="47"/>
      <c r="C1864" s="47"/>
      <c r="D1864" s="47"/>
    </row>
    <row r="1865" spans="2:4" x14ac:dyDescent="0.2">
      <c r="B1865" s="47"/>
      <c r="C1865" s="47"/>
      <c r="D1865" s="47"/>
    </row>
    <row r="1866" spans="2:4" x14ac:dyDescent="0.2">
      <c r="B1866" s="47"/>
      <c r="C1866" s="47"/>
      <c r="D1866" s="47"/>
    </row>
    <row r="1867" spans="2:4" x14ac:dyDescent="0.2">
      <c r="B1867" s="47"/>
      <c r="C1867" s="47"/>
      <c r="D1867" s="47"/>
    </row>
    <row r="1868" spans="2:4" x14ac:dyDescent="0.2">
      <c r="B1868" s="47"/>
      <c r="C1868" s="47"/>
      <c r="D1868" s="47"/>
    </row>
    <row r="1869" spans="2:4" x14ac:dyDescent="0.2">
      <c r="B1869" s="47"/>
      <c r="C1869" s="47"/>
      <c r="D1869" s="47"/>
    </row>
    <row r="1870" spans="2:4" x14ac:dyDescent="0.2">
      <c r="B1870" s="47"/>
      <c r="C1870" s="47"/>
      <c r="D1870" s="47"/>
    </row>
    <row r="1871" spans="2:4" x14ac:dyDescent="0.2">
      <c r="B1871" s="47"/>
      <c r="C1871" s="47"/>
      <c r="D1871" s="47"/>
    </row>
    <row r="1872" spans="2:4" x14ac:dyDescent="0.2">
      <c r="B1872" s="47"/>
      <c r="C1872" s="47"/>
      <c r="D1872" s="47"/>
    </row>
    <row r="1873" spans="2:4" x14ac:dyDescent="0.2">
      <c r="B1873" s="47"/>
      <c r="C1873" s="47"/>
      <c r="D1873" s="47"/>
    </row>
    <row r="1874" spans="2:4" x14ac:dyDescent="0.2">
      <c r="B1874" s="47"/>
      <c r="C1874" s="47"/>
      <c r="D1874" s="47"/>
    </row>
    <row r="1875" spans="2:4" x14ac:dyDescent="0.2">
      <c r="B1875" s="47"/>
      <c r="C1875" s="47"/>
      <c r="D1875" s="47"/>
    </row>
    <row r="1876" spans="2:4" x14ac:dyDescent="0.2">
      <c r="B1876" s="47"/>
      <c r="C1876" s="47"/>
      <c r="D1876" s="47"/>
    </row>
    <row r="1877" spans="2:4" x14ac:dyDescent="0.2">
      <c r="B1877" s="47"/>
      <c r="C1877" s="47"/>
      <c r="D1877" s="47"/>
    </row>
    <row r="1878" spans="2:4" x14ac:dyDescent="0.2">
      <c r="B1878" s="47"/>
      <c r="C1878" s="47"/>
      <c r="D1878" s="47"/>
    </row>
    <row r="1879" spans="2:4" x14ac:dyDescent="0.2">
      <c r="B1879" s="47"/>
      <c r="C1879" s="47"/>
      <c r="D1879" s="47"/>
    </row>
    <row r="1880" spans="2:4" x14ac:dyDescent="0.2">
      <c r="B1880" s="47"/>
      <c r="C1880" s="47"/>
      <c r="D1880" s="47"/>
    </row>
    <row r="1881" spans="2:4" x14ac:dyDescent="0.2">
      <c r="B1881" s="47"/>
      <c r="C1881" s="47"/>
      <c r="D1881" s="47"/>
    </row>
    <row r="1882" spans="2:4" x14ac:dyDescent="0.2">
      <c r="B1882" s="47"/>
      <c r="C1882" s="47"/>
      <c r="D1882" s="47"/>
    </row>
    <row r="1883" spans="2:4" x14ac:dyDescent="0.2">
      <c r="B1883" s="47"/>
      <c r="C1883" s="47"/>
      <c r="D1883" s="47"/>
    </row>
    <row r="1884" spans="2:4" x14ac:dyDescent="0.2">
      <c r="B1884" s="47"/>
      <c r="C1884" s="47"/>
      <c r="D1884" s="47"/>
    </row>
    <row r="1885" spans="2:4" x14ac:dyDescent="0.2">
      <c r="B1885" s="47"/>
      <c r="C1885" s="47"/>
      <c r="D1885" s="47"/>
    </row>
    <row r="1886" spans="2:4" x14ac:dyDescent="0.2">
      <c r="B1886" s="47"/>
      <c r="C1886" s="47"/>
      <c r="D1886" s="47"/>
    </row>
    <row r="1887" spans="2:4" x14ac:dyDescent="0.2">
      <c r="B1887" s="47"/>
      <c r="C1887" s="47"/>
      <c r="D1887" s="47"/>
    </row>
    <row r="1888" spans="2:4" x14ac:dyDescent="0.2">
      <c r="B1888" s="47"/>
      <c r="C1888" s="47"/>
      <c r="D1888" s="47"/>
    </row>
    <row r="1889" spans="2:4" x14ac:dyDescent="0.2">
      <c r="B1889" s="47"/>
      <c r="C1889" s="47"/>
      <c r="D1889" s="47"/>
    </row>
    <row r="1890" spans="2:4" x14ac:dyDescent="0.2">
      <c r="B1890" s="47"/>
      <c r="C1890" s="47"/>
      <c r="D1890" s="47"/>
    </row>
    <row r="1891" spans="2:4" x14ac:dyDescent="0.2">
      <c r="B1891" s="47"/>
      <c r="C1891" s="47"/>
      <c r="D1891" s="47"/>
    </row>
    <row r="1892" spans="2:4" x14ac:dyDescent="0.2">
      <c r="B1892" s="47"/>
      <c r="C1892" s="47"/>
      <c r="D1892" s="47"/>
    </row>
    <row r="1893" spans="2:4" x14ac:dyDescent="0.2">
      <c r="B1893" s="47"/>
      <c r="C1893" s="47"/>
      <c r="D1893" s="47"/>
    </row>
    <row r="1894" spans="2:4" x14ac:dyDescent="0.2">
      <c r="B1894" s="47"/>
      <c r="C1894" s="47"/>
      <c r="D1894" s="47"/>
    </row>
    <row r="1895" spans="2:4" x14ac:dyDescent="0.2">
      <c r="B1895" s="47"/>
      <c r="C1895" s="47"/>
      <c r="D1895" s="47"/>
    </row>
    <row r="1896" spans="2:4" x14ac:dyDescent="0.2">
      <c r="B1896" s="47"/>
      <c r="C1896" s="47"/>
      <c r="D1896" s="47"/>
    </row>
    <row r="1897" spans="2:4" x14ac:dyDescent="0.2">
      <c r="B1897" s="47"/>
      <c r="C1897" s="47"/>
      <c r="D1897" s="47"/>
    </row>
    <row r="1898" spans="2:4" x14ac:dyDescent="0.2">
      <c r="B1898" s="47"/>
      <c r="C1898" s="47"/>
      <c r="D1898" s="47"/>
    </row>
    <row r="1899" spans="2:4" x14ac:dyDescent="0.2">
      <c r="B1899" s="47"/>
      <c r="C1899" s="47"/>
      <c r="D1899" s="47"/>
    </row>
    <row r="1900" spans="2:4" x14ac:dyDescent="0.2">
      <c r="B1900" s="47"/>
      <c r="C1900" s="47"/>
      <c r="D1900" s="47"/>
    </row>
    <row r="1901" spans="2:4" x14ac:dyDescent="0.2">
      <c r="B1901" s="47"/>
      <c r="C1901" s="47"/>
      <c r="D1901" s="47"/>
    </row>
    <row r="1902" spans="2:4" x14ac:dyDescent="0.2">
      <c r="B1902" s="47"/>
      <c r="C1902" s="47"/>
      <c r="D1902" s="47"/>
    </row>
    <row r="1903" spans="2:4" x14ac:dyDescent="0.2">
      <c r="B1903" s="47"/>
      <c r="C1903" s="47"/>
      <c r="D1903" s="47"/>
    </row>
    <row r="1904" spans="2:4" x14ac:dyDescent="0.2">
      <c r="B1904" s="47"/>
      <c r="C1904" s="47"/>
      <c r="D1904" s="47"/>
    </row>
    <row r="1905" spans="2:4" x14ac:dyDescent="0.2">
      <c r="B1905" s="47"/>
      <c r="C1905" s="47"/>
      <c r="D1905" s="47"/>
    </row>
    <row r="1906" spans="2:4" x14ac:dyDescent="0.2">
      <c r="B1906" s="47"/>
      <c r="C1906" s="47"/>
      <c r="D1906" s="47"/>
    </row>
    <row r="1907" spans="2:4" x14ac:dyDescent="0.2">
      <c r="B1907" s="47"/>
      <c r="C1907" s="47"/>
      <c r="D1907" s="47"/>
    </row>
    <row r="1908" spans="2:4" x14ac:dyDescent="0.2">
      <c r="B1908" s="47"/>
      <c r="C1908" s="47"/>
      <c r="D1908" s="47"/>
    </row>
    <row r="1909" spans="2:4" x14ac:dyDescent="0.2">
      <c r="B1909" s="47"/>
      <c r="C1909" s="47"/>
      <c r="D1909" s="47"/>
    </row>
    <row r="1910" spans="2:4" x14ac:dyDescent="0.2">
      <c r="B1910" s="47"/>
      <c r="C1910" s="47"/>
      <c r="D1910" s="47"/>
    </row>
    <row r="1911" spans="2:4" x14ac:dyDescent="0.2">
      <c r="B1911" s="47"/>
      <c r="C1911" s="47"/>
      <c r="D1911" s="47"/>
    </row>
    <row r="1912" spans="2:4" x14ac:dyDescent="0.2">
      <c r="B1912" s="47"/>
      <c r="C1912" s="47"/>
      <c r="D1912" s="47"/>
    </row>
    <row r="1913" spans="2:4" x14ac:dyDescent="0.2">
      <c r="B1913" s="47"/>
      <c r="C1913" s="47"/>
      <c r="D1913" s="47"/>
    </row>
    <row r="1914" spans="2:4" x14ac:dyDescent="0.2">
      <c r="B1914" s="47"/>
      <c r="C1914" s="47"/>
      <c r="D1914" s="47"/>
    </row>
    <row r="1915" spans="2:4" x14ac:dyDescent="0.2">
      <c r="B1915" s="47"/>
      <c r="C1915" s="47"/>
      <c r="D1915" s="47"/>
    </row>
    <row r="1916" spans="2:4" x14ac:dyDescent="0.2">
      <c r="B1916" s="47"/>
      <c r="C1916" s="47"/>
      <c r="D1916" s="47"/>
    </row>
    <row r="1917" spans="2:4" x14ac:dyDescent="0.2">
      <c r="B1917" s="47"/>
      <c r="C1917" s="47"/>
      <c r="D1917" s="47"/>
    </row>
    <row r="1918" spans="2:4" x14ac:dyDescent="0.2">
      <c r="B1918" s="47"/>
      <c r="C1918" s="47"/>
      <c r="D1918" s="47"/>
    </row>
    <row r="1919" spans="2:4" x14ac:dyDescent="0.2">
      <c r="B1919" s="47"/>
      <c r="C1919" s="47"/>
      <c r="D1919" s="47"/>
    </row>
    <row r="1920" spans="2:4" x14ac:dyDescent="0.2">
      <c r="B1920" s="47"/>
      <c r="C1920" s="47"/>
      <c r="D1920" s="47"/>
    </row>
    <row r="1921" spans="2:4" x14ac:dyDescent="0.2">
      <c r="B1921" s="47"/>
      <c r="C1921" s="47"/>
      <c r="D1921" s="47"/>
    </row>
    <row r="1922" spans="2:4" x14ac:dyDescent="0.2">
      <c r="B1922" s="47"/>
      <c r="C1922" s="47"/>
      <c r="D1922" s="47"/>
    </row>
    <row r="1923" spans="2:4" x14ac:dyDescent="0.2">
      <c r="B1923" s="47"/>
      <c r="C1923" s="47"/>
      <c r="D1923" s="47"/>
    </row>
    <row r="1924" spans="2:4" x14ac:dyDescent="0.2">
      <c r="B1924" s="47"/>
      <c r="C1924" s="47"/>
      <c r="D1924" s="47"/>
    </row>
    <row r="1925" spans="2:4" x14ac:dyDescent="0.2">
      <c r="B1925" s="47"/>
      <c r="C1925" s="47"/>
      <c r="D1925" s="47"/>
    </row>
    <row r="1926" spans="2:4" x14ac:dyDescent="0.2">
      <c r="B1926" s="47"/>
      <c r="C1926" s="47"/>
      <c r="D1926" s="47"/>
    </row>
    <row r="1927" spans="2:4" x14ac:dyDescent="0.2">
      <c r="B1927" s="47"/>
      <c r="C1927" s="47"/>
      <c r="D1927" s="47"/>
    </row>
    <row r="1928" spans="2:4" x14ac:dyDescent="0.2">
      <c r="B1928" s="47"/>
      <c r="C1928" s="47"/>
      <c r="D1928" s="47"/>
    </row>
    <row r="1929" spans="2:4" x14ac:dyDescent="0.2">
      <c r="B1929" s="47"/>
      <c r="C1929" s="47"/>
      <c r="D1929" s="47"/>
    </row>
    <row r="1930" spans="2:4" x14ac:dyDescent="0.2">
      <c r="B1930" s="47"/>
      <c r="C1930" s="47"/>
      <c r="D1930" s="47"/>
    </row>
    <row r="1931" spans="2:4" x14ac:dyDescent="0.2">
      <c r="B1931" s="47"/>
      <c r="C1931" s="47"/>
      <c r="D1931" s="47"/>
    </row>
    <row r="1932" spans="2:4" x14ac:dyDescent="0.2">
      <c r="B1932" s="47"/>
      <c r="C1932" s="47"/>
      <c r="D1932" s="47"/>
    </row>
    <row r="1933" spans="2:4" x14ac:dyDescent="0.2">
      <c r="B1933" s="47"/>
      <c r="C1933" s="47"/>
      <c r="D1933" s="47"/>
    </row>
    <row r="1934" spans="2:4" x14ac:dyDescent="0.2">
      <c r="B1934" s="47"/>
      <c r="C1934" s="47"/>
      <c r="D1934" s="47"/>
    </row>
    <row r="1935" spans="2:4" x14ac:dyDescent="0.2">
      <c r="B1935" s="47"/>
      <c r="C1935" s="47"/>
      <c r="D1935" s="47"/>
    </row>
    <row r="1936" spans="2:4" x14ac:dyDescent="0.2">
      <c r="B1936" s="47"/>
      <c r="C1936" s="47"/>
      <c r="D1936" s="47"/>
    </row>
    <row r="1937" spans="2:4" x14ac:dyDescent="0.2">
      <c r="B1937" s="47"/>
      <c r="C1937" s="47"/>
      <c r="D1937" s="47"/>
    </row>
    <row r="1938" spans="2:4" x14ac:dyDescent="0.2">
      <c r="B1938" s="47"/>
      <c r="C1938" s="47"/>
      <c r="D1938" s="47"/>
    </row>
    <row r="1939" spans="2:4" x14ac:dyDescent="0.2">
      <c r="B1939" s="47"/>
      <c r="C1939" s="47"/>
      <c r="D1939" s="47"/>
    </row>
    <row r="1940" spans="2:4" x14ac:dyDescent="0.2">
      <c r="B1940" s="47"/>
      <c r="C1940" s="47"/>
      <c r="D1940" s="47"/>
    </row>
    <row r="1941" spans="2:4" x14ac:dyDescent="0.2">
      <c r="B1941" s="47"/>
      <c r="C1941" s="47"/>
      <c r="D1941" s="47"/>
    </row>
    <row r="1942" spans="2:4" x14ac:dyDescent="0.2">
      <c r="B1942" s="47"/>
      <c r="C1942" s="47"/>
      <c r="D1942" s="47"/>
    </row>
    <row r="1943" spans="2:4" x14ac:dyDescent="0.2">
      <c r="B1943" s="47"/>
      <c r="C1943" s="47"/>
      <c r="D1943" s="47"/>
    </row>
    <row r="1944" spans="2:4" x14ac:dyDescent="0.2">
      <c r="B1944" s="47"/>
      <c r="C1944" s="47"/>
      <c r="D1944" s="47"/>
    </row>
    <row r="1945" spans="2:4" x14ac:dyDescent="0.2">
      <c r="B1945" s="47"/>
      <c r="C1945" s="47"/>
      <c r="D1945" s="47"/>
    </row>
    <row r="1946" spans="2:4" x14ac:dyDescent="0.2">
      <c r="B1946" s="47"/>
      <c r="C1946" s="47"/>
      <c r="D1946" s="47"/>
    </row>
    <row r="1947" spans="2:4" x14ac:dyDescent="0.2">
      <c r="B1947" s="47"/>
      <c r="C1947" s="47"/>
      <c r="D1947" s="47"/>
    </row>
    <row r="1948" spans="2:4" x14ac:dyDescent="0.2">
      <c r="B1948" s="47"/>
      <c r="C1948" s="47"/>
      <c r="D1948" s="47"/>
    </row>
    <row r="1949" spans="2:4" x14ac:dyDescent="0.2">
      <c r="B1949" s="47"/>
      <c r="C1949" s="47"/>
      <c r="D1949" s="47"/>
    </row>
    <row r="1950" spans="2:4" x14ac:dyDescent="0.2">
      <c r="B1950" s="47"/>
      <c r="C1950" s="47"/>
      <c r="D1950" s="47"/>
    </row>
    <row r="1951" spans="2:4" x14ac:dyDescent="0.2">
      <c r="B1951" s="47"/>
      <c r="C1951" s="47"/>
      <c r="D1951" s="47"/>
    </row>
    <row r="1952" spans="2:4" x14ac:dyDescent="0.2">
      <c r="B1952" s="47"/>
      <c r="C1952" s="47"/>
      <c r="D1952" s="47"/>
    </row>
    <row r="1953" spans="2:4" x14ac:dyDescent="0.2">
      <c r="B1953" s="47"/>
      <c r="C1953" s="47"/>
      <c r="D1953" s="47"/>
    </row>
    <row r="1954" spans="2:4" x14ac:dyDescent="0.2">
      <c r="B1954" s="47"/>
      <c r="C1954" s="47"/>
      <c r="D1954" s="47"/>
    </row>
    <row r="1955" spans="2:4" x14ac:dyDescent="0.2">
      <c r="B1955" s="47"/>
      <c r="C1955" s="47"/>
      <c r="D1955" s="47"/>
    </row>
    <row r="1956" spans="2:4" x14ac:dyDescent="0.2">
      <c r="B1956" s="47"/>
      <c r="C1956" s="47"/>
      <c r="D1956" s="47"/>
    </row>
    <row r="1957" spans="2:4" x14ac:dyDescent="0.2">
      <c r="B1957" s="47"/>
      <c r="C1957" s="47"/>
      <c r="D1957" s="47"/>
    </row>
    <row r="1958" spans="2:4" x14ac:dyDescent="0.2">
      <c r="B1958" s="47"/>
      <c r="C1958" s="47"/>
      <c r="D1958" s="47"/>
    </row>
    <row r="1959" spans="2:4" x14ac:dyDescent="0.2">
      <c r="B1959" s="47"/>
      <c r="C1959" s="47"/>
      <c r="D1959" s="47"/>
    </row>
    <row r="1960" spans="2:4" x14ac:dyDescent="0.2">
      <c r="B1960" s="47"/>
      <c r="C1960" s="47"/>
      <c r="D1960" s="47"/>
    </row>
    <row r="1961" spans="2:4" x14ac:dyDescent="0.2">
      <c r="B1961" s="47"/>
      <c r="C1961" s="47"/>
      <c r="D1961" s="47"/>
    </row>
    <row r="1962" spans="2:4" x14ac:dyDescent="0.2">
      <c r="B1962" s="47"/>
      <c r="C1962" s="47"/>
      <c r="D1962" s="47"/>
    </row>
    <row r="1963" spans="2:4" x14ac:dyDescent="0.2">
      <c r="B1963" s="47"/>
      <c r="C1963" s="47"/>
      <c r="D1963" s="47"/>
    </row>
    <row r="1964" spans="2:4" x14ac:dyDescent="0.2">
      <c r="B1964" s="47"/>
      <c r="C1964" s="47"/>
      <c r="D1964" s="47"/>
    </row>
    <row r="1965" spans="2:4" x14ac:dyDescent="0.2">
      <c r="B1965" s="47"/>
      <c r="C1965" s="47"/>
      <c r="D1965" s="47"/>
    </row>
    <row r="1966" spans="2:4" x14ac:dyDescent="0.2">
      <c r="B1966" s="47"/>
      <c r="C1966" s="47"/>
      <c r="D1966" s="47"/>
    </row>
    <row r="1967" spans="2:4" x14ac:dyDescent="0.2">
      <c r="B1967" s="47"/>
      <c r="C1967" s="47"/>
      <c r="D1967" s="47"/>
    </row>
    <row r="1968" spans="2:4" x14ac:dyDescent="0.2">
      <c r="B1968" s="47"/>
      <c r="C1968" s="47"/>
      <c r="D1968" s="47"/>
    </row>
    <row r="1969" spans="2:4" x14ac:dyDescent="0.2">
      <c r="B1969" s="47"/>
      <c r="C1969" s="47"/>
      <c r="D1969" s="47"/>
    </row>
    <row r="1970" spans="2:4" x14ac:dyDescent="0.2">
      <c r="B1970" s="47"/>
      <c r="C1970" s="47"/>
      <c r="D1970" s="47"/>
    </row>
    <row r="1971" spans="2:4" x14ac:dyDescent="0.2">
      <c r="B1971" s="47"/>
      <c r="C1971" s="47"/>
      <c r="D1971" s="47"/>
    </row>
    <row r="1972" spans="2:4" x14ac:dyDescent="0.2">
      <c r="B1972" s="47"/>
      <c r="C1972" s="47"/>
      <c r="D1972" s="47"/>
    </row>
    <row r="1973" spans="2:4" x14ac:dyDescent="0.2">
      <c r="B1973" s="47"/>
      <c r="C1973" s="47"/>
      <c r="D1973" s="47"/>
    </row>
    <row r="1974" spans="2:4" x14ac:dyDescent="0.2">
      <c r="B1974" s="47"/>
      <c r="C1974" s="47"/>
      <c r="D1974" s="47"/>
    </row>
    <row r="1975" spans="2:4" x14ac:dyDescent="0.2">
      <c r="B1975" s="47"/>
      <c r="C1975" s="47"/>
      <c r="D1975" s="47"/>
    </row>
    <row r="1976" spans="2:4" x14ac:dyDescent="0.2">
      <c r="B1976" s="47"/>
      <c r="C1976" s="47"/>
      <c r="D1976" s="47"/>
    </row>
    <row r="1977" spans="2:4" x14ac:dyDescent="0.2">
      <c r="B1977" s="47"/>
      <c r="C1977" s="47"/>
      <c r="D1977" s="47"/>
    </row>
    <row r="1978" spans="2:4" x14ac:dyDescent="0.2">
      <c r="B1978" s="47"/>
      <c r="C1978" s="47"/>
      <c r="D1978" s="47"/>
    </row>
    <row r="1979" spans="2:4" x14ac:dyDescent="0.2">
      <c r="B1979" s="47"/>
      <c r="C1979" s="47"/>
      <c r="D1979" s="47"/>
    </row>
    <row r="1980" spans="2:4" x14ac:dyDescent="0.2">
      <c r="B1980" s="47"/>
      <c r="C1980" s="47"/>
      <c r="D1980" s="47"/>
    </row>
    <row r="1981" spans="2:4" x14ac:dyDescent="0.2">
      <c r="B1981" s="47"/>
      <c r="C1981" s="47"/>
      <c r="D1981" s="47"/>
    </row>
    <row r="1982" spans="2:4" x14ac:dyDescent="0.2">
      <c r="B1982" s="47"/>
      <c r="C1982" s="47"/>
      <c r="D1982" s="47"/>
    </row>
    <row r="1983" spans="2:4" x14ac:dyDescent="0.2">
      <c r="B1983" s="47"/>
      <c r="C1983" s="47"/>
      <c r="D1983" s="47"/>
    </row>
    <row r="1984" spans="2:4" x14ac:dyDescent="0.2">
      <c r="B1984" s="47"/>
      <c r="C1984" s="47"/>
      <c r="D1984" s="47"/>
    </row>
    <row r="1985" spans="2:4" x14ac:dyDescent="0.2">
      <c r="B1985" s="47"/>
      <c r="C1985" s="47"/>
      <c r="D1985" s="47"/>
    </row>
    <row r="1986" spans="2:4" x14ac:dyDescent="0.2">
      <c r="B1986" s="47"/>
      <c r="C1986" s="47"/>
      <c r="D1986" s="47"/>
    </row>
    <row r="1987" spans="2:4" x14ac:dyDescent="0.2">
      <c r="B1987" s="47"/>
      <c r="C1987" s="47"/>
      <c r="D1987" s="47"/>
    </row>
    <row r="1988" spans="2:4" x14ac:dyDescent="0.2">
      <c r="B1988" s="47"/>
      <c r="C1988" s="47"/>
      <c r="D1988" s="47"/>
    </row>
    <row r="1989" spans="2:4" x14ac:dyDescent="0.2">
      <c r="B1989" s="47"/>
      <c r="C1989" s="47"/>
      <c r="D1989" s="47"/>
    </row>
    <row r="1990" spans="2:4" x14ac:dyDescent="0.2">
      <c r="B1990" s="47"/>
      <c r="C1990" s="47"/>
      <c r="D1990" s="47"/>
    </row>
    <row r="1991" spans="2:4" x14ac:dyDescent="0.2">
      <c r="B1991" s="47"/>
      <c r="C1991" s="47"/>
      <c r="D1991" s="47"/>
    </row>
    <row r="1992" spans="2:4" x14ac:dyDescent="0.2">
      <c r="B1992" s="47"/>
      <c r="C1992" s="47"/>
      <c r="D1992" s="47"/>
    </row>
    <row r="1993" spans="2:4" x14ac:dyDescent="0.2">
      <c r="B1993" s="47"/>
      <c r="C1993" s="47"/>
      <c r="D1993" s="47"/>
    </row>
    <row r="1994" spans="2:4" x14ac:dyDescent="0.2">
      <c r="B1994" s="47"/>
      <c r="C1994" s="47"/>
      <c r="D1994" s="47"/>
    </row>
    <row r="1995" spans="2:4" x14ac:dyDescent="0.2">
      <c r="B1995" s="47"/>
      <c r="C1995" s="47"/>
      <c r="D1995" s="47"/>
    </row>
    <row r="1996" spans="2:4" x14ac:dyDescent="0.2">
      <c r="B1996" s="47"/>
      <c r="C1996" s="47"/>
      <c r="D1996" s="47"/>
    </row>
    <row r="1997" spans="2:4" x14ac:dyDescent="0.2">
      <c r="B1997" s="47"/>
      <c r="C1997" s="47"/>
      <c r="D1997" s="47"/>
    </row>
    <row r="1998" spans="2:4" x14ac:dyDescent="0.2">
      <c r="B1998" s="47"/>
      <c r="C1998" s="47"/>
      <c r="D1998" s="47"/>
    </row>
    <row r="1999" spans="2:4" x14ac:dyDescent="0.2">
      <c r="B1999" s="47"/>
      <c r="C1999" s="47"/>
      <c r="D1999" s="47"/>
    </row>
    <row r="2000" spans="2:4" x14ac:dyDescent="0.2">
      <c r="B2000" s="47"/>
      <c r="C2000" s="47"/>
      <c r="D2000" s="47"/>
    </row>
    <row r="2001" spans="2:4" x14ac:dyDescent="0.2">
      <c r="B2001" s="47"/>
      <c r="C2001" s="47"/>
      <c r="D2001" s="47"/>
    </row>
    <row r="2002" spans="2:4" x14ac:dyDescent="0.2">
      <c r="B2002" s="47"/>
      <c r="C2002" s="47"/>
      <c r="D2002" s="47"/>
    </row>
    <row r="2003" spans="2:4" x14ac:dyDescent="0.2">
      <c r="B2003" s="47"/>
      <c r="C2003" s="47"/>
      <c r="D2003" s="47"/>
    </row>
    <row r="2004" spans="2:4" x14ac:dyDescent="0.2">
      <c r="B2004" s="47"/>
      <c r="C2004" s="47"/>
      <c r="D2004" s="47"/>
    </row>
    <row r="2005" spans="2:4" x14ac:dyDescent="0.2">
      <c r="B2005" s="47"/>
      <c r="C2005" s="47"/>
      <c r="D2005" s="47"/>
    </row>
    <row r="2006" spans="2:4" x14ac:dyDescent="0.2">
      <c r="B2006" s="47"/>
      <c r="C2006" s="47"/>
      <c r="D2006" s="47"/>
    </row>
    <row r="2007" spans="2:4" x14ac:dyDescent="0.2">
      <c r="B2007" s="47"/>
      <c r="C2007" s="47"/>
      <c r="D2007" s="47"/>
    </row>
    <row r="2008" spans="2:4" x14ac:dyDescent="0.2">
      <c r="B2008" s="47"/>
      <c r="C2008" s="47"/>
      <c r="D2008" s="47"/>
    </row>
    <row r="2009" spans="2:4" x14ac:dyDescent="0.2">
      <c r="B2009" s="47"/>
      <c r="C2009" s="47"/>
      <c r="D2009" s="47"/>
    </row>
    <row r="2010" spans="2:4" x14ac:dyDescent="0.2">
      <c r="B2010" s="47"/>
      <c r="C2010" s="47"/>
      <c r="D2010" s="47"/>
    </row>
    <row r="2011" spans="2:4" x14ac:dyDescent="0.2">
      <c r="B2011" s="47"/>
      <c r="C2011" s="47"/>
      <c r="D2011" s="47"/>
    </row>
    <row r="2012" spans="2:4" x14ac:dyDescent="0.2">
      <c r="B2012" s="47"/>
      <c r="C2012" s="47"/>
      <c r="D2012" s="47"/>
    </row>
    <row r="2013" spans="2:4" x14ac:dyDescent="0.2">
      <c r="B2013" s="47"/>
      <c r="C2013" s="47"/>
      <c r="D2013" s="47"/>
    </row>
    <row r="2014" spans="2:4" x14ac:dyDescent="0.2">
      <c r="B2014" s="47"/>
      <c r="C2014" s="47"/>
      <c r="D2014" s="47"/>
    </row>
    <row r="2015" spans="2:4" x14ac:dyDescent="0.2">
      <c r="B2015" s="47"/>
      <c r="C2015" s="47"/>
      <c r="D2015" s="47"/>
    </row>
    <row r="2016" spans="2:4" x14ac:dyDescent="0.2">
      <c r="B2016" s="47"/>
      <c r="C2016" s="47"/>
      <c r="D2016" s="47"/>
    </row>
    <row r="2017" spans="2:4" x14ac:dyDescent="0.2">
      <c r="B2017" s="47"/>
      <c r="C2017" s="47"/>
      <c r="D2017" s="47"/>
    </row>
    <row r="2018" spans="2:4" x14ac:dyDescent="0.2">
      <c r="B2018" s="47"/>
      <c r="C2018" s="47"/>
      <c r="D2018" s="47"/>
    </row>
    <row r="2019" spans="2:4" x14ac:dyDescent="0.2">
      <c r="B2019" s="47"/>
      <c r="C2019" s="47"/>
      <c r="D2019" s="47"/>
    </row>
    <row r="2020" spans="2:4" x14ac:dyDescent="0.2">
      <c r="B2020" s="47"/>
      <c r="C2020" s="47"/>
      <c r="D2020" s="47"/>
    </row>
    <row r="2021" spans="2:4" x14ac:dyDescent="0.2">
      <c r="B2021" s="47"/>
      <c r="C2021" s="47"/>
      <c r="D2021" s="47"/>
    </row>
    <row r="2022" spans="2:4" x14ac:dyDescent="0.2">
      <c r="B2022" s="47"/>
      <c r="C2022" s="47"/>
      <c r="D2022" s="47"/>
    </row>
    <row r="2023" spans="2:4" x14ac:dyDescent="0.2">
      <c r="B2023" s="47"/>
      <c r="C2023" s="47"/>
      <c r="D2023" s="47"/>
    </row>
    <row r="2024" spans="2:4" x14ac:dyDescent="0.2">
      <c r="B2024" s="47"/>
      <c r="C2024" s="47"/>
      <c r="D2024" s="47"/>
    </row>
    <row r="2025" spans="2:4" x14ac:dyDescent="0.2">
      <c r="B2025" s="47"/>
      <c r="C2025" s="47"/>
      <c r="D2025" s="47"/>
    </row>
    <row r="2026" spans="2:4" x14ac:dyDescent="0.2">
      <c r="B2026" s="47"/>
      <c r="C2026" s="47"/>
      <c r="D2026" s="47"/>
    </row>
    <row r="2027" spans="2:4" x14ac:dyDescent="0.2">
      <c r="B2027" s="47"/>
      <c r="C2027" s="47"/>
      <c r="D2027" s="47"/>
    </row>
    <row r="2028" spans="2:4" x14ac:dyDescent="0.2">
      <c r="B2028" s="47"/>
      <c r="C2028" s="47"/>
      <c r="D2028" s="47"/>
    </row>
    <row r="2029" spans="2:4" x14ac:dyDescent="0.2">
      <c r="B2029" s="47"/>
      <c r="C2029" s="47"/>
      <c r="D2029" s="47"/>
    </row>
    <row r="2030" spans="2:4" x14ac:dyDescent="0.2">
      <c r="B2030" s="47"/>
      <c r="C2030" s="47"/>
      <c r="D2030" s="47"/>
    </row>
    <row r="2031" spans="2:4" x14ac:dyDescent="0.2">
      <c r="B2031" s="47"/>
      <c r="C2031" s="47"/>
      <c r="D2031" s="47"/>
    </row>
    <row r="2032" spans="2:4" x14ac:dyDescent="0.2">
      <c r="B2032" s="47"/>
      <c r="C2032" s="47"/>
      <c r="D2032" s="47"/>
    </row>
    <row r="2033" spans="2:4" x14ac:dyDescent="0.2">
      <c r="B2033" s="47"/>
      <c r="C2033" s="47"/>
      <c r="D2033" s="47"/>
    </row>
    <row r="2034" spans="2:4" x14ac:dyDescent="0.2">
      <c r="B2034" s="47"/>
      <c r="C2034" s="47"/>
      <c r="D2034" s="47"/>
    </row>
    <row r="2035" spans="2:4" x14ac:dyDescent="0.2">
      <c r="B2035" s="47"/>
      <c r="C2035" s="47"/>
      <c r="D2035" s="47"/>
    </row>
    <row r="2036" spans="2:4" x14ac:dyDescent="0.2">
      <c r="B2036" s="47"/>
      <c r="C2036" s="47"/>
      <c r="D2036" s="47"/>
    </row>
    <row r="2037" spans="2:4" x14ac:dyDescent="0.2">
      <c r="B2037" s="47"/>
      <c r="C2037" s="47"/>
      <c r="D2037" s="47"/>
    </row>
    <row r="2038" spans="2:4" x14ac:dyDescent="0.2">
      <c r="B2038" s="47"/>
      <c r="C2038" s="47"/>
      <c r="D2038" s="47"/>
    </row>
    <row r="2039" spans="2:4" x14ac:dyDescent="0.2">
      <c r="B2039" s="47"/>
      <c r="C2039" s="47"/>
      <c r="D2039" s="47"/>
    </row>
    <row r="2040" spans="2:4" x14ac:dyDescent="0.2">
      <c r="B2040" s="47"/>
      <c r="C2040" s="47"/>
      <c r="D2040" s="47"/>
    </row>
    <row r="2041" spans="2:4" x14ac:dyDescent="0.2">
      <c r="B2041" s="47"/>
      <c r="C2041" s="47"/>
      <c r="D2041" s="47"/>
    </row>
    <row r="2042" spans="2:4" x14ac:dyDescent="0.2">
      <c r="B2042" s="47"/>
      <c r="C2042" s="47"/>
      <c r="D2042" s="47"/>
    </row>
    <row r="2043" spans="2:4" x14ac:dyDescent="0.2">
      <c r="B2043" s="47"/>
      <c r="C2043" s="47"/>
      <c r="D2043" s="47"/>
    </row>
    <row r="2044" spans="2:4" x14ac:dyDescent="0.2">
      <c r="B2044" s="47"/>
      <c r="C2044" s="47"/>
      <c r="D2044" s="47"/>
    </row>
    <row r="2045" spans="2:4" x14ac:dyDescent="0.2">
      <c r="B2045" s="47"/>
      <c r="C2045" s="47"/>
      <c r="D2045" s="47"/>
    </row>
    <row r="2046" spans="2:4" x14ac:dyDescent="0.2">
      <c r="B2046" s="47"/>
      <c r="C2046" s="47"/>
      <c r="D2046" s="47"/>
    </row>
    <row r="2047" spans="2:4" x14ac:dyDescent="0.2">
      <c r="B2047" s="47"/>
      <c r="C2047" s="47"/>
      <c r="D2047" s="47"/>
    </row>
    <row r="2048" spans="2:4" x14ac:dyDescent="0.2">
      <c r="B2048" s="47"/>
      <c r="C2048" s="47"/>
      <c r="D2048" s="47"/>
    </row>
    <row r="2049" spans="2:4" x14ac:dyDescent="0.2">
      <c r="B2049" s="47"/>
      <c r="C2049" s="47"/>
      <c r="D2049" s="47"/>
    </row>
    <row r="2050" spans="2:4" x14ac:dyDescent="0.2">
      <c r="B2050" s="47"/>
      <c r="C2050" s="47"/>
      <c r="D2050" s="47"/>
    </row>
    <row r="2051" spans="2:4" x14ac:dyDescent="0.2">
      <c r="B2051" s="47"/>
      <c r="C2051" s="47"/>
      <c r="D2051" s="47"/>
    </row>
    <row r="2052" spans="2:4" x14ac:dyDescent="0.2">
      <c r="B2052" s="47"/>
      <c r="C2052" s="47"/>
      <c r="D2052" s="47"/>
    </row>
    <row r="2053" spans="2:4" x14ac:dyDescent="0.2">
      <c r="B2053" s="47"/>
      <c r="C2053" s="47"/>
      <c r="D2053" s="47"/>
    </row>
    <row r="2054" spans="2:4" x14ac:dyDescent="0.2">
      <c r="B2054" s="47"/>
      <c r="C2054" s="47"/>
      <c r="D2054" s="47"/>
    </row>
    <row r="2055" spans="2:4" x14ac:dyDescent="0.2">
      <c r="B2055" s="47"/>
      <c r="C2055" s="47"/>
      <c r="D2055" s="47"/>
    </row>
    <row r="2056" spans="2:4" x14ac:dyDescent="0.2">
      <c r="B2056" s="47"/>
      <c r="C2056" s="47"/>
      <c r="D2056" s="47"/>
    </row>
    <row r="2057" spans="2:4" x14ac:dyDescent="0.2">
      <c r="B2057" s="47"/>
      <c r="C2057" s="47"/>
      <c r="D2057" s="47"/>
    </row>
    <row r="2058" spans="2:4" x14ac:dyDescent="0.2">
      <c r="B2058" s="47"/>
      <c r="C2058" s="47"/>
      <c r="D2058" s="47"/>
    </row>
    <row r="2059" spans="2:4" x14ac:dyDescent="0.2">
      <c r="B2059" s="47"/>
      <c r="C2059" s="47"/>
      <c r="D2059" s="47"/>
    </row>
    <row r="2060" spans="2:4" x14ac:dyDescent="0.2">
      <c r="B2060" s="47"/>
      <c r="C2060" s="47"/>
      <c r="D2060" s="47"/>
    </row>
    <row r="2061" spans="2:4" x14ac:dyDescent="0.2">
      <c r="B2061" s="47"/>
      <c r="C2061" s="47"/>
      <c r="D2061" s="47"/>
    </row>
    <row r="2062" spans="2:4" x14ac:dyDescent="0.2">
      <c r="B2062" s="47"/>
      <c r="C2062" s="47"/>
      <c r="D2062" s="47"/>
    </row>
    <row r="2063" spans="2:4" x14ac:dyDescent="0.2">
      <c r="B2063" s="47"/>
      <c r="C2063" s="47"/>
      <c r="D2063" s="47"/>
    </row>
    <row r="2064" spans="2:4" x14ac:dyDescent="0.2">
      <c r="B2064" s="47"/>
      <c r="C2064" s="47"/>
      <c r="D2064" s="47"/>
    </row>
    <row r="2065" spans="2:4" x14ac:dyDescent="0.2">
      <c r="B2065" s="47"/>
      <c r="C2065" s="47"/>
      <c r="D2065" s="47"/>
    </row>
    <row r="2066" spans="2:4" x14ac:dyDescent="0.2">
      <c r="B2066" s="47"/>
      <c r="C2066" s="47"/>
      <c r="D2066" s="47"/>
    </row>
    <row r="2067" spans="2:4" x14ac:dyDescent="0.2">
      <c r="B2067" s="47"/>
      <c r="C2067" s="47"/>
      <c r="D2067" s="47"/>
    </row>
    <row r="2068" spans="2:4" x14ac:dyDescent="0.2">
      <c r="B2068" s="47"/>
      <c r="C2068" s="47"/>
      <c r="D2068" s="47"/>
    </row>
    <row r="2069" spans="2:4" x14ac:dyDescent="0.2">
      <c r="B2069" s="47"/>
      <c r="C2069" s="47"/>
      <c r="D2069" s="47"/>
    </row>
    <row r="2070" spans="2:4" x14ac:dyDescent="0.2">
      <c r="B2070" s="47"/>
      <c r="C2070" s="47"/>
      <c r="D2070" s="47"/>
    </row>
    <row r="2071" spans="2:4" x14ac:dyDescent="0.2">
      <c r="B2071" s="47"/>
      <c r="C2071" s="47"/>
      <c r="D2071" s="47"/>
    </row>
    <row r="2072" spans="2:4" x14ac:dyDescent="0.2">
      <c r="B2072" s="47"/>
      <c r="C2072" s="47"/>
      <c r="D2072" s="47"/>
    </row>
    <row r="2073" spans="2:4" x14ac:dyDescent="0.2">
      <c r="B2073" s="47"/>
      <c r="C2073" s="47"/>
      <c r="D2073" s="47"/>
    </row>
    <row r="2074" spans="2:4" x14ac:dyDescent="0.2">
      <c r="B2074" s="47"/>
      <c r="C2074" s="47"/>
      <c r="D2074" s="47"/>
    </row>
    <row r="2075" spans="2:4" x14ac:dyDescent="0.2">
      <c r="B2075" s="47"/>
      <c r="C2075" s="47"/>
      <c r="D2075" s="47"/>
    </row>
    <row r="2076" spans="2:4" x14ac:dyDescent="0.2">
      <c r="B2076" s="47"/>
      <c r="C2076" s="47"/>
      <c r="D2076" s="47"/>
    </row>
    <row r="2077" spans="2:4" x14ac:dyDescent="0.2">
      <c r="B2077" s="47"/>
      <c r="C2077" s="47"/>
      <c r="D2077" s="47"/>
    </row>
    <row r="2078" spans="2:4" x14ac:dyDescent="0.2">
      <c r="B2078" s="47"/>
      <c r="C2078" s="47"/>
      <c r="D2078" s="47"/>
    </row>
    <row r="2079" spans="2:4" x14ac:dyDescent="0.2">
      <c r="B2079" s="47"/>
      <c r="C2079" s="47"/>
      <c r="D2079" s="47"/>
    </row>
    <row r="2080" spans="2:4" x14ac:dyDescent="0.2">
      <c r="B2080" s="47"/>
      <c r="C2080" s="47"/>
      <c r="D2080" s="47"/>
    </row>
    <row r="2081" spans="2:4" x14ac:dyDescent="0.2">
      <c r="B2081" s="47"/>
      <c r="C2081" s="47"/>
      <c r="D2081" s="47"/>
    </row>
    <row r="2082" spans="2:4" x14ac:dyDescent="0.2">
      <c r="B2082" s="47"/>
      <c r="C2082" s="47"/>
      <c r="D2082" s="47"/>
    </row>
    <row r="2083" spans="2:4" x14ac:dyDescent="0.2">
      <c r="B2083" s="47"/>
      <c r="C2083" s="47"/>
      <c r="D2083" s="47"/>
    </row>
    <row r="2084" spans="2:4" x14ac:dyDescent="0.2">
      <c r="B2084" s="47"/>
      <c r="C2084" s="47"/>
      <c r="D2084" s="47"/>
    </row>
    <row r="2085" spans="2:4" x14ac:dyDescent="0.2">
      <c r="B2085" s="47"/>
      <c r="C2085" s="47"/>
      <c r="D2085" s="47"/>
    </row>
    <row r="2086" spans="2:4" x14ac:dyDescent="0.2">
      <c r="B2086" s="47"/>
      <c r="C2086" s="47"/>
      <c r="D2086" s="47"/>
    </row>
    <row r="2087" spans="2:4" x14ac:dyDescent="0.2">
      <c r="B2087" s="47"/>
      <c r="C2087" s="47"/>
      <c r="D2087" s="47"/>
    </row>
    <row r="2088" spans="2:4" x14ac:dyDescent="0.2">
      <c r="B2088" s="47"/>
      <c r="C2088" s="47"/>
      <c r="D2088" s="47"/>
    </row>
    <row r="2089" spans="2:4" x14ac:dyDescent="0.2">
      <c r="B2089" s="47"/>
      <c r="C2089" s="47"/>
      <c r="D2089" s="47"/>
    </row>
    <row r="2090" spans="2:4" x14ac:dyDescent="0.2">
      <c r="B2090" s="47"/>
      <c r="C2090" s="47"/>
      <c r="D2090" s="47"/>
    </row>
    <row r="2091" spans="2:4" x14ac:dyDescent="0.2">
      <c r="B2091" s="47"/>
      <c r="C2091" s="47"/>
      <c r="D2091" s="47"/>
    </row>
    <row r="2092" spans="2:4" x14ac:dyDescent="0.2">
      <c r="B2092" s="47"/>
      <c r="C2092" s="47"/>
      <c r="D2092" s="47"/>
    </row>
    <row r="2093" spans="2:4" x14ac:dyDescent="0.2">
      <c r="B2093" s="47"/>
      <c r="C2093" s="47"/>
      <c r="D2093" s="47"/>
    </row>
    <row r="2094" spans="2:4" x14ac:dyDescent="0.2">
      <c r="B2094" s="47"/>
      <c r="C2094" s="47"/>
      <c r="D2094" s="47"/>
    </row>
    <row r="2095" spans="2:4" x14ac:dyDescent="0.2">
      <c r="B2095" s="47"/>
      <c r="C2095" s="47"/>
      <c r="D2095" s="47"/>
    </row>
    <row r="2096" spans="2:4" x14ac:dyDescent="0.2">
      <c r="B2096" s="47"/>
      <c r="C2096" s="47"/>
      <c r="D2096" s="47"/>
    </row>
    <row r="2097" spans="2:4" x14ac:dyDescent="0.2">
      <c r="B2097" s="47"/>
      <c r="C2097" s="47"/>
      <c r="D2097" s="47"/>
    </row>
    <row r="2098" spans="2:4" x14ac:dyDescent="0.2">
      <c r="B2098" s="47"/>
      <c r="C2098" s="47"/>
      <c r="D2098" s="47"/>
    </row>
    <row r="2099" spans="2:4" x14ac:dyDescent="0.2">
      <c r="B2099" s="47"/>
      <c r="C2099" s="47"/>
      <c r="D2099" s="47"/>
    </row>
    <row r="2100" spans="2:4" x14ac:dyDescent="0.2">
      <c r="B2100" s="47"/>
      <c r="C2100" s="47"/>
      <c r="D2100" s="47"/>
    </row>
    <row r="2101" spans="2:4" x14ac:dyDescent="0.2">
      <c r="B2101" s="47"/>
      <c r="C2101" s="47"/>
      <c r="D2101" s="47"/>
    </row>
    <row r="2102" spans="2:4" x14ac:dyDescent="0.2">
      <c r="B2102" s="47"/>
      <c r="C2102" s="47"/>
      <c r="D2102" s="47"/>
    </row>
    <row r="2103" spans="2:4" x14ac:dyDescent="0.2">
      <c r="B2103" s="47"/>
      <c r="C2103" s="47"/>
      <c r="D2103" s="47"/>
    </row>
    <row r="2104" spans="2:4" x14ac:dyDescent="0.2">
      <c r="B2104" s="47"/>
      <c r="C2104" s="47"/>
      <c r="D2104" s="47"/>
    </row>
    <row r="2105" spans="2:4" x14ac:dyDescent="0.2">
      <c r="B2105" s="47"/>
      <c r="C2105" s="47"/>
      <c r="D2105" s="47"/>
    </row>
    <row r="2106" spans="2:4" x14ac:dyDescent="0.2">
      <c r="B2106" s="47"/>
      <c r="C2106" s="47"/>
      <c r="D2106" s="47"/>
    </row>
    <row r="2107" spans="2:4" x14ac:dyDescent="0.2">
      <c r="B2107" s="47"/>
      <c r="C2107" s="47"/>
      <c r="D2107" s="47"/>
    </row>
    <row r="2108" spans="2:4" x14ac:dyDescent="0.2">
      <c r="B2108" s="47"/>
      <c r="C2108" s="47"/>
      <c r="D2108" s="47"/>
    </row>
    <row r="2109" spans="2:4" x14ac:dyDescent="0.2">
      <c r="B2109" s="47"/>
      <c r="C2109" s="47"/>
      <c r="D2109" s="47"/>
    </row>
    <row r="2110" spans="2:4" x14ac:dyDescent="0.2">
      <c r="B2110" s="47"/>
      <c r="C2110" s="47"/>
      <c r="D2110" s="47"/>
    </row>
    <row r="2111" spans="2:4" x14ac:dyDescent="0.2">
      <c r="B2111" s="47"/>
      <c r="C2111" s="47"/>
      <c r="D2111" s="47"/>
    </row>
    <row r="2112" spans="2:4" x14ac:dyDescent="0.2">
      <c r="B2112" s="47"/>
      <c r="C2112" s="47"/>
      <c r="D2112" s="47"/>
    </row>
    <row r="2113" spans="2:4" x14ac:dyDescent="0.2">
      <c r="B2113" s="47"/>
      <c r="C2113" s="47"/>
      <c r="D2113" s="47"/>
    </row>
    <row r="2114" spans="2:4" x14ac:dyDescent="0.2">
      <c r="B2114" s="47"/>
      <c r="C2114" s="47"/>
      <c r="D2114" s="47"/>
    </row>
    <row r="2115" spans="2:4" x14ac:dyDescent="0.2">
      <c r="B2115" s="47"/>
      <c r="C2115" s="47"/>
      <c r="D2115" s="47"/>
    </row>
    <row r="2116" spans="2:4" x14ac:dyDescent="0.2">
      <c r="B2116" s="47"/>
      <c r="C2116" s="47"/>
      <c r="D2116" s="47"/>
    </row>
    <row r="2117" spans="2:4" x14ac:dyDescent="0.2">
      <c r="B2117" s="47"/>
      <c r="C2117" s="47"/>
      <c r="D2117" s="47"/>
    </row>
    <row r="2118" spans="2:4" x14ac:dyDescent="0.2">
      <c r="B2118" s="47"/>
      <c r="C2118" s="47"/>
      <c r="D2118" s="47"/>
    </row>
    <row r="2119" spans="2:4" x14ac:dyDescent="0.2">
      <c r="B2119" s="47"/>
      <c r="C2119" s="47"/>
      <c r="D2119" s="47"/>
    </row>
    <row r="2120" spans="2:4" x14ac:dyDescent="0.2">
      <c r="B2120" s="47"/>
      <c r="C2120" s="47"/>
      <c r="D2120" s="47"/>
    </row>
    <row r="2121" spans="2:4" x14ac:dyDescent="0.2">
      <c r="B2121" s="47"/>
      <c r="C2121" s="47"/>
      <c r="D2121" s="47"/>
    </row>
    <row r="2122" spans="2:4" x14ac:dyDescent="0.2">
      <c r="B2122" s="47"/>
      <c r="C2122" s="47"/>
      <c r="D2122" s="47"/>
    </row>
    <row r="2123" spans="2:4" x14ac:dyDescent="0.2">
      <c r="B2123" s="47"/>
      <c r="C2123" s="47"/>
      <c r="D2123" s="47"/>
    </row>
    <row r="2124" spans="2:4" x14ac:dyDescent="0.2">
      <c r="B2124" s="47"/>
      <c r="C2124" s="47"/>
      <c r="D2124" s="47"/>
    </row>
    <row r="2125" spans="2:4" x14ac:dyDescent="0.2">
      <c r="B2125" s="47"/>
      <c r="C2125" s="47"/>
      <c r="D2125" s="47"/>
    </row>
    <row r="2126" spans="2:4" x14ac:dyDescent="0.2">
      <c r="B2126" s="47"/>
      <c r="C2126" s="47"/>
      <c r="D2126" s="47"/>
    </row>
    <row r="2127" spans="2:4" x14ac:dyDescent="0.2">
      <c r="B2127" s="47"/>
      <c r="C2127" s="47"/>
      <c r="D2127" s="47"/>
    </row>
    <row r="2128" spans="2:4" x14ac:dyDescent="0.2">
      <c r="B2128" s="47"/>
      <c r="C2128" s="47"/>
      <c r="D2128" s="47"/>
    </row>
    <row r="2129" spans="2:4" x14ac:dyDescent="0.2">
      <c r="B2129" s="47"/>
      <c r="C2129" s="47"/>
      <c r="D2129" s="47"/>
    </row>
    <row r="2130" spans="2:4" x14ac:dyDescent="0.2">
      <c r="B2130" s="47"/>
      <c r="C2130" s="47"/>
      <c r="D2130" s="47"/>
    </row>
    <row r="2131" spans="2:4" x14ac:dyDescent="0.2">
      <c r="B2131" s="47"/>
      <c r="C2131" s="47"/>
      <c r="D2131" s="47"/>
    </row>
    <row r="2132" spans="2:4" x14ac:dyDescent="0.2">
      <c r="B2132" s="47"/>
      <c r="C2132" s="47"/>
      <c r="D2132" s="47"/>
    </row>
    <row r="2133" spans="2:4" x14ac:dyDescent="0.2">
      <c r="B2133" s="47"/>
      <c r="C2133" s="47"/>
      <c r="D2133" s="47"/>
    </row>
    <row r="2134" spans="2:4" x14ac:dyDescent="0.2">
      <c r="B2134" s="47"/>
      <c r="C2134" s="47"/>
      <c r="D2134" s="47"/>
    </row>
    <row r="2135" spans="2:4" x14ac:dyDescent="0.2">
      <c r="B2135" s="47"/>
      <c r="C2135" s="47"/>
      <c r="D2135" s="47"/>
    </row>
    <row r="2136" spans="2:4" x14ac:dyDescent="0.2">
      <c r="B2136" s="47"/>
      <c r="C2136" s="47"/>
      <c r="D2136" s="47"/>
    </row>
    <row r="2137" spans="2:4" x14ac:dyDescent="0.2">
      <c r="B2137" s="47"/>
      <c r="C2137" s="47"/>
      <c r="D2137" s="47"/>
    </row>
    <row r="2138" spans="2:4" x14ac:dyDescent="0.2">
      <c r="B2138" s="47"/>
      <c r="C2138" s="47"/>
      <c r="D2138" s="47"/>
    </row>
    <row r="2139" spans="2:4" x14ac:dyDescent="0.2">
      <c r="B2139" s="47"/>
      <c r="C2139" s="47"/>
      <c r="D2139" s="47"/>
    </row>
    <row r="2140" spans="2:4" x14ac:dyDescent="0.2">
      <c r="B2140" s="47"/>
      <c r="C2140" s="47"/>
      <c r="D2140" s="47"/>
    </row>
    <row r="2141" spans="2:4" x14ac:dyDescent="0.2">
      <c r="B2141" s="47"/>
      <c r="C2141" s="47"/>
      <c r="D2141" s="47"/>
    </row>
    <row r="2142" spans="2:4" x14ac:dyDescent="0.2">
      <c r="B2142" s="47"/>
      <c r="C2142" s="47"/>
      <c r="D2142" s="47"/>
    </row>
    <row r="2143" spans="2:4" x14ac:dyDescent="0.2">
      <c r="B2143" s="47"/>
      <c r="C2143" s="47"/>
      <c r="D2143" s="47"/>
    </row>
    <row r="2144" spans="2:4" x14ac:dyDescent="0.2">
      <c r="B2144" s="47"/>
      <c r="C2144" s="47"/>
      <c r="D2144" s="47"/>
    </row>
    <row r="2145" spans="2:4" x14ac:dyDescent="0.2">
      <c r="B2145" s="47"/>
      <c r="C2145" s="47"/>
      <c r="D2145" s="47"/>
    </row>
    <row r="2146" spans="2:4" x14ac:dyDescent="0.2">
      <c r="B2146" s="47"/>
      <c r="C2146" s="47"/>
      <c r="D2146" s="47"/>
    </row>
    <row r="2147" spans="2:4" x14ac:dyDescent="0.2">
      <c r="B2147" s="47"/>
      <c r="C2147" s="47"/>
      <c r="D2147" s="47"/>
    </row>
    <row r="2148" spans="2:4" x14ac:dyDescent="0.2">
      <c r="B2148" s="47"/>
      <c r="C2148" s="47"/>
      <c r="D2148" s="47"/>
    </row>
    <row r="2149" spans="2:4" x14ac:dyDescent="0.2">
      <c r="B2149" s="47"/>
      <c r="C2149" s="47"/>
      <c r="D2149" s="47"/>
    </row>
    <row r="2150" spans="2:4" x14ac:dyDescent="0.2">
      <c r="B2150" s="47"/>
      <c r="C2150" s="47"/>
      <c r="D2150" s="47"/>
    </row>
    <row r="2151" spans="2:4" x14ac:dyDescent="0.2">
      <c r="B2151" s="47"/>
      <c r="C2151" s="47"/>
      <c r="D2151" s="47"/>
    </row>
    <row r="2152" spans="2:4" x14ac:dyDescent="0.2">
      <c r="B2152" s="47"/>
      <c r="C2152" s="47"/>
      <c r="D2152" s="47"/>
    </row>
    <row r="2153" spans="2:4" x14ac:dyDescent="0.2">
      <c r="B2153" s="47"/>
      <c r="C2153" s="47"/>
      <c r="D2153" s="47"/>
    </row>
    <row r="2154" spans="2:4" x14ac:dyDescent="0.2">
      <c r="B2154" s="47"/>
      <c r="C2154" s="47"/>
      <c r="D2154" s="47"/>
    </row>
    <row r="2155" spans="2:4" x14ac:dyDescent="0.2">
      <c r="B2155" s="47"/>
      <c r="C2155" s="47"/>
      <c r="D2155" s="47"/>
    </row>
    <row r="2156" spans="2:4" x14ac:dyDescent="0.2">
      <c r="B2156" s="47"/>
      <c r="C2156" s="47"/>
      <c r="D2156" s="47"/>
    </row>
    <row r="2157" spans="2:4" x14ac:dyDescent="0.2">
      <c r="B2157" s="47"/>
      <c r="C2157" s="47"/>
      <c r="D2157" s="47"/>
    </row>
    <row r="2158" spans="2:4" x14ac:dyDescent="0.2">
      <c r="B2158" s="47"/>
      <c r="C2158" s="47"/>
      <c r="D2158" s="47"/>
    </row>
    <row r="2159" spans="2:4" x14ac:dyDescent="0.2">
      <c r="B2159" s="47"/>
      <c r="C2159" s="47"/>
      <c r="D2159" s="47"/>
    </row>
    <row r="2160" spans="2:4" x14ac:dyDescent="0.2">
      <c r="B2160" s="47"/>
      <c r="C2160" s="47"/>
      <c r="D2160" s="47"/>
    </row>
    <row r="2161" spans="2:4" x14ac:dyDescent="0.2">
      <c r="B2161" s="47"/>
      <c r="C2161" s="47"/>
      <c r="D2161" s="47"/>
    </row>
    <row r="2162" spans="2:4" x14ac:dyDescent="0.2">
      <c r="B2162" s="47"/>
      <c r="C2162" s="47"/>
      <c r="D2162" s="47"/>
    </row>
    <row r="2163" spans="2:4" x14ac:dyDescent="0.2">
      <c r="B2163" s="47"/>
      <c r="C2163" s="47"/>
      <c r="D2163" s="47"/>
    </row>
    <row r="2164" spans="2:4" x14ac:dyDescent="0.2">
      <c r="B2164" s="47"/>
      <c r="C2164" s="47"/>
      <c r="D2164" s="47"/>
    </row>
    <row r="2165" spans="2:4" x14ac:dyDescent="0.2">
      <c r="B2165" s="47"/>
      <c r="C2165" s="47"/>
      <c r="D2165" s="47"/>
    </row>
    <row r="2166" spans="2:4" x14ac:dyDescent="0.2">
      <c r="B2166" s="47"/>
      <c r="C2166" s="47"/>
      <c r="D2166" s="47"/>
    </row>
    <row r="2167" spans="2:4" x14ac:dyDescent="0.2">
      <c r="B2167" s="47"/>
      <c r="C2167" s="47"/>
      <c r="D2167" s="47"/>
    </row>
    <row r="2168" spans="2:4" x14ac:dyDescent="0.2">
      <c r="B2168" s="47"/>
      <c r="C2168" s="47"/>
      <c r="D2168" s="47"/>
    </row>
    <row r="2169" spans="2:4" x14ac:dyDescent="0.2">
      <c r="B2169" s="47"/>
      <c r="C2169" s="47"/>
      <c r="D2169" s="47"/>
    </row>
    <row r="2170" spans="2:4" x14ac:dyDescent="0.2">
      <c r="B2170" s="47"/>
      <c r="C2170" s="47"/>
      <c r="D2170" s="47"/>
    </row>
    <row r="2171" spans="2:4" x14ac:dyDescent="0.2">
      <c r="B2171" s="47"/>
      <c r="C2171" s="47"/>
      <c r="D2171" s="47"/>
    </row>
    <row r="2172" spans="2:4" x14ac:dyDescent="0.2">
      <c r="B2172" s="47"/>
      <c r="C2172" s="47"/>
      <c r="D2172" s="47"/>
    </row>
    <row r="2173" spans="2:4" x14ac:dyDescent="0.2">
      <c r="B2173" s="47"/>
      <c r="C2173" s="47"/>
      <c r="D2173" s="47"/>
    </row>
    <row r="2174" spans="2:4" x14ac:dyDescent="0.2">
      <c r="B2174" s="47"/>
      <c r="C2174" s="47"/>
      <c r="D2174" s="47"/>
    </row>
    <row r="2175" spans="2:4" x14ac:dyDescent="0.2">
      <c r="B2175" s="47"/>
      <c r="C2175" s="47"/>
      <c r="D2175" s="47"/>
    </row>
    <row r="2176" spans="2:4" x14ac:dyDescent="0.2">
      <c r="B2176" s="47"/>
      <c r="C2176" s="47"/>
      <c r="D2176" s="47"/>
    </row>
    <row r="2177" spans="2:4" x14ac:dyDescent="0.2">
      <c r="B2177" s="47"/>
      <c r="C2177" s="47"/>
      <c r="D2177" s="47"/>
    </row>
    <row r="2178" spans="2:4" x14ac:dyDescent="0.2">
      <c r="B2178" s="47"/>
      <c r="C2178" s="47"/>
      <c r="D2178" s="47"/>
    </row>
    <row r="2179" spans="2:4" x14ac:dyDescent="0.2">
      <c r="B2179" s="47"/>
      <c r="C2179" s="47"/>
      <c r="D2179" s="47"/>
    </row>
    <row r="2180" spans="2:4" x14ac:dyDescent="0.2">
      <c r="B2180" s="47"/>
      <c r="C2180" s="47"/>
      <c r="D2180" s="47"/>
    </row>
    <row r="2181" spans="2:4" x14ac:dyDescent="0.2">
      <c r="B2181" s="47"/>
      <c r="C2181" s="47"/>
      <c r="D2181" s="47"/>
    </row>
    <row r="2182" spans="2:4" x14ac:dyDescent="0.2">
      <c r="B2182" s="47"/>
      <c r="C2182" s="47"/>
      <c r="D2182" s="47"/>
    </row>
    <row r="2183" spans="2:4" x14ac:dyDescent="0.2">
      <c r="B2183" s="47"/>
      <c r="C2183" s="47"/>
      <c r="D2183" s="47"/>
    </row>
    <row r="2184" spans="2:4" x14ac:dyDescent="0.2">
      <c r="B2184" s="47"/>
      <c r="C2184" s="47"/>
      <c r="D2184" s="47"/>
    </row>
    <row r="2185" spans="2:4" x14ac:dyDescent="0.2">
      <c r="B2185" s="47"/>
      <c r="C2185" s="47"/>
      <c r="D2185" s="47"/>
    </row>
    <row r="2186" spans="2:4" x14ac:dyDescent="0.2">
      <c r="B2186" s="47"/>
      <c r="C2186" s="47"/>
      <c r="D2186" s="47"/>
    </row>
    <row r="2187" spans="2:4" x14ac:dyDescent="0.2">
      <c r="B2187" s="47"/>
      <c r="C2187" s="47"/>
      <c r="D2187" s="47"/>
    </row>
    <row r="2188" spans="2:4" x14ac:dyDescent="0.2">
      <c r="B2188" s="47"/>
      <c r="C2188" s="47"/>
      <c r="D2188" s="47"/>
    </row>
    <row r="2189" spans="2:4" x14ac:dyDescent="0.2">
      <c r="B2189" s="47"/>
      <c r="C2189" s="47"/>
      <c r="D2189" s="47"/>
    </row>
    <row r="2190" spans="2:4" x14ac:dyDescent="0.2">
      <c r="B2190" s="47"/>
      <c r="C2190" s="47"/>
      <c r="D2190" s="47"/>
    </row>
    <row r="2191" spans="2:4" x14ac:dyDescent="0.2">
      <c r="B2191" s="47"/>
      <c r="C2191" s="47"/>
      <c r="D2191" s="47"/>
    </row>
    <row r="2192" spans="2:4" x14ac:dyDescent="0.2">
      <c r="B2192" s="47"/>
      <c r="C2192" s="47"/>
      <c r="D2192" s="47"/>
    </row>
    <row r="2193" spans="2:4" x14ac:dyDescent="0.2">
      <c r="B2193" s="47"/>
      <c r="C2193" s="47"/>
      <c r="D2193" s="47"/>
    </row>
    <row r="2194" spans="2:4" x14ac:dyDescent="0.2">
      <c r="B2194" s="47"/>
      <c r="C2194" s="47"/>
      <c r="D2194" s="47"/>
    </row>
    <row r="2195" spans="2:4" x14ac:dyDescent="0.2">
      <c r="B2195" s="47"/>
      <c r="C2195" s="47"/>
      <c r="D2195" s="47"/>
    </row>
    <row r="2196" spans="2:4" x14ac:dyDescent="0.2">
      <c r="B2196" s="47"/>
      <c r="C2196" s="47"/>
      <c r="D2196" s="47"/>
    </row>
    <row r="2197" spans="2:4" x14ac:dyDescent="0.2">
      <c r="B2197" s="47"/>
      <c r="C2197" s="47"/>
      <c r="D2197" s="47"/>
    </row>
    <row r="2198" spans="2:4" x14ac:dyDescent="0.2">
      <c r="B2198" s="47"/>
      <c r="C2198" s="47"/>
      <c r="D2198" s="47"/>
    </row>
    <row r="2199" spans="2:4" x14ac:dyDescent="0.2">
      <c r="B2199" s="47"/>
      <c r="C2199" s="47"/>
      <c r="D2199" s="47"/>
    </row>
    <row r="2200" spans="2:4" x14ac:dyDescent="0.2">
      <c r="B2200" s="47"/>
      <c r="C2200" s="47"/>
      <c r="D2200" s="47"/>
    </row>
    <row r="2201" spans="2:4" x14ac:dyDescent="0.2">
      <c r="B2201" s="47"/>
      <c r="C2201" s="47"/>
      <c r="D2201" s="47"/>
    </row>
    <row r="2202" spans="2:4" x14ac:dyDescent="0.2">
      <c r="B2202" s="47"/>
      <c r="C2202" s="47"/>
      <c r="D2202" s="47"/>
    </row>
    <row r="2203" spans="2:4" x14ac:dyDescent="0.2">
      <c r="B2203" s="47"/>
      <c r="C2203" s="47"/>
      <c r="D2203" s="47"/>
    </row>
    <row r="2204" spans="2:4" x14ac:dyDescent="0.2">
      <c r="B2204" s="47"/>
      <c r="C2204" s="47"/>
      <c r="D2204" s="47"/>
    </row>
    <row r="2205" spans="2:4" x14ac:dyDescent="0.2">
      <c r="B2205" s="47"/>
      <c r="C2205" s="47"/>
      <c r="D2205" s="47"/>
    </row>
    <row r="2206" spans="2:4" x14ac:dyDescent="0.2">
      <c r="B2206" s="47"/>
      <c r="C2206" s="47"/>
      <c r="D2206" s="47"/>
    </row>
    <row r="2207" spans="2:4" x14ac:dyDescent="0.2">
      <c r="B2207" s="47"/>
      <c r="C2207" s="47"/>
      <c r="D2207" s="47"/>
    </row>
    <row r="2208" spans="2:4" x14ac:dyDescent="0.2">
      <c r="B2208" s="47"/>
      <c r="C2208" s="47"/>
      <c r="D2208" s="47"/>
    </row>
    <row r="2209" spans="2:4" x14ac:dyDescent="0.2">
      <c r="B2209" s="47"/>
      <c r="C2209" s="47"/>
      <c r="D2209" s="47"/>
    </row>
    <row r="2210" spans="2:4" x14ac:dyDescent="0.2">
      <c r="B2210" s="47"/>
      <c r="C2210" s="47"/>
      <c r="D2210" s="47"/>
    </row>
    <row r="2211" spans="2:4" x14ac:dyDescent="0.2">
      <c r="B2211" s="47"/>
      <c r="C2211" s="47"/>
      <c r="D2211" s="47"/>
    </row>
    <row r="2212" spans="2:4" x14ac:dyDescent="0.2">
      <c r="B2212" s="47"/>
      <c r="C2212" s="47"/>
      <c r="D2212" s="47"/>
    </row>
    <row r="2213" spans="2:4" x14ac:dyDescent="0.2">
      <c r="B2213" s="47"/>
      <c r="C2213" s="47"/>
      <c r="D2213" s="47"/>
    </row>
    <row r="2214" spans="2:4" x14ac:dyDescent="0.2">
      <c r="B2214" s="47"/>
      <c r="C2214" s="47"/>
      <c r="D2214" s="47"/>
    </row>
    <row r="2215" spans="2:4" x14ac:dyDescent="0.2">
      <c r="B2215" s="47"/>
      <c r="C2215" s="47"/>
      <c r="D2215" s="47"/>
    </row>
    <row r="2216" spans="2:4" x14ac:dyDescent="0.2">
      <c r="B2216" s="47"/>
      <c r="C2216" s="47"/>
      <c r="D2216" s="47"/>
    </row>
    <row r="2217" spans="2:4" x14ac:dyDescent="0.2">
      <c r="B2217" s="47"/>
      <c r="C2217" s="47"/>
      <c r="D2217" s="47"/>
    </row>
    <row r="2218" spans="2:4" x14ac:dyDescent="0.2">
      <c r="B2218" s="47"/>
      <c r="C2218" s="47"/>
      <c r="D2218" s="47"/>
    </row>
    <row r="2219" spans="2:4" x14ac:dyDescent="0.2">
      <c r="B2219" s="47"/>
      <c r="C2219" s="47"/>
      <c r="D2219" s="47"/>
    </row>
    <row r="2220" spans="2:4" x14ac:dyDescent="0.2">
      <c r="B2220" s="47"/>
      <c r="C2220" s="47"/>
      <c r="D2220" s="47"/>
    </row>
    <row r="2221" spans="2:4" x14ac:dyDescent="0.2">
      <c r="B2221" s="47"/>
      <c r="C2221" s="47"/>
      <c r="D2221" s="47"/>
    </row>
    <row r="2222" spans="2:4" x14ac:dyDescent="0.2">
      <c r="B2222" s="47"/>
      <c r="C2222" s="47"/>
      <c r="D2222" s="47"/>
    </row>
    <row r="2223" spans="2:4" x14ac:dyDescent="0.2">
      <c r="B2223" s="47"/>
      <c r="C2223" s="47"/>
      <c r="D2223" s="47"/>
    </row>
    <row r="2224" spans="2:4" x14ac:dyDescent="0.2">
      <c r="B2224" s="47"/>
      <c r="C2224" s="47"/>
      <c r="D2224" s="47"/>
    </row>
    <row r="2225" spans="2:4" x14ac:dyDescent="0.2">
      <c r="B2225" s="47"/>
      <c r="C2225" s="47"/>
      <c r="D2225" s="47"/>
    </row>
    <row r="2226" spans="2:4" x14ac:dyDescent="0.2">
      <c r="B2226" s="47"/>
      <c r="C2226" s="47"/>
      <c r="D2226" s="47"/>
    </row>
    <row r="2227" spans="2:4" x14ac:dyDescent="0.2">
      <c r="B2227" s="47"/>
      <c r="C2227" s="47"/>
      <c r="D2227" s="47"/>
    </row>
    <row r="2228" spans="2:4" x14ac:dyDescent="0.2">
      <c r="B2228" s="47"/>
      <c r="C2228" s="47"/>
      <c r="D2228" s="47"/>
    </row>
    <row r="2229" spans="2:4" x14ac:dyDescent="0.2">
      <c r="B2229" s="47"/>
      <c r="C2229" s="47"/>
      <c r="D2229" s="47"/>
    </row>
    <row r="2230" spans="2:4" x14ac:dyDescent="0.2">
      <c r="B2230" s="47"/>
      <c r="C2230" s="47"/>
      <c r="D2230" s="47"/>
    </row>
    <row r="2231" spans="2:4" x14ac:dyDescent="0.2">
      <c r="B2231" s="47"/>
      <c r="C2231" s="47"/>
      <c r="D2231" s="47"/>
    </row>
    <row r="2232" spans="2:4" x14ac:dyDescent="0.2">
      <c r="B2232" s="47"/>
      <c r="C2232" s="47"/>
      <c r="D2232" s="47"/>
    </row>
    <row r="2233" spans="2:4" x14ac:dyDescent="0.2">
      <c r="B2233" s="47"/>
      <c r="C2233" s="47"/>
      <c r="D2233" s="47"/>
    </row>
    <row r="2234" spans="2:4" x14ac:dyDescent="0.2">
      <c r="B2234" s="47"/>
      <c r="C2234" s="47"/>
      <c r="D2234" s="47"/>
    </row>
    <row r="2235" spans="2:4" x14ac:dyDescent="0.2">
      <c r="B2235" s="47"/>
      <c r="C2235" s="47"/>
      <c r="D2235" s="47"/>
    </row>
    <row r="2236" spans="2:4" x14ac:dyDescent="0.2">
      <c r="B2236" s="47"/>
      <c r="C2236" s="47"/>
      <c r="D2236" s="47"/>
    </row>
    <row r="2237" spans="2:4" x14ac:dyDescent="0.2">
      <c r="B2237" s="47"/>
      <c r="C2237" s="47"/>
      <c r="D2237" s="47"/>
    </row>
    <row r="2238" spans="2:4" x14ac:dyDescent="0.2">
      <c r="B2238" s="47"/>
      <c r="C2238" s="47"/>
      <c r="D2238" s="47"/>
    </row>
    <row r="2239" spans="2:4" x14ac:dyDescent="0.2">
      <c r="B2239" s="47"/>
      <c r="C2239" s="47"/>
      <c r="D2239" s="47"/>
    </row>
    <row r="2240" spans="2:4" x14ac:dyDescent="0.2">
      <c r="B2240" s="47"/>
      <c r="C2240" s="47"/>
      <c r="D2240" s="47"/>
    </row>
    <row r="2241" spans="2:4" x14ac:dyDescent="0.2">
      <c r="B2241" s="47"/>
      <c r="C2241" s="47"/>
      <c r="D2241" s="47"/>
    </row>
    <row r="2242" spans="2:4" x14ac:dyDescent="0.2">
      <c r="B2242" s="47"/>
      <c r="C2242" s="47"/>
      <c r="D2242" s="47"/>
    </row>
    <row r="2243" spans="2:4" x14ac:dyDescent="0.2">
      <c r="B2243" s="47"/>
      <c r="C2243" s="47"/>
      <c r="D2243" s="47"/>
    </row>
    <row r="2244" spans="2:4" x14ac:dyDescent="0.2">
      <c r="B2244" s="47"/>
      <c r="C2244" s="47"/>
      <c r="D2244" s="47"/>
    </row>
    <row r="2245" spans="2:4" x14ac:dyDescent="0.2">
      <c r="B2245" s="47"/>
      <c r="C2245" s="47"/>
      <c r="D2245" s="47"/>
    </row>
    <row r="2246" spans="2:4" x14ac:dyDescent="0.2">
      <c r="B2246" s="47"/>
      <c r="C2246" s="47"/>
      <c r="D2246" s="47"/>
    </row>
    <row r="2247" spans="2:4" x14ac:dyDescent="0.2">
      <c r="B2247" s="47"/>
      <c r="C2247" s="47"/>
      <c r="D2247" s="47"/>
    </row>
    <row r="2248" spans="2:4" x14ac:dyDescent="0.2">
      <c r="B2248" s="47"/>
      <c r="C2248" s="47"/>
      <c r="D2248" s="47"/>
    </row>
    <row r="2249" spans="2:4" x14ac:dyDescent="0.2">
      <c r="B2249" s="47"/>
      <c r="C2249" s="47"/>
      <c r="D2249" s="47"/>
    </row>
    <row r="2250" spans="2:4" x14ac:dyDescent="0.2">
      <c r="B2250" s="47"/>
      <c r="C2250" s="47"/>
      <c r="D2250" s="47"/>
    </row>
    <row r="2251" spans="2:4" x14ac:dyDescent="0.2">
      <c r="B2251" s="47"/>
      <c r="C2251" s="47"/>
      <c r="D2251" s="47"/>
    </row>
    <row r="2252" spans="2:4" x14ac:dyDescent="0.2">
      <c r="B2252" s="47"/>
      <c r="C2252" s="47"/>
      <c r="D2252" s="47"/>
    </row>
    <row r="2253" spans="2:4" x14ac:dyDescent="0.2">
      <c r="B2253" s="47"/>
      <c r="C2253" s="47"/>
      <c r="D2253" s="47"/>
    </row>
    <row r="2254" spans="2:4" x14ac:dyDescent="0.2">
      <c r="B2254" s="47"/>
      <c r="C2254" s="47"/>
      <c r="D2254" s="47"/>
    </row>
    <row r="2255" spans="2:4" x14ac:dyDescent="0.2">
      <c r="B2255" s="47"/>
      <c r="C2255" s="47"/>
      <c r="D2255" s="47"/>
    </row>
    <row r="2256" spans="2:4" x14ac:dyDescent="0.2">
      <c r="B2256" s="47"/>
      <c r="C2256" s="47"/>
      <c r="D2256" s="47"/>
    </row>
    <row r="2257" spans="2:4" x14ac:dyDescent="0.2">
      <c r="B2257" s="47"/>
      <c r="C2257" s="47"/>
      <c r="D2257" s="47"/>
    </row>
    <row r="2258" spans="2:4" x14ac:dyDescent="0.2">
      <c r="B2258" s="47"/>
      <c r="C2258" s="47"/>
      <c r="D2258" s="47"/>
    </row>
    <row r="2259" spans="2:4" x14ac:dyDescent="0.2">
      <c r="B2259" s="47"/>
      <c r="C2259" s="47"/>
      <c r="D2259" s="47"/>
    </row>
    <row r="2260" spans="2:4" x14ac:dyDescent="0.2">
      <c r="B2260" s="47"/>
      <c r="C2260" s="47"/>
      <c r="D2260" s="47"/>
    </row>
    <row r="2261" spans="2:4" x14ac:dyDescent="0.2">
      <c r="B2261" s="47"/>
      <c r="C2261" s="47"/>
      <c r="D2261" s="47"/>
    </row>
    <row r="2262" spans="2:4" x14ac:dyDescent="0.2">
      <c r="B2262" s="47"/>
      <c r="C2262" s="47"/>
      <c r="D2262" s="47"/>
    </row>
    <row r="2263" spans="2:4" x14ac:dyDescent="0.2">
      <c r="B2263" s="47"/>
      <c r="C2263" s="47"/>
      <c r="D2263" s="47"/>
    </row>
    <row r="2264" spans="2:4" x14ac:dyDescent="0.2">
      <c r="B2264" s="47"/>
      <c r="C2264" s="47"/>
      <c r="D2264" s="47"/>
    </row>
    <row r="2265" spans="2:4" x14ac:dyDescent="0.2">
      <c r="B2265" s="47"/>
      <c r="C2265" s="47"/>
      <c r="D2265" s="47"/>
    </row>
    <row r="2266" spans="2:4" x14ac:dyDescent="0.2">
      <c r="B2266" s="47"/>
      <c r="C2266" s="47"/>
      <c r="D2266" s="47"/>
    </row>
    <row r="2267" spans="2:4" x14ac:dyDescent="0.2">
      <c r="B2267" s="47"/>
      <c r="C2267" s="47"/>
      <c r="D2267" s="47"/>
    </row>
    <row r="2268" spans="2:4" x14ac:dyDescent="0.2">
      <c r="B2268" s="47"/>
      <c r="C2268" s="47"/>
      <c r="D2268" s="47"/>
    </row>
    <row r="2269" spans="2:4" x14ac:dyDescent="0.2">
      <c r="B2269" s="47"/>
      <c r="C2269" s="47"/>
      <c r="D2269" s="47"/>
    </row>
    <row r="2270" spans="2:4" x14ac:dyDescent="0.2">
      <c r="B2270" s="47"/>
      <c r="C2270" s="47"/>
      <c r="D2270" s="47"/>
    </row>
    <row r="2271" spans="2:4" x14ac:dyDescent="0.2">
      <c r="B2271" s="47"/>
      <c r="C2271" s="47"/>
      <c r="D2271" s="47"/>
    </row>
    <row r="2272" spans="2:4" x14ac:dyDescent="0.2">
      <c r="B2272" s="47"/>
      <c r="C2272" s="47"/>
      <c r="D2272" s="47"/>
    </row>
    <row r="2273" spans="2:4" x14ac:dyDescent="0.2">
      <c r="B2273" s="47"/>
      <c r="C2273" s="47"/>
      <c r="D2273" s="47"/>
    </row>
    <row r="2274" spans="2:4" x14ac:dyDescent="0.2">
      <c r="B2274" s="47"/>
      <c r="C2274" s="47"/>
      <c r="D2274" s="47"/>
    </row>
    <row r="2275" spans="2:4" x14ac:dyDescent="0.2">
      <c r="B2275" s="47"/>
      <c r="C2275" s="47"/>
      <c r="D2275" s="47"/>
    </row>
    <row r="2276" spans="2:4" x14ac:dyDescent="0.2">
      <c r="B2276" s="47"/>
      <c r="C2276" s="47"/>
      <c r="D2276" s="47"/>
    </row>
    <row r="2277" spans="2:4" x14ac:dyDescent="0.2">
      <c r="B2277" s="47"/>
      <c r="C2277" s="47"/>
      <c r="D2277" s="47"/>
    </row>
    <row r="2278" spans="2:4" x14ac:dyDescent="0.2">
      <c r="B2278" s="47"/>
      <c r="C2278" s="47"/>
      <c r="D2278" s="47"/>
    </row>
    <row r="2279" spans="2:4" x14ac:dyDescent="0.2">
      <c r="B2279" s="47"/>
      <c r="C2279" s="47"/>
      <c r="D2279" s="47"/>
    </row>
    <row r="2280" spans="2:4" x14ac:dyDescent="0.2">
      <c r="B2280" s="47"/>
      <c r="C2280" s="47"/>
      <c r="D2280" s="47"/>
    </row>
    <row r="2281" spans="2:4" x14ac:dyDescent="0.2">
      <c r="B2281" s="47"/>
      <c r="C2281" s="47"/>
      <c r="D2281" s="47"/>
    </row>
    <row r="2282" spans="2:4" x14ac:dyDescent="0.2">
      <c r="B2282" s="47"/>
      <c r="C2282" s="47"/>
      <c r="D2282" s="47"/>
    </row>
    <row r="2283" spans="2:4" x14ac:dyDescent="0.2">
      <c r="B2283" s="47"/>
      <c r="C2283" s="47"/>
      <c r="D2283" s="47"/>
    </row>
    <row r="2284" spans="2:4" x14ac:dyDescent="0.2">
      <c r="B2284" s="47"/>
      <c r="C2284" s="47"/>
      <c r="D2284" s="47"/>
    </row>
    <row r="2285" spans="2:4" x14ac:dyDescent="0.2">
      <c r="B2285" s="47"/>
      <c r="C2285" s="47"/>
      <c r="D2285" s="47"/>
    </row>
    <row r="2286" spans="2:4" x14ac:dyDescent="0.2">
      <c r="B2286" s="47"/>
      <c r="C2286" s="47"/>
      <c r="D2286" s="47"/>
    </row>
    <row r="2287" spans="2:4" x14ac:dyDescent="0.2">
      <c r="B2287" s="47"/>
      <c r="C2287" s="47"/>
      <c r="D2287" s="47"/>
    </row>
    <row r="2288" spans="2:4" x14ac:dyDescent="0.2">
      <c r="B2288" s="47"/>
      <c r="C2288" s="47"/>
      <c r="D2288" s="47"/>
    </row>
    <row r="2289" spans="2:4" x14ac:dyDescent="0.2">
      <c r="B2289" s="47"/>
      <c r="C2289" s="47"/>
      <c r="D2289" s="47"/>
    </row>
    <row r="2290" spans="2:4" x14ac:dyDescent="0.2">
      <c r="B2290" s="47"/>
      <c r="C2290" s="47"/>
      <c r="D2290" s="47"/>
    </row>
    <row r="2291" spans="2:4" x14ac:dyDescent="0.2">
      <c r="B2291" s="47"/>
      <c r="C2291" s="47"/>
      <c r="D2291" s="47"/>
    </row>
    <row r="2292" spans="2:4" x14ac:dyDescent="0.2">
      <c r="B2292" s="47"/>
      <c r="C2292" s="47"/>
      <c r="D2292" s="47"/>
    </row>
    <row r="2293" spans="2:4" x14ac:dyDescent="0.2">
      <c r="B2293" s="47"/>
      <c r="C2293" s="47"/>
      <c r="D2293" s="47"/>
    </row>
    <row r="2294" spans="2:4" x14ac:dyDescent="0.2">
      <c r="B2294" s="47"/>
      <c r="C2294" s="47"/>
      <c r="D2294" s="47"/>
    </row>
    <row r="2295" spans="2:4" x14ac:dyDescent="0.2">
      <c r="B2295" s="47"/>
      <c r="C2295" s="47"/>
      <c r="D2295" s="47"/>
    </row>
    <row r="2296" spans="2:4" x14ac:dyDescent="0.2">
      <c r="B2296" s="47"/>
      <c r="C2296" s="47"/>
      <c r="D2296" s="47"/>
    </row>
    <row r="2297" spans="2:4" x14ac:dyDescent="0.2">
      <c r="B2297" s="47"/>
      <c r="C2297" s="47"/>
      <c r="D2297" s="47"/>
    </row>
    <row r="2298" spans="2:4" x14ac:dyDescent="0.2">
      <c r="B2298" s="47"/>
      <c r="C2298" s="47"/>
      <c r="D2298" s="47"/>
    </row>
    <row r="2299" spans="2:4" x14ac:dyDescent="0.2">
      <c r="B2299" s="47"/>
      <c r="C2299" s="47"/>
      <c r="D2299" s="47"/>
    </row>
    <row r="2300" spans="2:4" x14ac:dyDescent="0.2">
      <c r="B2300" s="47"/>
      <c r="C2300" s="47"/>
      <c r="D2300" s="47"/>
    </row>
    <row r="2301" spans="2:4" x14ac:dyDescent="0.2">
      <c r="B2301" s="47"/>
      <c r="C2301" s="47"/>
      <c r="D2301" s="47"/>
    </row>
    <row r="2302" spans="2:4" x14ac:dyDescent="0.2">
      <c r="B2302" s="47"/>
      <c r="C2302" s="47"/>
      <c r="D2302" s="47"/>
    </row>
    <row r="2303" spans="2:4" x14ac:dyDescent="0.2">
      <c r="B2303" s="47"/>
      <c r="C2303" s="47"/>
      <c r="D2303" s="47"/>
    </row>
    <row r="2304" spans="2:4" x14ac:dyDescent="0.2">
      <c r="B2304" s="47"/>
      <c r="C2304" s="47"/>
      <c r="D2304" s="47"/>
    </row>
    <row r="2305" spans="2:4" x14ac:dyDescent="0.2">
      <c r="B2305" s="47"/>
      <c r="C2305" s="47"/>
      <c r="D2305" s="47"/>
    </row>
    <row r="2306" spans="2:4" x14ac:dyDescent="0.2">
      <c r="B2306" s="47"/>
      <c r="C2306" s="47"/>
      <c r="D2306" s="47"/>
    </row>
    <row r="2307" spans="2:4" x14ac:dyDescent="0.2">
      <c r="B2307" s="47"/>
      <c r="C2307" s="47"/>
      <c r="D2307" s="47"/>
    </row>
    <row r="2308" spans="2:4" x14ac:dyDescent="0.2">
      <c r="B2308" s="47"/>
      <c r="C2308" s="47"/>
      <c r="D2308" s="47"/>
    </row>
    <row r="2309" spans="2:4" x14ac:dyDescent="0.2">
      <c r="B2309" s="47"/>
      <c r="C2309" s="47"/>
      <c r="D2309" s="47"/>
    </row>
    <row r="2310" spans="2:4" x14ac:dyDescent="0.2">
      <c r="B2310" s="47"/>
      <c r="C2310" s="47"/>
      <c r="D2310" s="47"/>
    </row>
    <row r="2311" spans="2:4" x14ac:dyDescent="0.2">
      <c r="B2311" s="47"/>
      <c r="C2311" s="47"/>
      <c r="D2311" s="47"/>
    </row>
    <row r="2312" spans="2:4" x14ac:dyDescent="0.2">
      <c r="B2312" s="47"/>
      <c r="C2312" s="47"/>
      <c r="D2312" s="47"/>
    </row>
    <row r="2313" spans="2:4" x14ac:dyDescent="0.2">
      <c r="B2313" s="47"/>
      <c r="C2313" s="47"/>
      <c r="D2313" s="47"/>
    </row>
    <row r="2314" spans="2:4" x14ac:dyDescent="0.2">
      <c r="B2314" s="47"/>
      <c r="C2314" s="47"/>
      <c r="D2314" s="47"/>
    </row>
    <row r="2315" spans="2:4" x14ac:dyDescent="0.2">
      <c r="B2315" s="47"/>
      <c r="C2315" s="47"/>
      <c r="D2315" s="47"/>
    </row>
    <row r="2316" spans="2:4" x14ac:dyDescent="0.2">
      <c r="B2316" s="47"/>
      <c r="C2316" s="47"/>
      <c r="D2316" s="47"/>
    </row>
    <row r="2317" spans="2:4" x14ac:dyDescent="0.2">
      <c r="B2317" s="47"/>
      <c r="C2317" s="47"/>
      <c r="D2317" s="47"/>
    </row>
    <row r="2318" spans="2:4" x14ac:dyDescent="0.2">
      <c r="B2318" s="47"/>
      <c r="C2318" s="47"/>
      <c r="D2318" s="47"/>
    </row>
    <row r="2319" spans="2:4" x14ac:dyDescent="0.2">
      <c r="B2319" s="47"/>
      <c r="C2319" s="47"/>
      <c r="D2319" s="47"/>
    </row>
    <row r="2320" spans="2:4" x14ac:dyDescent="0.2">
      <c r="B2320" s="47"/>
      <c r="C2320" s="47"/>
      <c r="D2320" s="47"/>
    </row>
    <row r="2321" spans="2:4" x14ac:dyDescent="0.2">
      <c r="B2321" s="47"/>
      <c r="C2321" s="47"/>
      <c r="D2321" s="47"/>
    </row>
    <row r="2322" spans="2:4" x14ac:dyDescent="0.2">
      <c r="B2322" s="47"/>
      <c r="C2322" s="47"/>
      <c r="D2322" s="47"/>
    </row>
    <row r="2323" spans="2:4" x14ac:dyDescent="0.2">
      <c r="B2323" s="47"/>
      <c r="C2323" s="47"/>
      <c r="D2323" s="47"/>
    </row>
    <row r="2324" spans="2:4" x14ac:dyDescent="0.2">
      <c r="B2324" s="47"/>
      <c r="C2324" s="47"/>
      <c r="D2324" s="47"/>
    </row>
    <row r="2325" spans="2:4" x14ac:dyDescent="0.2">
      <c r="B2325" s="47"/>
      <c r="C2325" s="47"/>
      <c r="D2325" s="47"/>
    </row>
    <row r="2326" spans="2:4" x14ac:dyDescent="0.2">
      <c r="B2326" s="47"/>
      <c r="C2326" s="47"/>
      <c r="D2326" s="47"/>
    </row>
    <row r="2327" spans="2:4" x14ac:dyDescent="0.2">
      <c r="B2327" s="47"/>
      <c r="C2327" s="47"/>
      <c r="D2327" s="47"/>
    </row>
    <row r="2328" spans="2:4" x14ac:dyDescent="0.2">
      <c r="B2328" s="47"/>
      <c r="C2328" s="47"/>
      <c r="D2328" s="47"/>
    </row>
    <row r="2329" spans="2:4" x14ac:dyDescent="0.2">
      <c r="B2329" s="47"/>
      <c r="C2329" s="47"/>
      <c r="D2329" s="47"/>
    </row>
    <row r="2330" spans="2:4" x14ac:dyDescent="0.2">
      <c r="B2330" s="47"/>
      <c r="C2330" s="47"/>
      <c r="D2330" s="47"/>
    </row>
    <row r="2331" spans="2:4" x14ac:dyDescent="0.2">
      <c r="B2331" s="47"/>
      <c r="C2331" s="47"/>
      <c r="D2331" s="47"/>
    </row>
    <row r="2332" spans="2:4" x14ac:dyDescent="0.2">
      <c r="B2332" s="47"/>
      <c r="C2332" s="47"/>
      <c r="D2332" s="47"/>
    </row>
    <row r="2333" spans="2:4" x14ac:dyDescent="0.2">
      <c r="B2333" s="47"/>
      <c r="C2333" s="47"/>
      <c r="D2333" s="47"/>
    </row>
    <row r="2334" spans="2:4" x14ac:dyDescent="0.2">
      <c r="B2334" s="47"/>
      <c r="C2334" s="47"/>
      <c r="D2334" s="47"/>
    </row>
    <row r="2335" spans="2:4" x14ac:dyDescent="0.2">
      <c r="B2335" s="47"/>
      <c r="C2335" s="47"/>
      <c r="D2335" s="47"/>
    </row>
    <row r="2336" spans="2:4" x14ac:dyDescent="0.2">
      <c r="B2336" s="47"/>
      <c r="C2336" s="47"/>
      <c r="D2336" s="47"/>
    </row>
    <row r="2337" spans="2:4" x14ac:dyDescent="0.2">
      <c r="B2337" s="47"/>
      <c r="C2337" s="47"/>
      <c r="D2337" s="47"/>
    </row>
    <row r="2338" spans="2:4" x14ac:dyDescent="0.2">
      <c r="B2338" s="47"/>
      <c r="C2338" s="47"/>
      <c r="D2338" s="47"/>
    </row>
    <row r="2339" spans="2:4" x14ac:dyDescent="0.2">
      <c r="B2339" s="47"/>
      <c r="C2339" s="47"/>
      <c r="D2339" s="47"/>
    </row>
    <row r="2340" spans="2:4" x14ac:dyDescent="0.2">
      <c r="B2340" s="47"/>
      <c r="C2340" s="47"/>
      <c r="D2340" s="47"/>
    </row>
    <row r="2341" spans="2:4" x14ac:dyDescent="0.2">
      <c r="B2341" s="47"/>
      <c r="C2341" s="47"/>
      <c r="D2341" s="47"/>
    </row>
    <row r="2342" spans="2:4" x14ac:dyDescent="0.2">
      <c r="B2342" s="47"/>
      <c r="C2342" s="47"/>
      <c r="D2342" s="47"/>
    </row>
    <row r="2343" spans="2:4" x14ac:dyDescent="0.2">
      <c r="B2343" s="47"/>
      <c r="C2343" s="47"/>
      <c r="D2343" s="47"/>
    </row>
    <row r="2344" spans="2:4" x14ac:dyDescent="0.2">
      <c r="B2344" s="47"/>
      <c r="C2344" s="47"/>
      <c r="D2344" s="47"/>
    </row>
    <row r="2345" spans="2:4" x14ac:dyDescent="0.2">
      <c r="B2345" s="47"/>
      <c r="C2345" s="47"/>
      <c r="D2345" s="47"/>
    </row>
    <row r="2346" spans="2:4" x14ac:dyDescent="0.2">
      <c r="B2346" s="47"/>
      <c r="C2346" s="47"/>
      <c r="D2346" s="47"/>
    </row>
    <row r="2347" spans="2:4" x14ac:dyDescent="0.2">
      <c r="B2347" s="47"/>
      <c r="C2347" s="47"/>
      <c r="D2347" s="47"/>
    </row>
    <row r="2348" spans="2:4" x14ac:dyDescent="0.2">
      <c r="B2348" s="47"/>
      <c r="C2348" s="47"/>
      <c r="D2348" s="47"/>
    </row>
    <row r="2349" spans="2:4" x14ac:dyDescent="0.2">
      <c r="B2349" s="47"/>
      <c r="C2349" s="47"/>
      <c r="D2349" s="47"/>
    </row>
    <row r="2350" spans="2:4" x14ac:dyDescent="0.2">
      <c r="B2350" s="47"/>
      <c r="C2350" s="47"/>
      <c r="D2350" s="47"/>
    </row>
    <row r="2351" spans="2:4" x14ac:dyDescent="0.2">
      <c r="B2351" s="47"/>
      <c r="C2351" s="47"/>
      <c r="D2351" s="47"/>
    </row>
    <row r="2352" spans="2:4" x14ac:dyDescent="0.2">
      <c r="B2352" s="47"/>
      <c r="C2352" s="47"/>
      <c r="D2352" s="47"/>
    </row>
    <row r="2353" spans="2:4" x14ac:dyDescent="0.2">
      <c r="B2353" s="47"/>
      <c r="C2353" s="47"/>
      <c r="D2353" s="47"/>
    </row>
    <row r="2354" spans="2:4" x14ac:dyDescent="0.2">
      <c r="B2354" s="47"/>
      <c r="C2354" s="47"/>
      <c r="D2354" s="47"/>
    </row>
    <row r="2355" spans="2:4" x14ac:dyDescent="0.2">
      <c r="B2355" s="47"/>
      <c r="C2355" s="47"/>
      <c r="D2355" s="47"/>
    </row>
    <row r="2356" spans="2:4" x14ac:dyDescent="0.2">
      <c r="B2356" s="47"/>
      <c r="C2356" s="47"/>
      <c r="D2356" s="47"/>
    </row>
    <row r="2357" spans="2:4" x14ac:dyDescent="0.2">
      <c r="B2357" s="47"/>
      <c r="C2357" s="47"/>
      <c r="D2357" s="47"/>
    </row>
    <row r="2358" spans="2:4" x14ac:dyDescent="0.2">
      <c r="B2358" s="47"/>
      <c r="C2358" s="47"/>
      <c r="D2358" s="47"/>
    </row>
    <row r="2359" spans="2:4" x14ac:dyDescent="0.2">
      <c r="B2359" s="47"/>
      <c r="C2359" s="47"/>
      <c r="D2359" s="47"/>
    </row>
    <row r="2360" spans="2:4" x14ac:dyDescent="0.2">
      <c r="B2360" s="47"/>
      <c r="C2360" s="47"/>
      <c r="D2360" s="47"/>
    </row>
    <row r="2361" spans="2:4" x14ac:dyDescent="0.2">
      <c r="B2361" s="47"/>
      <c r="C2361" s="47"/>
      <c r="D2361" s="47"/>
    </row>
    <row r="2362" spans="2:4" x14ac:dyDescent="0.2">
      <c r="B2362" s="47"/>
      <c r="C2362" s="47"/>
      <c r="D2362" s="47"/>
    </row>
    <row r="2363" spans="2:4" x14ac:dyDescent="0.2">
      <c r="B2363" s="47"/>
      <c r="C2363" s="47"/>
      <c r="D2363" s="47"/>
    </row>
    <row r="2364" spans="2:4" x14ac:dyDescent="0.2">
      <c r="B2364" s="47"/>
      <c r="C2364" s="47"/>
      <c r="D2364" s="47"/>
    </row>
    <row r="2365" spans="2:4" x14ac:dyDescent="0.2">
      <c r="B2365" s="47"/>
      <c r="C2365" s="47"/>
      <c r="D2365" s="47"/>
    </row>
    <row r="2366" spans="2:4" x14ac:dyDescent="0.2">
      <c r="B2366" s="47"/>
      <c r="C2366" s="47"/>
      <c r="D2366" s="47"/>
    </row>
    <row r="2367" spans="2:4" x14ac:dyDescent="0.2">
      <c r="B2367" s="47"/>
      <c r="C2367" s="47"/>
      <c r="D2367" s="47"/>
    </row>
    <row r="2368" spans="2:4" x14ac:dyDescent="0.2">
      <c r="B2368" s="47"/>
      <c r="C2368" s="47"/>
      <c r="D2368" s="47"/>
    </row>
    <row r="2369" spans="2:4" x14ac:dyDescent="0.2">
      <c r="B2369" s="47"/>
      <c r="C2369" s="47"/>
      <c r="D2369" s="47"/>
    </row>
    <row r="2370" spans="2:4" x14ac:dyDescent="0.2">
      <c r="B2370" s="47"/>
      <c r="C2370" s="47"/>
      <c r="D2370" s="47"/>
    </row>
    <row r="2371" spans="2:4" x14ac:dyDescent="0.2">
      <c r="B2371" s="47"/>
      <c r="C2371" s="47"/>
      <c r="D2371" s="47"/>
    </row>
    <row r="2372" spans="2:4" x14ac:dyDescent="0.2">
      <c r="B2372" s="47"/>
      <c r="C2372" s="47"/>
      <c r="D2372" s="47"/>
    </row>
    <row r="2373" spans="2:4" x14ac:dyDescent="0.2">
      <c r="B2373" s="47"/>
      <c r="C2373" s="47"/>
      <c r="D2373" s="47"/>
    </row>
    <row r="2374" spans="2:4" x14ac:dyDescent="0.2">
      <c r="B2374" s="47"/>
      <c r="C2374" s="47"/>
      <c r="D2374" s="47"/>
    </row>
    <row r="2375" spans="2:4" x14ac:dyDescent="0.2">
      <c r="B2375" s="47"/>
      <c r="C2375" s="47"/>
      <c r="D2375" s="47"/>
    </row>
    <row r="2376" spans="2:4" x14ac:dyDescent="0.2">
      <c r="B2376" s="47"/>
      <c r="C2376" s="47"/>
      <c r="D2376" s="47"/>
    </row>
    <row r="2377" spans="2:4" x14ac:dyDescent="0.2">
      <c r="B2377" s="47"/>
      <c r="C2377" s="47"/>
      <c r="D2377" s="47"/>
    </row>
    <row r="2378" spans="2:4" x14ac:dyDescent="0.2">
      <c r="B2378" s="47"/>
      <c r="C2378" s="47"/>
      <c r="D2378" s="47"/>
    </row>
    <row r="2379" spans="2:4" x14ac:dyDescent="0.2">
      <c r="B2379" s="47"/>
      <c r="C2379" s="47"/>
      <c r="D2379" s="47"/>
    </row>
    <row r="2380" spans="2:4" x14ac:dyDescent="0.2">
      <c r="B2380" s="47"/>
      <c r="C2380" s="47"/>
      <c r="D2380" s="47"/>
    </row>
    <row r="2381" spans="2:4" x14ac:dyDescent="0.2">
      <c r="B2381" s="47"/>
      <c r="C2381" s="47"/>
      <c r="D2381" s="47"/>
    </row>
    <row r="2382" spans="2:4" x14ac:dyDescent="0.2">
      <c r="B2382" s="47"/>
      <c r="C2382" s="47"/>
      <c r="D2382" s="47"/>
    </row>
    <row r="2383" spans="2:4" x14ac:dyDescent="0.2">
      <c r="B2383" s="47"/>
      <c r="C2383" s="47"/>
      <c r="D2383" s="47"/>
    </row>
    <row r="2384" spans="2:4" x14ac:dyDescent="0.2">
      <c r="B2384" s="47"/>
      <c r="C2384" s="47"/>
      <c r="D2384" s="47"/>
    </row>
    <row r="2385" spans="2:4" x14ac:dyDescent="0.2">
      <c r="B2385" s="47"/>
      <c r="C2385" s="47"/>
      <c r="D2385" s="47"/>
    </row>
    <row r="2386" spans="2:4" x14ac:dyDescent="0.2">
      <c r="B2386" s="47"/>
      <c r="C2386" s="47"/>
      <c r="D2386" s="47"/>
    </row>
    <row r="2387" spans="2:4" x14ac:dyDescent="0.2">
      <c r="B2387" s="47"/>
      <c r="C2387" s="47"/>
      <c r="D2387" s="47"/>
    </row>
    <row r="2388" spans="2:4" x14ac:dyDescent="0.2">
      <c r="B2388" s="47"/>
      <c r="C2388" s="47"/>
      <c r="D2388" s="47"/>
    </row>
    <row r="2389" spans="2:4" x14ac:dyDescent="0.2">
      <c r="B2389" s="47"/>
      <c r="C2389" s="47"/>
      <c r="D2389" s="47"/>
    </row>
    <row r="2390" spans="2:4" x14ac:dyDescent="0.2">
      <c r="B2390" s="47"/>
      <c r="C2390" s="47"/>
      <c r="D2390" s="47"/>
    </row>
    <row r="2391" spans="2:4" x14ac:dyDescent="0.2">
      <c r="B2391" s="47"/>
      <c r="C2391" s="47"/>
      <c r="D2391" s="47"/>
    </row>
    <row r="2392" spans="2:4" x14ac:dyDescent="0.2">
      <c r="B2392" s="47"/>
      <c r="C2392" s="47"/>
      <c r="D2392" s="47"/>
    </row>
    <row r="2393" spans="2:4" x14ac:dyDescent="0.2">
      <c r="B2393" s="47"/>
      <c r="C2393" s="47"/>
      <c r="D2393" s="47"/>
    </row>
    <row r="2394" spans="2:4" x14ac:dyDescent="0.2">
      <c r="B2394" s="47"/>
      <c r="C2394" s="47"/>
      <c r="D2394" s="47"/>
    </row>
    <row r="2395" spans="2:4" x14ac:dyDescent="0.2">
      <c r="B2395" s="47"/>
      <c r="C2395" s="47"/>
      <c r="D2395" s="47"/>
    </row>
    <row r="2396" spans="2:4" x14ac:dyDescent="0.2">
      <c r="B2396" s="47"/>
      <c r="C2396" s="47"/>
      <c r="D2396" s="47"/>
    </row>
    <row r="2397" spans="2:4" x14ac:dyDescent="0.2">
      <c r="B2397" s="47"/>
      <c r="C2397" s="47"/>
      <c r="D2397" s="47"/>
    </row>
    <row r="2398" spans="2:4" x14ac:dyDescent="0.2">
      <c r="B2398" s="47"/>
      <c r="C2398" s="47"/>
      <c r="D2398" s="47"/>
    </row>
    <row r="2399" spans="2:4" x14ac:dyDescent="0.2">
      <c r="B2399" s="47"/>
      <c r="C2399" s="47"/>
      <c r="D2399" s="47"/>
    </row>
    <row r="2400" spans="2:4" x14ac:dyDescent="0.2">
      <c r="B2400" s="47"/>
      <c r="C2400" s="47"/>
      <c r="D2400" s="47"/>
    </row>
    <row r="2401" spans="2:4" x14ac:dyDescent="0.2">
      <c r="B2401" s="47"/>
      <c r="C2401" s="47"/>
      <c r="D2401" s="47"/>
    </row>
    <row r="2402" spans="2:4" x14ac:dyDescent="0.2">
      <c r="B2402" s="47"/>
      <c r="C2402" s="47"/>
      <c r="D2402" s="47"/>
    </row>
    <row r="2403" spans="2:4" x14ac:dyDescent="0.2">
      <c r="B2403" s="47"/>
      <c r="C2403" s="47"/>
      <c r="D2403" s="47"/>
    </row>
    <row r="2404" spans="2:4" x14ac:dyDescent="0.2">
      <c r="B2404" s="47"/>
      <c r="C2404" s="47"/>
      <c r="D2404" s="47"/>
    </row>
    <row r="2405" spans="2:4" x14ac:dyDescent="0.2">
      <c r="B2405" s="47"/>
      <c r="C2405" s="47"/>
      <c r="D2405" s="47"/>
    </row>
    <row r="2406" spans="2:4" x14ac:dyDescent="0.2">
      <c r="B2406" s="47"/>
      <c r="C2406" s="47"/>
      <c r="D2406" s="47"/>
    </row>
    <row r="2407" spans="2:4" x14ac:dyDescent="0.2">
      <c r="B2407" s="47"/>
      <c r="C2407" s="47"/>
      <c r="D2407" s="47"/>
    </row>
    <row r="2408" spans="2:4" x14ac:dyDescent="0.2">
      <c r="B2408" s="47"/>
      <c r="C2408" s="47"/>
      <c r="D2408" s="47"/>
    </row>
    <row r="2409" spans="2:4" x14ac:dyDescent="0.2">
      <c r="B2409" s="47"/>
      <c r="C2409" s="47"/>
      <c r="D2409" s="47"/>
    </row>
    <row r="2410" spans="2:4" x14ac:dyDescent="0.2">
      <c r="B2410" s="47"/>
      <c r="C2410" s="47"/>
      <c r="D2410" s="47"/>
    </row>
    <row r="2411" spans="2:4" x14ac:dyDescent="0.2">
      <c r="B2411" s="47"/>
      <c r="C2411" s="47"/>
      <c r="D2411" s="47"/>
    </row>
    <row r="2412" spans="2:4" x14ac:dyDescent="0.2">
      <c r="B2412" s="47"/>
      <c r="C2412" s="47"/>
      <c r="D2412" s="47"/>
    </row>
    <row r="2413" spans="2:4" x14ac:dyDescent="0.2">
      <c r="B2413" s="47"/>
      <c r="C2413" s="47"/>
      <c r="D2413" s="47"/>
    </row>
    <row r="2414" spans="2:4" x14ac:dyDescent="0.2">
      <c r="B2414" s="47"/>
      <c r="C2414" s="47"/>
      <c r="D2414" s="47"/>
    </row>
    <row r="2415" spans="2:4" x14ac:dyDescent="0.2">
      <c r="B2415" s="47"/>
      <c r="C2415" s="47"/>
      <c r="D2415" s="47"/>
    </row>
    <row r="2416" spans="2:4" x14ac:dyDescent="0.2">
      <c r="B2416" s="47"/>
      <c r="C2416" s="47"/>
      <c r="D2416" s="47"/>
    </row>
    <row r="2417" spans="2:4" x14ac:dyDescent="0.2">
      <c r="B2417" s="47"/>
      <c r="C2417" s="47"/>
      <c r="D2417" s="47"/>
    </row>
    <row r="2418" spans="2:4" x14ac:dyDescent="0.2">
      <c r="B2418" s="47"/>
      <c r="C2418" s="47"/>
      <c r="D2418" s="47"/>
    </row>
    <row r="2419" spans="2:4" x14ac:dyDescent="0.2">
      <c r="B2419" s="47"/>
      <c r="C2419" s="47"/>
      <c r="D2419" s="47"/>
    </row>
    <row r="2420" spans="2:4" x14ac:dyDescent="0.2">
      <c r="B2420" s="47"/>
      <c r="C2420" s="47"/>
      <c r="D2420" s="47"/>
    </row>
    <row r="2421" spans="2:4" x14ac:dyDescent="0.2">
      <c r="B2421" s="47"/>
      <c r="C2421" s="47"/>
      <c r="D2421" s="47"/>
    </row>
    <row r="2422" spans="2:4" x14ac:dyDescent="0.2">
      <c r="B2422" s="47"/>
      <c r="C2422" s="47"/>
      <c r="D2422" s="47"/>
    </row>
    <row r="2423" spans="2:4" x14ac:dyDescent="0.2">
      <c r="B2423" s="47"/>
      <c r="C2423" s="47"/>
      <c r="D2423" s="47"/>
    </row>
    <row r="2424" spans="2:4" x14ac:dyDescent="0.2">
      <c r="B2424" s="47"/>
      <c r="C2424" s="47"/>
      <c r="D2424" s="47"/>
    </row>
    <row r="2425" spans="2:4" x14ac:dyDescent="0.2">
      <c r="B2425" s="47"/>
      <c r="C2425" s="47"/>
      <c r="D2425" s="47"/>
    </row>
    <row r="2426" spans="2:4" x14ac:dyDescent="0.2">
      <c r="B2426" s="47"/>
      <c r="C2426" s="47"/>
      <c r="D2426" s="47"/>
    </row>
    <row r="2427" spans="2:4" x14ac:dyDescent="0.2">
      <c r="B2427" s="47"/>
      <c r="C2427" s="47"/>
      <c r="D2427" s="47"/>
    </row>
    <row r="2428" spans="2:4" x14ac:dyDescent="0.2">
      <c r="B2428" s="47"/>
      <c r="C2428" s="47"/>
      <c r="D2428" s="47"/>
    </row>
    <row r="2429" spans="2:4" x14ac:dyDescent="0.2">
      <c r="B2429" s="47"/>
      <c r="C2429" s="47"/>
      <c r="D2429" s="47"/>
    </row>
    <row r="2430" spans="2:4" x14ac:dyDescent="0.2">
      <c r="B2430" s="47"/>
      <c r="C2430" s="47"/>
      <c r="D2430" s="47"/>
    </row>
    <row r="2431" spans="2:4" x14ac:dyDescent="0.2">
      <c r="B2431" s="47"/>
      <c r="C2431" s="47"/>
      <c r="D2431" s="47"/>
    </row>
    <row r="2432" spans="2:4" x14ac:dyDescent="0.2">
      <c r="B2432" s="47"/>
      <c r="C2432" s="47"/>
      <c r="D2432" s="47"/>
    </row>
    <row r="2433" spans="2:4" x14ac:dyDescent="0.2">
      <c r="B2433" s="47"/>
      <c r="C2433" s="47"/>
      <c r="D2433" s="47"/>
    </row>
    <row r="2434" spans="2:4" x14ac:dyDescent="0.2">
      <c r="B2434" s="47"/>
      <c r="C2434" s="47"/>
      <c r="D2434" s="47"/>
    </row>
    <row r="2435" spans="2:4" x14ac:dyDescent="0.2">
      <c r="B2435" s="47"/>
      <c r="C2435" s="47"/>
      <c r="D2435" s="47"/>
    </row>
    <row r="2436" spans="2:4" x14ac:dyDescent="0.2">
      <c r="B2436" s="47"/>
      <c r="C2436" s="47"/>
      <c r="D2436" s="47"/>
    </row>
    <row r="2437" spans="2:4" x14ac:dyDescent="0.2">
      <c r="B2437" s="47"/>
      <c r="C2437" s="47"/>
      <c r="D2437" s="47"/>
    </row>
    <row r="2438" spans="2:4" x14ac:dyDescent="0.2">
      <c r="B2438" s="47"/>
      <c r="C2438" s="47"/>
      <c r="D2438" s="47"/>
    </row>
    <row r="2439" spans="2:4" x14ac:dyDescent="0.2">
      <c r="B2439" s="47"/>
      <c r="C2439" s="47"/>
      <c r="D2439" s="47"/>
    </row>
    <row r="2440" spans="2:4" x14ac:dyDescent="0.2">
      <c r="B2440" s="47"/>
      <c r="C2440" s="47"/>
      <c r="D2440" s="47"/>
    </row>
    <row r="2441" spans="2:4" x14ac:dyDescent="0.2">
      <c r="B2441" s="47"/>
      <c r="C2441" s="47"/>
      <c r="D2441" s="47"/>
    </row>
    <row r="2442" spans="2:4" x14ac:dyDescent="0.2">
      <c r="B2442" s="47"/>
      <c r="C2442" s="47"/>
      <c r="D2442" s="47"/>
    </row>
    <row r="2443" spans="2:4" x14ac:dyDescent="0.2">
      <c r="B2443" s="47"/>
      <c r="C2443" s="47"/>
      <c r="D2443" s="47"/>
    </row>
    <row r="2444" spans="2:4" x14ac:dyDescent="0.2">
      <c r="B2444" s="47"/>
      <c r="C2444" s="47"/>
      <c r="D2444" s="47"/>
    </row>
    <row r="2445" spans="2:4" x14ac:dyDescent="0.2">
      <c r="B2445" s="47"/>
      <c r="C2445" s="47"/>
      <c r="D2445" s="47"/>
    </row>
    <row r="2446" spans="2:4" x14ac:dyDescent="0.2">
      <c r="B2446" s="47"/>
      <c r="C2446" s="47"/>
      <c r="D2446" s="47"/>
    </row>
    <row r="2447" spans="2:4" x14ac:dyDescent="0.2">
      <c r="B2447" s="47"/>
      <c r="C2447" s="47"/>
      <c r="D2447" s="47"/>
    </row>
    <row r="2448" spans="2:4" x14ac:dyDescent="0.2">
      <c r="B2448" s="47"/>
      <c r="C2448" s="47"/>
      <c r="D2448" s="47"/>
    </row>
    <row r="2449" spans="2:4" x14ac:dyDescent="0.2">
      <c r="B2449" s="47"/>
      <c r="C2449" s="47"/>
      <c r="D2449" s="47"/>
    </row>
    <row r="2450" spans="2:4" x14ac:dyDescent="0.2">
      <c r="B2450" s="47"/>
      <c r="C2450" s="47"/>
      <c r="D2450" s="47"/>
    </row>
    <row r="2451" spans="2:4" x14ac:dyDescent="0.2">
      <c r="B2451" s="47"/>
      <c r="C2451" s="47"/>
      <c r="D2451" s="47"/>
    </row>
    <row r="2452" spans="2:4" x14ac:dyDescent="0.2">
      <c r="B2452" s="47"/>
      <c r="C2452" s="47"/>
      <c r="D2452" s="47"/>
    </row>
    <row r="2453" spans="2:4" x14ac:dyDescent="0.2">
      <c r="B2453" s="47"/>
      <c r="C2453" s="47"/>
      <c r="D2453" s="47"/>
    </row>
    <row r="2454" spans="2:4" x14ac:dyDescent="0.2">
      <c r="B2454" s="47"/>
      <c r="C2454" s="47"/>
      <c r="D2454" s="47"/>
    </row>
    <row r="2455" spans="2:4" x14ac:dyDescent="0.2">
      <c r="B2455" s="47"/>
      <c r="C2455" s="47"/>
      <c r="D2455" s="47"/>
    </row>
    <row r="2456" spans="2:4" x14ac:dyDescent="0.2">
      <c r="B2456" s="47"/>
      <c r="C2456" s="47"/>
      <c r="D2456" s="47"/>
    </row>
    <row r="2457" spans="2:4" x14ac:dyDescent="0.2">
      <c r="B2457" s="47"/>
      <c r="C2457" s="47"/>
      <c r="D2457" s="47"/>
    </row>
    <row r="2458" spans="2:4" x14ac:dyDescent="0.2">
      <c r="B2458" s="47"/>
      <c r="C2458" s="47"/>
      <c r="D2458" s="47"/>
    </row>
    <row r="2459" spans="2:4" x14ac:dyDescent="0.2">
      <c r="B2459" s="47"/>
      <c r="C2459" s="47"/>
      <c r="D2459" s="47"/>
    </row>
    <row r="2460" spans="2:4" x14ac:dyDescent="0.2">
      <c r="B2460" s="47"/>
      <c r="C2460" s="47"/>
      <c r="D2460" s="47"/>
    </row>
    <row r="2461" spans="2:4" x14ac:dyDescent="0.2">
      <c r="B2461" s="47"/>
      <c r="C2461" s="47"/>
      <c r="D2461" s="47"/>
    </row>
    <row r="2462" spans="2:4" x14ac:dyDescent="0.2">
      <c r="B2462" s="47"/>
      <c r="C2462" s="47"/>
      <c r="D2462" s="47"/>
    </row>
    <row r="2463" spans="2:4" x14ac:dyDescent="0.2">
      <c r="B2463" s="47"/>
      <c r="C2463" s="47"/>
      <c r="D2463" s="47"/>
    </row>
    <row r="2464" spans="2:4" x14ac:dyDescent="0.2">
      <c r="B2464" s="47"/>
      <c r="C2464" s="47"/>
      <c r="D2464" s="47"/>
    </row>
    <row r="2465" spans="2:4" x14ac:dyDescent="0.2">
      <c r="B2465" s="47"/>
      <c r="C2465" s="47"/>
      <c r="D2465" s="47"/>
    </row>
    <row r="2466" spans="2:4" x14ac:dyDescent="0.2">
      <c r="B2466" s="47"/>
      <c r="C2466" s="47"/>
      <c r="D2466" s="47"/>
    </row>
    <row r="2467" spans="2:4" x14ac:dyDescent="0.2">
      <c r="B2467" s="47"/>
      <c r="C2467" s="47"/>
      <c r="D2467" s="47"/>
    </row>
    <row r="2468" spans="2:4" x14ac:dyDescent="0.2">
      <c r="B2468" s="47"/>
      <c r="C2468" s="47"/>
      <c r="D2468" s="47"/>
    </row>
    <row r="2469" spans="2:4" x14ac:dyDescent="0.2">
      <c r="B2469" s="47"/>
      <c r="C2469" s="47"/>
      <c r="D2469" s="47"/>
    </row>
    <row r="2470" spans="2:4" x14ac:dyDescent="0.2">
      <c r="B2470" s="47"/>
      <c r="C2470" s="47"/>
      <c r="D2470" s="47"/>
    </row>
    <row r="2471" spans="2:4" x14ac:dyDescent="0.2">
      <c r="B2471" s="47"/>
      <c r="C2471" s="47"/>
      <c r="D2471" s="47"/>
    </row>
    <row r="2472" spans="2:4" x14ac:dyDescent="0.2">
      <c r="B2472" s="47"/>
      <c r="C2472" s="47"/>
      <c r="D2472" s="47"/>
    </row>
    <row r="2473" spans="2:4" x14ac:dyDescent="0.2">
      <c r="B2473" s="47"/>
      <c r="C2473" s="47"/>
      <c r="D2473" s="47"/>
    </row>
    <row r="2474" spans="2:4" x14ac:dyDescent="0.2">
      <c r="B2474" s="47"/>
      <c r="C2474" s="47"/>
      <c r="D2474" s="47"/>
    </row>
    <row r="2475" spans="2:4" x14ac:dyDescent="0.2">
      <c r="B2475" s="47"/>
      <c r="C2475" s="47"/>
      <c r="D2475" s="47"/>
    </row>
    <row r="2476" spans="2:4" x14ac:dyDescent="0.2">
      <c r="B2476" s="47"/>
      <c r="C2476" s="47"/>
      <c r="D2476" s="47"/>
    </row>
    <row r="2477" spans="2:4" x14ac:dyDescent="0.2">
      <c r="B2477" s="47"/>
      <c r="C2477" s="47"/>
      <c r="D2477" s="47"/>
    </row>
    <row r="2478" spans="2:4" x14ac:dyDescent="0.2">
      <c r="B2478" s="47"/>
      <c r="C2478" s="47"/>
      <c r="D2478" s="47"/>
    </row>
    <row r="2479" spans="2:4" x14ac:dyDescent="0.2">
      <c r="B2479" s="47"/>
      <c r="C2479" s="47"/>
      <c r="D2479" s="47"/>
    </row>
    <row r="2480" spans="2:4" x14ac:dyDescent="0.2">
      <c r="B2480" s="47"/>
      <c r="C2480" s="47"/>
      <c r="D2480" s="47"/>
    </row>
    <row r="2481" spans="2:4" x14ac:dyDescent="0.2">
      <c r="B2481" s="47"/>
      <c r="C2481" s="47"/>
      <c r="D2481" s="47"/>
    </row>
    <row r="2482" spans="2:4" x14ac:dyDescent="0.2">
      <c r="B2482" s="47"/>
      <c r="C2482" s="47"/>
      <c r="D2482" s="47"/>
    </row>
    <row r="2483" spans="2:4" x14ac:dyDescent="0.2">
      <c r="B2483" s="47"/>
      <c r="C2483" s="47"/>
      <c r="D2483" s="47"/>
    </row>
    <row r="2484" spans="2:4" x14ac:dyDescent="0.2">
      <c r="B2484" s="47"/>
      <c r="C2484" s="47"/>
      <c r="D2484" s="47"/>
    </row>
    <row r="2485" spans="2:4" x14ac:dyDescent="0.2">
      <c r="B2485" s="47"/>
      <c r="C2485" s="47"/>
      <c r="D2485" s="47"/>
    </row>
    <row r="2486" spans="2:4" x14ac:dyDescent="0.2">
      <c r="B2486" s="47"/>
      <c r="C2486" s="47"/>
      <c r="D2486" s="47"/>
    </row>
    <row r="2487" spans="2:4" x14ac:dyDescent="0.2">
      <c r="B2487" s="47"/>
      <c r="C2487" s="47"/>
      <c r="D2487" s="47"/>
    </row>
    <row r="2488" spans="2:4" x14ac:dyDescent="0.2">
      <c r="B2488" s="47"/>
      <c r="C2488" s="47"/>
      <c r="D2488" s="47"/>
    </row>
    <row r="2489" spans="2:4" x14ac:dyDescent="0.2">
      <c r="B2489" s="47"/>
      <c r="C2489" s="47"/>
      <c r="D2489" s="47"/>
    </row>
    <row r="2490" spans="2:4" x14ac:dyDescent="0.2">
      <c r="B2490" s="47"/>
      <c r="C2490" s="47"/>
      <c r="D2490" s="47"/>
    </row>
    <row r="2491" spans="2:4" x14ac:dyDescent="0.2">
      <c r="B2491" s="47"/>
      <c r="C2491" s="47"/>
      <c r="D2491" s="47"/>
    </row>
    <row r="2492" spans="2:4" x14ac:dyDescent="0.2">
      <c r="B2492" s="47"/>
      <c r="C2492" s="47"/>
      <c r="D2492" s="47"/>
    </row>
    <row r="2493" spans="2:4" x14ac:dyDescent="0.2">
      <c r="B2493" s="47"/>
      <c r="C2493" s="47"/>
      <c r="D2493" s="47"/>
    </row>
    <row r="2494" spans="2:4" x14ac:dyDescent="0.2">
      <c r="B2494" s="47"/>
      <c r="C2494" s="47"/>
      <c r="D2494" s="47"/>
    </row>
    <row r="2495" spans="2:4" x14ac:dyDescent="0.2">
      <c r="B2495" s="47"/>
      <c r="C2495" s="47"/>
      <c r="D2495" s="47"/>
    </row>
    <row r="2496" spans="2:4" x14ac:dyDescent="0.2">
      <c r="B2496" s="47"/>
      <c r="C2496" s="47"/>
      <c r="D2496" s="47"/>
    </row>
    <row r="2497" spans="2:4" x14ac:dyDescent="0.2">
      <c r="B2497" s="47"/>
      <c r="C2497" s="47"/>
      <c r="D2497" s="47"/>
    </row>
    <row r="2498" spans="2:4" x14ac:dyDescent="0.2">
      <c r="B2498" s="47"/>
      <c r="C2498" s="47"/>
      <c r="D2498" s="47"/>
    </row>
    <row r="2499" spans="2:4" x14ac:dyDescent="0.2">
      <c r="B2499" s="47"/>
      <c r="C2499" s="47"/>
      <c r="D2499" s="47"/>
    </row>
    <row r="2500" spans="2:4" x14ac:dyDescent="0.2">
      <c r="B2500" s="47"/>
      <c r="C2500" s="47"/>
      <c r="D2500" s="47"/>
    </row>
    <row r="2501" spans="2:4" x14ac:dyDescent="0.2">
      <c r="B2501" s="47"/>
      <c r="C2501" s="47"/>
      <c r="D2501" s="47"/>
    </row>
    <row r="2502" spans="2:4" x14ac:dyDescent="0.2">
      <c r="B2502" s="47"/>
      <c r="C2502" s="47"/>
      <c r="D2502" s="47"/>
    </row>
    <row r="2503" spans="2:4" x14ac:dyDescent="0.2">
      <c r="B2503" s="47"/>
      <c r="C2503" s="47"/>
      <c r="D2503" s="47"/>
    </row>
    <row r="2504" spans="2:4" x14ac:dyDescent="0.2">
      <c r="B2504" s="47"/>
      <c r="C2504" s="47"/>
      <c r="D2504" s="47"/>
    </row>
    <row r="2505" spans="2:4" x14ac:dyDescent="0.2">
      <c r="B2505" s="47"/>
      <c r="C2505" s="47"/>
      <c r="D2505" s="47"/>
    </row>
    <row r="2506" spans="2:4" x14ac:dyDescent="0.2">
      <c r="B2506" s="47"/>
      <c r="C2506" s="47"/>
      <c r="D2506" s="47"/>
    </row>
    <row r="2507" spans="2:4" x14ac:dyDescent="0.2">
      <c r="B2507" s="47"/>
      <c r="C2507" s="47"/>
      <c r="D2507" s="47"/>
    </row>
    <row r="2508" spans="2:4" x14ac:dyDescent="0.2">
      <c r="B2508" s="47"/>
      <c r="C2508" s="47"/>
      <c r="D2508" s="47"/>
    </row>
    <row r="2509" spans="2:4" x14ac:dyDescent="0.2">
      <c r="B2509" s="47"/>
      <c r="C2509" s="47"/>
      <c r="D2509" s="47"/>
    </row>
    <row r="2510" spans="2:4" x14ac:dyDescent="0.2">
      <c r="B2510" s="47"/>
      <c r="C2510" s="47"/>
      <c r="D2510" s="47"/>
    </row>
    <row r="2511" spans="2:4" x14ac:dyDescent="0.2">
      <c r="B2511" s="47"/>
      <c r="C2511" s="47"/>
      <c r="D2511" s="47"/>
    </row>
    <row r="2512" spans="2:4" x14ac:dyDescent="0.2">
      <c r="B2512" s="47"/>
      <c r="C2512" s="47"/>
      <c r="D2512" s="47"/>
    </row>
    <row r="2513" spans="2:4" x14ac:dyDescent="0.2">
      <c r="B2513" s="47"/>
      <c r="C2513" s="47"/>
      <c r="D2513" s="47"/>
    </row>
    <row r="2514" spans="2:4" x14ac:dyDescent="0.2">
      <c r="B2514" s="47"/>
      <c r="C2514" s="47"/>
      <c r="D2514" s="47"/>
    </row>
    <row r="2515" spans="2:4" x14ac:dyDescent="0.2">
      <c r="B2515" s="47"/>
      <c r="C2515" s="47"/>
      <c r="D2515" s="47"/>
    </row>
    <row r="2516" spans="2:4" x14ac:dyDescent="0.2">
      <c r="B2516" s="47"/>
      <c r="C2516" s="47"/>
      <c r="D2516" s="47"/>
    </row>
    <row r="2517" spans="2:4" x14ac:dyDescent="0.2">
      <c r="B2517" s="47"/>
      <c r="C2517" s="47"/>
      <c r="D2517" s="47"/>
    </row>
    <row r="2518" spans="2:4" x14ac:dyDescent="0.2">
      <c r="B2518" s="47"/>
      <c r="C2518" s="47"/>
      <c r="D2518" s="47"/>
    </row>
    <row r="2519" spans="2:4" x14ac:dyDescent="0.2">
      <c r="B2519" s="47"/>
      <c r="C2519" s="47"/>
      <c r="D2519" s="47"/>
    </row>
    <row r="2520" spans="2:4" x14ac:dyDescent="0.2">
      <c r="B2520" s="47"/>
      <c r="C2520" s="47"/>
      <c r="D2520" s="47"/>
    </row>
    <row r="2521" spans="2:4" x14ac:dyDescent="0.2">
      <c r="B2521" s="47"/>
      <c r="C2521" s="47"/>
      <c r="D2521" s="47"/>
    </row>
    <row r="2522" spans="2:4" x14ac:dyDescent="0.2">
      <c r="B2522" s="47"/>
      <c r="C2522" s="47"/>
      <c r="D2522" s="47"/>
    </row>
    <row r="2523" spans="2:4" x14ac:dyDescent="0.2">
      <c r="B2523" s="47"/>
      <c r="C2523" s="47"/>
      <c r="D2523" s="47"/>
    </row>
    <row r="2524" spans="2:4" x14ac:dyDescent="0.2">
      <c r="B2524" s="47"/>
      <c r="C2524" s="47"/>
      <c r="D2524" s="47"/>
    </row>
    <row r="2525" spans="2:4" x14ac:dyDescent="0.2">
      <c r="B2525" s="47"/>
      <c r="C2525" s="47"/>
      <c r="D2525" s="47"/>
    </row>
    <row r="2526" spans="2:4" x14ac:dyDescent="0.2">
      <c r="B2526" s="47"/>
      <c r="C2526" s="47"/>
      <c r="D2526" s="47"/>
    </row>
    <row r="2527" spans="2:4" x14ac:dyDescent="0.2">
      <c r="B2527" s="47"/>
      <c r="C2527" s="47"/>
      <c r="D2527" s="47"/>
    </row>
    <row r="2528" spans="2:4" x14ac:dyDescent="0.2">
      <c r="B2528" s="47"/>
      <c r="C2528" s="47"/>
      <c r="D2528" s="47"/>
    </row>
    <row r="2529" spans="2:4" x14ac:dyDescent="0.2">
      <c r="B2529" s="47"/>
      <c r="C2529" s="47"/>
      <c r="D2529" s="47"/>
    </row>
    <row r="2530" spans="2:4" x14ac:dyDescent="0.2">
      <c r="B2530" s="47"/>
      <c r="C2530" s="47"/>
      <c r="D2530" s="47"/>
    </row>
    <row r="2531" spans="2:4" x14ac:dyDescent="0.2">
      <c r="B2531" s="47"/>
      <c r="C2531" s="47"/>
      <c r="D2531" s="47"/>
    </row>
    <row r="2532" spans="2:4" x14ac:dyDescent="0.2">
      <c r="B2532" s="47"/>
      <c r="C2532" s="47"/>
      <c r="D2532" s="47"/>
    </row>
    <row r="2533" spans="2:4" x14ac:dyDescent="0.2">
      <c r="B2533" s="47"/>
      <c r="C2533" s="47"/>
      <c r="D2533" s="47"/>
    </row>
    <row r="2534" spans="2:4" x14ac:dyDescent="0.2">
      <c r="B2534" s="47"/>
      <c r="C2534" s="47"/>
      <c r="D2534" s="47"/>
    </row>
    <row r="2535" spans="2:4" x14ac:dyDescent="0.2">
      <c r="B2535" s="47"/>
      <c r="C2535" s="47"/>
      <c r="D2535" s="47"/>
    </row>
    <row r="2536" spans="2:4" x14ac:dyDescent="0.2">
      <c r="B2536" s="47"/>
      <c r="C2536" s="47"/>
      <c r="D2536" s="47"/>
    </row>
    <row r="2537" spans="2:4" x14ac:dyDescent="0.2">
      <c r="B2537" s="47"/>
      <c r="C2537" s="47"/>
      <c r="D2537" s="47"/>
    </row>
    <row r="2538" spans="2:4" x14ac:dyDescent="0.2">
      <c r="B2538" s="47"/>
      <c r="C2538" s="47"/>
      <c r="D2538" s="47"/>
    </row>
    <row r="2539" spans="2:4" x14ac:dyDescent="0.2">
      <c r="B2539" s="47"/>
      <c r="C2539" s="47"/>
      <c r="D2539" s="47"/>
    </row>
    <row r="2540" spans="2:4" x14ac:dyDescent="0.2">
      <c r="B2540" s="47"/>
      <c r="C2540" s="47"/>
      <c r="D2540" s="47"/>
    </row>
    <row r="2541" spans="2:4" x14ac:dyDescent="0.2">
      <c r="B2541" s="47"/>
      <c r="C2541" s="47"/>
      <c r="D2541" s="47"/>
    </row>
    <row r="2542" spans="2:4" x14ac:dyDescent="0.2">
      <c r="B2542" s="47"/>
      <c r="C2542" s="47"/>
      <c r="D2542" s="47"/>
    </row>
    <row r="2543" spans="2:4" x14ac:dyDescent="0.2">
      <c r="B2543" s="47"/>
      <c r="C2543" s="47"/>
      <c r="D2543" s="47"/>
    </row>
    <row r="2544" spans="2:4" x14ac:dyDescent="0.2">
      <c r="B2544" s="47"/>
      <c r="C2544" s="47"/>
      <c r="D2544" s="47"/>
    </row>
    <row r="2545" spans="2:4" x14ac:dyDescent="0.2">
      <c r="B2545" s="47"/>
      <c r="C2545" s="47"/>
      <c r="D2545" s="47"/>
    </row>
    <row r="2546" spans="2:4" x14ac:dyDescent="0.2">
      <c r="B2546" s="47"/>
      <c r="C2546" s="47"/>
      <c r="D2546" s="47"/>
    </row>
    <row r="2547" spans="2:4" x14ac:dyDescent="0.2">
      <c r="B2547" s="47"/>
      <c r="C2547" s="47"/>
      <c r="D2547" s="47"/>
    </row>
    <row r="2548" spans="2:4" x14ac:dyDescent="0.2">
      <c r="B2548" s="47"/>
      <c r="C2548" s="47"/>
      <c r="D2548" s="47"/>
    </row>
    <row r="2549" spans="2:4" x14ac:dyDescent="0.2">
      <c r="B2549" s="47"/>
      <c r="C2549" s="47"/>
      <c r="D2549" s="47"/>
    </row>
    <row r="2550" spans="2:4" x14ac:dyDescent="0.2">
      <c r="B2550" s="47"/>
      <c r="C2550" s="47"/>
      <c r="D2550" s="47"/>
    </row>
    <row r="2551" spans="2:4" x14ac:dyDescent="0.2">
      <c r="B2551" s="47"/>
      <c r="C2551" s="47"/>
      <c r="D2551" s="47"/>
    </row>
    <row r="2552" spans="2:4" x14ac:dyDescent="0.2">
      <c r="B2552" s="47"/>
      <c r="C2552" s="47"/>
      <c r="D2552" s="47"/>
    </row>
    <row r="2553" spans="2:4" x14ac:dyDescent="0.2">
      <c r="B2553" s="47"/>
      <c r="C2553" s="47"/>
      <c r="D2553" s="47"/>
    </row>
    <row r="2554" spans="2:4" x14ac:dyDescent="0.2">
      <c r="B2554" s="47"/>
      <c r="C2554" s="47"/>
      <c r="D2554" s="47"/>
    </row>
    <row r="2555" spans="2:4" x14ac:dyDescent="0.2">
      <c r="B2555" s="47"/>
      <c r="C2555" s="47"/>
      <c r="D2555" s="47"/>
    </row>
    <row r="2556" spans="2:4" x14ac:dyDescent="0.2">
      <c r="B2556" s="47"/>
      <c r="C2556" s="47"/>
      <c r="D2556" s="47"/>
    </row>
    <row r="2557" spans="2:4" x14ac:dyDescent="0.2">
      <c r="B2557" s="47"/>
      <c r="C2557" s="47"/>
      <c r="D2557" s="47"/>
    </row>
    <row r="2558" spans="2:4" x14ac:dyDescent="0.2">
      <c r="B2558" s="47"/>
      <c r="C2558" s="47"/>
      <c r="D2558" s="47"/>
    </row>
    <row r="2559" spans="2:4" x14ac:dyDescent="0.2">
      <c r="B2559" s="47"/>
      <c r="C2559" s="47"/>
      <c r="D2559" s="47"/>
    </row>
    <row r="2560" spans="2:4" x14ac:dyDescent="0.2">
      <c r="B2560" s="47"/>
      <c r="C2560" s="47"/>
      <c r="D2560" s="47"/>
    </row>
    <row r="2561" spans="2:4" x14ac:dyDescent="0.2">
      <c r="B2561" s="47"/>
      <c r="C2561" s="47"/>
      <c r="D2561" s="47"/>
    </row>
    <row r="2562" spans="2:4" x14ac:dyDescent="0.2">
      <c r="B2562" s="47"/>
      <c r="C2562" s="47"/>
      <c r="D2562" s="47"/>
    </row>
    <row r="2563" spans="2:4" x14ac:dyDescent="0.2">
      <c r="B2563" s="47"/>
      <c r="C2563" s="47"/>
      <c r="D2563" s="47"/>
    </row>
    <row r="2564" spans="2:4" x14ac:dyDescent="0.2">
      <c r="B2564" s="47"/>
      <c r="C2564" s="47"/>
      <c r="D2564" s="47"/>
    </row>
    <row r="2565" spans="2:4" x14ac:dyDescent="0.2">
      <c r="B2565" s="47"/>
      <c r="C2565" s="47"/>
      <c r="D2565" s="47"/>
    </row>
    <row r="2566" spans="2:4" x14ac:dyDescent="0.2">
      <c r="B2566" s="47"/>
      <c r="C2566" s="47"/>
      <c r="D2566" s="47"/>
    </row>
    <row r="2567" spans="2:4" x14ac:dyDescent="0.2">
      <c r="B2567" s="47"/>
      <c r="C2567" s="47"/>
      <c r="D2567" s="47"/>
    </row>
    <row r="2568" spans="2:4" x14ac:dyDescent="0.2">
      <c r="B2568" s="47"/>
      <c r="C2568" s="47"/>
      <c r="D2568" s="47"/>
    </row>
    <row r="2569" spans="2:4" x14ac:dyDescent="0.2">
      <c r="B2569" s="47"/>
      <c r="C2569" s="47"/>
      <c r="D2569" s="47"/>
    </row>
    <row r="2570" spans="2:4" x14ac:dyDescent="0.2">
      <c r="B2570" s="47"/>
      <c r="C2570" s="47"/>
      <c r="D2570" s="47"/>
    </row>
    <row r="2571" spans="2:4" x14ac:dyDescent="0.2">
      <c r="B2571" s="47"/>
      <c r="C2571" s="47"/>
      <c r="D2571" s="47"/>
    </row>
    <row r="2572" spans="2:4" x14ac:dyDescent="0.2">
      <c r="B2572" s="47"/>
      <c r="C2572" s="47"/>
      <c r="D2572" s="47"/>
    </row>
    <row r="2573" spans="2:4" x14ac:dyDescent="0.2">
      <c r="B2573" s="47"/>
      <c r="C2573" s="47"/>
      <c r="D2573" s="47"/>
    </row>
    <row r="2574" spans="2:4" x14ac:dyDescent="0.2">
      <c r="B2574" s="47"/>
      <c r="C2574" s="47"/>
      <c r="D2574" s="47"/>
    </row>
    <row r="2575" spans="2:4" x14ac:dyDescent="0.2">
      <c r="B2575" s="47"/>
      <c r="C2575" s="47"/>
      <c r="D2575" s="47"/>
    </row>
    <row r="2576" spans="2:4" x14ac:dyDescent="0.2">
      <c r="B2576" s="47"/>
      <c r="C2576" s="47"/>
      <c r="D2576" s="47"/>
    </row>
    <row r="2577" spans="2:4" x14ac:dyDescent="0.2">
      <c r="B2577" s="47"/>
      <c r="C2577" s="47"/>
      <c r="D2577" s="47"/>
    </row>
    <row r="2578" spans="2:4" x14ac:dyDescent="0.2">
      <c r="B2578" s="47"/>
      <c r="C2578" s="47"/>
      <c r="D2578" s="47"/>
    </row>
    <row r="2579" spans="2:4" x14ac:dyDescent="0.2">
      <c r="B2579" s="47"/>
      <c r="C2579" s="47"/>
      <c r="D2579" s="47"/>
    </row>
    <row r="2580" spans="2:4" x14ac:dyDescent="0.2">
      <c r="B2580" s="47"/>
      <c r="C2580" s="47"/>
      <c r="D2580" s="47"/>
    </row>
    <row r="2581" spans="2:4" x14ac:dyDescent="0.2">
      <c r="B2581" s="47"/>
      <c r="C2581" s="47"/>
      <c r="D2581" s="47"/>
    </row>
    <row r="2582" spans="2:4" x14ac:dyDescent="0.2">
      <c r="B2582" s="47"/>
      <c r="C2582" s="47"/>
      <c r="D2582" s="47"/>
    </row>
    <row r="2583" spans="2:4" x14ac:dyDescent="0.2">
      <c r="B2583" s="47"/>
      <c r="C2583" s="47"/>
      <c r="D2583" s="47"/>
    </row>
    <row r="2584" spans="2:4" x14ac:dyDescent="0.2">
      <c r="B2584" s="47"/>
      <c r="C2584" s="47"/>
      <c r="D2584" s="47"/>
    </row>
    <row r="2585" spans="2:4" x14ac:dyDescent="0.2">
      <c r="B2585" s="47"/>
      <c r="C2585" s="47"/>
      <c r="D2585" s="47"/>
    </row>
    <row r="2586" spans="2:4" x14ac:dyDescent="0.2">
      <c r="B2586" s="47"/>
      <c r="C2586" s="47"/>
      <c r="D2586" s="47"/>
    </row>
    <row r="2587" spans="2:4" x14ac:dyDescent="0.2">
      <c r="B2587" s="47"/>
      <c r="C2587" s="47"/>
      <c r="D2587" s="47"/>
    </row>
    <row r="2588" spans="2:4" x14ac:dyDescent="0.2">
      <c r="B2588" s="47"/>
      <c r="C2588" s="47"/>
      <c r="D2588" s="47"/>
    </row>
    <row r="2589" spans="2:4" x14ac:dyDescent="0.2">
      <c r="B2589" s="47"/>
      <c r="C2589" s="47"/>
      <c r="D2589" s="47"/>
    </row>
    <row r="2590" spans="2:4" x14ac:dyDescent="0.2">
      <c r="B2590" s="47"/>
      <c r="C2590" s="47"/>
      <c r="D2590" s="47"/>
    </row>
    <row r="2591" spans="2:4" x14ac:dyDescent="0.2">
      <c r="B2591" s="47"/>
      <c r="C2591" s="47"/>
      <c r="D2591" s="47"/>
    </row>
    <row r="2592" spans="2:4" x14ac:dyDescent="0.2">
      <c r="B2592" s="47"/>
      <c r="C2592" s="47"/>
      <c r="D2592" s="47"/>
    </row>
    <row r="2593" spans="2:4" x14ac:dyDescent="0.2">
      <c r="B2593" s="47"/>
      <c r="C2593" s="47"/>
      <c r="D2593" s="47"/>
    </row>
    <row r="2594" spans="2:4" x14ac:dyDescent="0.2">
      <c r="B2594" s="47"/>
      <c r="C2594" s="47"/>
      <c r="D2594" s="47"/>
    </row>
    <row r="2595" spans="2:4" x14ac:dyDescent="0.2">
      <c r="B2595" s="47"/>
      <c r="C2595" s="47"/>
      <c r="D2595" s="47"/>
    </row>
    <row r="2596" spans="2:4" x14ac:dyDescent="0.2">
      <c r="B2596" s="47"/>
      <c r="C2596" s="47"/>
      <c r="D2596" s="47"/>
    </row>
    <row r="2597" spans="2:4" x14ac:dyDescent="0.2">
      <c r="B2597" s="47"/>
      <c r="C2597" s="47"/>
      <c r="D2597" s="47"/>
    </row>
    <row r="2598" spans="2:4" x14ac:dyDescent="0.2">
      <c r="B2598" s="47"/>
      <c r="C2598" s="47"/>
      <c r="D2598" s="47"/>
    </row>
    <row r="2599" spans="2:4" x14ac:dyDescent="0.2">
      <c r="B2599" s="47"/>
      <c r="C2599" s="47"/>
      <c r="D2599" s="47"/>
    </row>
    <row r="2600" spans="2:4" x14ac:dyDescent="0.2">
      <c r="B2600" s="47"/>
      <c r="C2600" s="47"/>
      <c r="D2600" s="47"/>
    </row>
    <row r="2601" spans="2:4" x14ac:dyDescent="0.2">
      <c r="B2601" s="47"/>
      <c r="C2601" s="47"/>
      <c r="D2601" s="47"/>
    </row>
    <row r="2602" spans="2:4" x14ac:dyDescent="0.2">
      <c r="B2602" s="47"/>
      <c r="C2602" s="47"/>
      <c r="D2602" s="47"/>
    </row>
    <row r="2603" spans="2:4" x14ac:dyDescent="0.2">
      <c r="B2603" s="47"/>
      <c r="C2603" s="47"/>
      <c r="D2603" s="47"/>
    </row>
    <row r="2604" spans="2:4" x14ac:dyDescent="0.2">
      <c r="B2604" s="47"/>
      <c r="C2604" s="47"/>
      <c r="D2604" s="47"/>
    </row>
    <row r="2605" spans="2:4" x14ac:dyDescent="0.2">
      <c r="B2605" s="47"/>
      <c r="C2605" s="47"/>
      <c r="D2605" s="47"/>
    </row>
    <row r="2606" spans="2:4" x14ac:dyDescent="0.2">
      <c r="B2606" s="47"/>
      <c r="C2606" s="47"/>
      <c r="D2606" s="47"/>
    </row>
    <row r="2607" spans="2:4" x14ac:dyDescent="0.2">
      <c r="B2607" s="47"/>
      <c r="C2607" s="47"/>
      <c r="D2607" s="47"/>
    </row>
    <row r="2608" spans="2:4" x14ac:dyDescent="0.2">
      <c r="B2608" s="47"/>
      <c r="C2608" s="47"/>
      <c r="D2608" s="47"/>
    </row>
    <row r="2609" spans="2:4" x14ac:dyDescent="0.2">
      <c r="B2609" s="47"/>
      <c r="C2609" s="47"/>
      <c r="D2609" s="47"/>
    </row>
    <row r="2610" spans="2:4" x14ac:dyDescent="0.2">
      <c r="B2610" s="47"/>
      <c r="C2610" s="47"/>
      <c r="D2610" s="47"/>
    </row>
    <row r="2611" spans="2:4" x14ac:dyDescent="0.2">
      <c r="B2611" s="47"/>
      <c r="C2611" s="47"/>
      <c r="D2611" s="47"/>
    </row>
    <row r="2612" spans="2:4" x14ac:dyDescent="0.2">
      <c r="B2612" s="47"/>
      <c r="C2612" s="47"/>
      <c r="D2612" s="47"/>
    </row>
    <row r="2613" spans="2:4" x14ac:dyDescent="0.2">
      <c r="B2613" s="47"/>
      <c r="C2613" s="47"/>
      <c r="D2613" s="47"/>
    </row>
    <row r="2614" spans="2:4" x14ac:dyDescent="0.2">
      <c r="B2614" s="47"/>
      <c r="C2614" s="47"/>
      <c r="D2614" s="47"/>
    </row>
    <row r="2615" spans="2:4" x14ac:dyDescent="0.2">
      <c r="B2615" s="47"/>
      <c r="C2615" s="47"/>
      <c r="D2615" s="47"/>
    </row>
    <row r="2616" spans="2:4" x14ac:dyDescent="0.2">
      <c r="B2616" s="47"/>
      <c r="C2616" s="47"/>
      <c r="D2616" s="47"/>
    </row>
    <row r="2617" spans="2:4" x14ac:dyDescent="0.2">
      <c r="B2617" s="47"/>
      <c r="C2617" s="47"/>
      <c r="D2617" s="47"/>
    </row>
    <row r="2618" spans="2:4" x14ac:dyDescent="0.2">
      <c r="B2618" s="47"/>
      <c r="C2618" s="47"/>
      <c r="D2618" s="47"/>
    </row>
    <row r="2619" spans="2:4" x14ac:dyDescent="0.2">
      <c r="B2619" s="47"/>
      <c r="C2619" s="47"/>
      <c r="D2619" s="47"/>
    </row>
    <row r="2620" spans="2:4" x14ac:dyDescent="0.2">
      <c r="B2620" s="47"/>
      <c r="C2620" s="47"/>
      <c r="D2620" s="47"/>
    </row>
    <row r="2621" spans="2:4" x14ac:dyDescent="0.2">
      <c r="B2621" s="47"/>
      <c r="C2621" s="47"/>
      <c r="D2621" s="47"/>
    </row>
    <row r="2622" spans="2:4" x14ac:dyDescent="0.2">
      <c r="B2622" s="47"/>
      <c r="C2622" s="47"/>
      <c r="D2622" s="47"/>
    </row>
    <row r="2623" spans="2:4" x14ac:dyDescent="0.2">
      <c r="B2623" s="47"/>
      <c r="C2623" s="47"/>
      <c r="D2623" s="47"/>
    </row>
    <row r="2624" spans="2:4" x14ac:dyDescent="0.2">
      <c r="B2624" s="47"/>
      <c r="C2624" s="47"/>
      <c r="D2624" s="47"/>
    </row>
    <row r="2625" spans="2:4" x14ac:dyDescent="0.2">
      <c r="B2625" s="47"/>
      <c r="C2625" s="47"/>
      <c r="D2625" s="47"/>
    </row>
    <row r="2626" spans="2:4" x14ac:dyDescent="0.2">
      <c r="B2626" s="47"/>
      <c r="C2626" s="47"/>
      <c r="D2626" s="47"/>
    </row>
    <row r="2627" spans="2:4" x14ac:dyDescent="0.2">
      <c r="B2627" s="47"/>
      <c r="C2627" s="47"/>
      <c r="D2627" s="47"/>
    </row>
    <row r="2628" spans="2:4" x14ac:dyDescent="0.2">
      <c r="B2628" s="47"/>
      <c r="C2628" s="47"/>
      <c r="D2628" s="47"/>
    </row>
    <row r="2629" spans="2:4" x14ac:dyDescent="0.2">
      <c r="B2629" s="47"/>
      <c r="C2629" s="47"/>
      <c r="D2629" s="47"/>
    </row>
    <row r="2630" spans="2:4" x14ac:dyDescent="0.2">
      <c r="B2630" s="47"/>
      <c r="C2630" s="47"/>
      <c r="D2630" s="47"/>
    </row>
    <row r="2631" spans="2:4" x14ac:dyDescent="0.2">
      <c r="B2631" s="47"/>
      <c r="C2631" s="47"/>
      <c r="D2631" s="47"/>
    </row>
    <row r="2632" spans="2:4" x14ac:dyDescent="0.2">
      <c r="B2632" s="47"/>
      <c r="C2632" s="47"/>
      <c r="D2632" s="47"/>
    </row>
    <row r="2633" spans="2:4" x14ac:dyDescent="0.2">
      <c r="B2633" s="47"/>
      <c r="C2633" s="47"/>
      <c r="D2633" s="47"/>
    </row>
    <row r="2634" spans="2:4" x14ac:dyDescent="0.2">
      <c r="B2634" s="47"/>
      <c r="C2634" s="47"/>
      <c r="D2634" s="47"/>
    </row>
    <row r="2635" spans="2:4" x14ac:dyDescent="0.2">
      <c r="B2635" s="47"/>
      <c r="C2635" s="47"/>
      <c r="D2635" s="47"/>
    </row>
    <row r="2636" spans="2:4" x14ac:dyDescent="0.2">
      <c r="B2636" s="47"/>
      <c r="C2636" s="47"/>
      <c r="D2636" s="47"/>
    </row>
    <row r="2637" spans="2:4" x14ac:dyDescent="0.2">
      <c r="B2637" s="47"/>
      <c r="C2637" s="47"/>
      <c r="D2637" s="47"/>
    </row>
    <row r="2638" spans="2:4" x14ac:dyDescent="0.2">
      <c r="B2638" s="47"/>
      <c r="C2638" s="47"/>
      <c r="D2638" s="47"/>
    </row>
    <row r="2639" spans="2:4" x14ac:dyDescent="0.2">
      <c r="B2639" s="47"/>
      <c r="C2639" s="47"/>
      <c r="D2639" s="47"/>
    </row>
    <row r="2640" spans="2:4" x14ac:dyDescent="0.2">
      <c r="B2640" s="47"/>
      <c r="C2640" s="47"/>
      <c r="D2640" s="47"/>
    </row>
    <row r="2641" spans="2:4" x14ac:dyDescent="0.2">
      <c r="B2641" s="47"/>
      <c r="C2641" s="47"/>
      <c r="D2641" s="47"/>
    </row>
    <row r="2642" spans="2:4" x14ac:dyDescent="0.2">
      <c r="B2642" s="47"/>
      <c r="C2642" s="47"/>
      <c r="D2642" s="47"/>
    </row>
    <row r="2643" spans="2:4" x14ac:dyDescent="0.2">
      <c r="B2643" s="47"/>
      <c r="C2643" s="47"/>
      <c r="D2643" s="47"/>
    </row>
    <row r="2644" spans="2:4" x14ac:dyDescent="0.2">
      <c r="B2644" s="47"/>
      <c r="C2644" s="47"/>
      <c r="D2644" s="47"/>
    </row>
    <row r="2645" spans="2:4" x14ac:dyDescent="0.2">
      <c r="B2645" s="47"/>
      <c r="C2645" s="47"/>
      <c r="D2645" s="47"/>
    </row>
    <row r="2646" spans="2:4" x14ac:dyDescent="0.2">
      <c r="B2646" s="47"/>
      <c r="C2646" s="47"/>
      <c r="D2646" s="47"/>
    </row>
    <row r="2647" spans="2:4" x14ac:dyDescent="0.2">
      <c r="B2647" s="47"/>
      <c r="C2647" s="47"/>
      <c r="D2647" s="47"/>
    </row>
    <row r="2648" spans="2:4" x14ac:dyDescent="0.2">
      <c r="B2648" s="47"/>
      <c r="C2648" s="47"/>
      <c r="D2648" s="47"/>
    </row>
    <row r="2649" spans="2:4" x14ac:dyDescent="0.2">
      <c r="B2649" s="47"/>
      <c r="C2649" s="47"/>
      <c r="D2649" s="47"/>
    </row>
    <row r="2650" spans="2:4" x14ac:dyDescent="0.2">
      <c r="B2650" s="47"/>
      <c r="C2650" s="47"/>
      <c r="D2650" s="47"/>
    </row>
    <row r="2651" spans="2:4" x14ac:dyDescent="0.2">
      <c r="B2651" s="47"/>
      <c r="C2651" s="47"/>
      <c r="D2651" s="47"/>
    </row>
    <row r="2652" spans="2:4" x14ac:dyDescent="0.2">
      <c r="B2652" s="47"/>
      <c r="C2652" s="47"/>
      <c r="D2652" s="47"/>
    </row>
    <row r="2653" spans="2:4" x14ac:dyDescent="0.2">
      <c r="B2653" s="47"/>
      <c r="C2653" s="47"/>
      <c r="D2653" s="47"/>
    </row>
    <row r="2654" spans="2:4" x14ac:dyDescent="0.2">
      <c r="B2654" s="47"/>
      <c r="C2654" s="47"/>
      <c r="D2654" s="47"/>
    </row>
    <row r="2655" spans="2:4" x14ac:dyDescent="0.2">
      <c r="B2655" s="47"/>
      <c r="C2655" s="47"/>
      <c r="D2655" s="47"/>
    </row>
    <row r="2656" spans="2:4" x14ac:dyDescent="0.2">
      <c r="B2656" s="47"/>
      <c r="C2656" s="47"/>
      <c r="D2656" s="47"/>
    </row>
    <row r="2657" spans="2:4" x14ac:dyDescent="0.2">
      <c r="B2657" s="47"/>
      <c r="C2657" s="47"/>
      <c r="D2657" s="47"/>
    </row>
    <row r="2658" spans="2:4" x14ac:dyDescent="0.2">
      <c r="B2658" s="47"/>
      <c r="C2658" s="47"/>
      <c r="D2658" s="47"/>
    </row>
    <row r="2659" spans="2:4" x14ac:dyDescent="0.2">
      <c r="B2659" s="47"/>
      <c r="C2659" s="47"/>
      <c r="D2659" s="47"/>
    </row>
    <row r="2660" spans="2:4" x14ac:dyDescent="0.2">
      <c r="B2660" s="47"/>
      <c r="C2660" s="47"/>
      <c r="D2660" s="47"/>
    </row>
    <row r="2661" spans="2:4" x14ac:dyDescent="0.2">
      <c r="B2661" s="47"/>
      <c r="C2661" s="47"/>
      <c r="D2661" s="47"/>
    </row>
    <row r="2662" spans="2:4" x14ac:dyDescent="0.2">
      <c r="B2662" s="47"/>
      <c r="C2662" s="47"/>
      <c r="D2662" s="47"/>
    </row>
    <row r="2663" spans="2:4" x14ac:dyDescent="0.2">
      <c r="B2663" s="47"/>
      <c r="C2663" s="47"/>
      <c r="D2663" s="47"/>
    </row>
    <row r="2664" spans="2:4" x14ac:dyDescent="0.2">
      <c r="B2664" s="47"/>
      <c r="C2664" s="47"/>
      <c r="D2664" s="47"/>
    </row>
    <row r="2665" spans="2:4" x14ac:dyDescent="0.2">
      <c r="B2665" s="47"/>
      <c r="C2665" s="47"/>
      <c r="D2665" s="47"/>
    </row>
    <row r="2666" spans="2:4" x14ac:dyDescent="0.2">
      <c r="B2666" s="47"/>
      <c r="C2666" s="47"/>
      <c r="D2666" s="47"/>
    </row>
    <row r="2667" spans="2:4" x14ac:dyDescent="0.2">
      <c r="B2667" s="47"/>
      <c r="C2667" s="47"/>
      <c r="D2667" s="47"/>
    </row>
    <row r="2668" spans="2:4" x14ac:dyDescent="0.2">
      <c r="B2668" s="47"/>
      <c r="C2668" s="47"/>
      <c r="D2668" s="47"/>
    </row>
    <row r="2669" spans="2:4" x14ac:dyDescent="0.2">
      <c r="B2669" s="47"/>
      <c r="C2669" s="47"/>
      <c r="D2669" s="47"/>
    </row>
    <row r="2670" spans="2:4" x14ac:dyDescent="0.2">
      <c r="B2670" s="47"/>
      <c r="C2670" s="47"/>
      <c r="D2670" s="47"/>
    </row>
    <row r="2671" spans="2:4" x14ac:dyDescent="0.2">
      <c r="B2671" s="47"/>
      <c r="C2671" s="47"/>
      <c r="D2671" s="47"/>
    </row>
    <row r="2672" spans="2:4" x14ac:dyDescent="0.2">
      <c r="B2672" s="47"/>
      <c r="C2672" s="47"/>
      <c r="D2672" s="47"/>
    </row>
    <row r="2673" spans="2:4" x14ac:dyDescent="0.2">
      <c r="B2673" s="47"/>
      <c r="C2673" s="47"/>
      <c r="D2673" s="47"/>
    </row>
    <row r="2674" spans="2:4" x14ac:dyDescent="0.2">
      <c r="B2674" s="47"/>
      <c r="C2674" s="47"/>
      <c r="D2674" s="47"/>
    </row>
    <row r="2675" spans="2:4" x14ac:dyDescent="0.2">
      <c r="B2675" s="47"/>
      <c r="C2675" s="47"/>
      <c r="D2675" s="47"/>
    </row>
    <row r="2676" spans="2:4" x14ac:dyDescent="0.2">
      <c r="B2676" s="47"/>
      <c r="C2676" s="47"/>
      <c r="D2676" s="47"/>
    </row>
    <row r="2677" spans="2:4" x14ac:dyDescent="0.2">
      <c r="B2677" s="47"/>
      <c r="C2677" s="47"/>
      <c r="D2677" s="47"/>
    </row>
    <row r="2678" spans="2:4" x14ac:dyDescent="0.2">
      <c r="B2678" s="47"/>
      <c r="C2678" s="47"/>
      <c r="D2678" s="47"/>
    </row>
    <row r="2679" spans="2:4" x14ac:dyDescent="0.2">
      <c r="B2679" s="47"/>
      <c r="C2679" s="47"/>
      <c r="D2679" s="47"/>
    </row>
    <row r="2680" spans="2:4" x14ac:dyDescent="0.2">
      <c r="B2680" s="47"/>
      <c r="C2680" s="47"/>
      <c r="D2680" s="47"/>
    </row>
    <row r="2681" spans="2:4" x14ac:dyDescent="0.2">
      <c r="B2681" s="47"/>
      <c r="C2681" s="47"/>
      <c r="D2681" s="47"/>
    </row>
    <row r="2682" spans="2:4" x14ac:dyDescent="0.2">
      <c r="B2682" s="47"/>
      <c r="C2682" s="47"/>
      <c r="D2682" s="47"/>
    </row>
    <row r="2683" spans="2:4" x14ac:dyDescent="0.2">
      <c r="B2683" s="47"/>
      <c r="C2683" s="47"/>
      <c r="D2683" s="47"/>
    </row>
    <row r="2684" spans="2:4" x14ac:dyDescent="0.2">
      <c r="B2684" s="47"/>
      <c r="C2684" s="47"/>
      <c r="D2684" s="47"/>
    </row>
    <row r="2685" spans="2:4" x14ac:dyDescent="0.2">
      <c r="B2685" s="47"/>
      <c r="C2685" s="47"/>
      <c r="D2685" s="47"/>
    </row>
    <row r="2686" spans="2:4" x14ac:dyDescent="0.2">
      <c r="B2686" s="47"/>
      <c r="C2686" s="47"/>
      <c r="D2686" s="47"/>
    </row>
    <row r="2687" spans="2:4" x14ac:dyDescent="0.2">
      <c r="B2687" s="47"/>
      <c r="C2687" s="47"/>
      <c r="D2687" s="47"/>
    </row>
    <row r="2688" spans="2:4" x14ac:dyDescent="0.2">
      <c r="B2688" s="47"/>
      <c r="C2688" s="47"/>
      <c r="D2688" s="47"/>
    </row>
    <row r="2689" spans="2:4" x14ac:dyDescent="0.2">
      <c r="B2689" s="47"/>
      <c r="C2689" s="47"/>
      <c r="D2689" s="47"/>
    </row>
    <row r="2690" spans="2:4" x14ac:dyDescent="0.2">
      <c r="B2690" s="47"/>
      <c r="C2690" s="47"/>
      <c r="D2690" s="47"/>
    </row>
    <row r="2691" spans="2:4" x14ac:dyDescent="0.2">
      <c r="B2691" s="47"/>
      <c r="C2691" s="47"/>
      <c r="D2691" s="47"/>
    </row>
    <row r="2692" spans="2:4" x14ac:dyDescent="0.2">
      <c r="B2692" s="47"/>
      <c r="C2692" s="47"/>
      <c r="D2692" s="47"/>
    </row>
    <row r="2693" spans="2:4" x14ac:dyDescent="0.2">
      <c r="B2693" s="47"/>
      <c r="C2693" s="47"/>
      <c r="D2693" s="47"/>
    </row>
    <row r="2694" spans="2:4" x14ac:dyDescent="0.2">
      <c r="B2694" s="47"/>
      <c r="C2694" s="47"/>
      <c r="D2694" s="47"/>
    </row>
    <row r="2695" spans="2:4" x14ac:dyDescent="0.2">
      <c r="B2695" s="47"/>
      <c r="C2695" s="47"/>
      <c r="D2695" s="47"/>
    </row>
    <row r="2696" spans="2:4" x14ac:dyDescent="0.2">
      <c r="B2696" s="47"/>
      <c r="C2696" s="47"/>
      <c r="D2696" s="47"/>
    </row>
    <row r="2697" spans="2:4" x14ac:dyDescent="0.2">
      <c r="B2697" s="47"/>
      <c r="C2697" s="47"/>
      <c r="D2697" s="47"/>
    </row>
    <row r="2698" spans="2:4" x14ac:dyDescent="0.2">
      <c r="B2698" s="47"/>
      <c r="C2698" s="47"/>
      <c r="D2698" s="47"/>
    </row>
    <row r="2699" spans="2:4" x14ac:dyDescent="0.2">
      <c r="B2699" s="47"/>
      <c r="C2699" s="47"/>
      <c r="D2699" s="47"/>
    </row>
    <row r="2700" spans="2:4" x14ac:dyDescent="0.2">
      <c r="B2700" s="47"/>
      <c r="C2700" s="47"/>
      <c r="D2700" s="47"/>
    </row>
    <row r="2701" spans="2:4" x14ac:dyDescent="0.2">
      <c r="B2701" s="47"/>
      <c r="C2701" s="47"/>
      <c r="D2701" s="47"/>
    </row>
    <row r="2702" spans="2:4" x14ac:dyDescent="0.2">
      <c r="B2702" s="47"/>
      <c r="C2702" s="47"/>
      <c r="D2702" s="47"/>
    </row>
    <row r="2703" spans="2:4" x14ac:dyDescent="0.2">
      <c r="B2703" s="47"/>
      <c r="C2703" s="47"/>
      <c r="D2703" s="47"/>
    </row>
    <row r="2704" spans="2:4" x14ac:dyDescent="0.2">
      <c r="B2704" s="47"/>
      <c r="C2704" s="47"/>
      <c r="D2704" s="47"/>
    </row>
    <row r="2705" spans="2:4" x14ac:dyDescent="0.2">
      <c r="B2705" s="47"/>
      <c r="C2705" s="47"/>
      <c r="D2705" s="47"/>
    </row>
    <row r="2706" spans="2:4" x14ac:dyDescent="0.2">
      <c r="B2706" s="47"/>
      <c r="C2706" s="47"/>
      <c r="D2706" s="47"/>
    </row>
    <row r="2707" spans="2:4" x14ac:dyDescent="0.2">
      <c r="B2707" s="47"/>
      <c r="C2707" s="47"/>
      <c r="D2707" s="47"/>
    </row>
    <row r="2708" spans="2:4" x14ac:dyDescent="0.2">
      <c r="B2708" s="47"/>
      <c r="C2708" s="47"/>
      <c r="D2708" s="47"/>
    </row>
    <row r="2709" spans="2:4" x14ac:dyDescent="0.2">
      <c r="B2709" s="47"/>
      <c r="C2709" s="47"/>
      <c r="D2709" s="47"/>
    </row>
    <row r="2710" spans="2:4" x14ac:dyDescent="0.2">
      <c r="B2710" s="47"/>
      <c r="C2710" s="47"/>
      <c r="D2710" s="47"/>
    </row>
    <row r="2711" spans="2:4" x14ac:dyDescent="0.2">
      <c r="B2711" s="47"/>
      <c r="C2711" s="47"/>
      <c r="D2711" s="47"/>
    </row>
    <row r="2712" spans="2:4" x14ac:dyDescent="0.2">
      <c r="B2712" s="47"/>
      <c r="C2712" s="47"/>
      <c r="D2712" s="47"/>
    </row>
    <row r="2713" spans="2:4" x14ac:dyDescent="0.2">
      <c r="B2713" s="47"/>
      <c r="C2713" s="47"/>
      <c r="D2713" s="47"/>
    </row>
    <row r="2714" spans="2:4" x14ac:dyDescent="0.2">
      <c r="B2714" s="47"/>
      <c r="C2714" s="47"/>
      <c r="D2714" s="47"/>
    </row>
    <row r="2715" spans="2:4" x14ac:dyDescent="0.2">
      <c r="B2715" s="47"/>
      <c r="C2715" s="47"/>
      <c r="D2715" s="47"/>
    </row>
    <row r="2716" spans="2:4" x14ac:dyDescent="0.2">
      <c r="B2716" s="47"/>
      <c r="C2716" s="47"/>
      <c r="D2716" s="47"/>
    </row>
    <row r="2717" spans="2:4" x14ac:dyDescent="0.2">
      <c r="B2717" s="47"/>
      <c r="C2717" s="47"/>
      <c r="D2717" s="47"/>
    </row>
    <row r="2718" spans="2:4" x14ac:dyDescent="0.2">
      <c r="B2718" s="47"/>
      <c r="C2718" s="47"/>
      <c r="D2718" s="47"/>
    </row>
    <row r="2719" spans="2:4" x14ac:dyDescent="0.2">
      <c r="B2719" s="47"/>
      <c r="C2719" s="47"/>
      <c r="D2719" s="47"/>
    </row>
    <row r="2720" spans="2:4" x14ac:dyDescent="0.2">
      <c r="B2720" s="47"/>
      <c r="C2720" s="47"/>
      <c r="D2720" s="47"/>
    </row>
    <row r="2721" spans="2:4" x14ac:dyDescent="0.2">
      <c r="B2721" s="47"/>
      <c r="C2721" s="47"/>
      <c r="D2721" s="47"/>
    </row>
    <row r="2722" spans="2:4" x14ac:dyDescent="0.2">
      <c r="B2722" s="47"/>
      <c r="C2722" s="47"/>
      <c r="D2722" s="47"/>
    </row>
    <row r="2723" spans="2:4" x14ac:dyDescent="0.2">
      <c r="B2723" s="47"/>
      <c r="C2723" s="47"/>
      <c r="D2723" s="47"/>
    </row>
    <row r="2724" spans="2:4" x14ac:dyDescent="0.2">
      <c r="B2724" s="47"/>
      <c r="C2724" s="47"/>
      <c r="D2724" s="47"/>
    </row>
    <row r="2725" spans="2:4" x14ac:dyDescent="0.2">
      <c r="B2725" s="47"/>
      <c r="C2725" s="47"/>
      <c r="D2725" s="47"/>
    </row>
    <row r="2726" spans="2:4" x14ac:dyDescent="0.2">
      <c r="B2726" s="47"/>
      <c r="C2726" s="47"/>
      <c r="D2726" s="47"/>
    </row>
    <row r="2727" spans="2:4" x14ac:dyDescent="0.2">
      <c r="B2727" s="47"/>
      <c r="C2727" s="47"/>
      <c r="D2727" s="47"/>
    </row>
    <row r="2728" spans="2:4" x14ac:dyDescent="0.2">
      <c r="B2728" s="47"/>
      <c r="C2728" s="47"/>
      <c r="D2728" s="47"/>
    </row>
    <row r="2729" spans="2:4" x14ac:dyDescent="0.2">
      <c r="B2729" s="47"/>
      <c r="C2729" s="47"/>
      <c r="D2729" s="47"/>
    </row>
    <row r="2730" spans="2:4" x14ac:dyDescent="0.2">
      <c r="B2730" s="47"/>
      <c r="C2730" s="47"/>
      <c r="D2730" s="47"/>
    </row>
    <row r="2731" spans="2:4" x14ac:dyDescent="0.2">
      <c r="B2731" s="47"/>
      <c r="C2731" s="47"/>
      <c r="D2731" s="47"/>
    </row>
    <row r="2732" spans="2:4" x14ac:dyDescent="0.2">
      <c r="B2732" s="47"/>
      <c r="C2732" s="48"/>
      <c r="D2732" s="48"/>
    </row>
    <row r="2733" spans="2:4" x14ac:dyDescent="0.2">
      <c r="B2733" s="47"/>
      <c r="C2733" s="48"/>
      <c r="D2733" s="48"/>
    </row>
    <row r="2734" spans="2:4" x14ac:dyDescent="0.2">
      <c r="B2734" s="47"/>
      <c r="C2734" s="48"/>
      <c r="D2734" s="48"/>
    </row>
    <row r="2735" spans="2:4" x14ac:dyDescent="0.2">
      <c r="B2735" s="47"/>
      <c r="C2735" s="48"/>
      <c r="D2735" s="48"/>
    </row>
    <row r="2736" spans="2:4" x14ac:dyDescent="0.2">
      <c r="B2736" s="47"/>
      <c r="C2736" s="48"/>
      <c r="D2736" s="48"/>
    </row>
    <row r="2737" spans="2:4" x14ac:dyDescent="0.2">
      <c r="B2737" s="47"/>
      <c r="C2737" s="48"/>
      <c r="D2737" s="48"/>
    </row>
    <row r="2738" spans="2:4" x14ac:dyDescent="0.2">
      <c r="B2738" s="47"/>
      <c r="C2738" s="48"/>
      <c r="D2738" s="48"/>
    </row>
    <row r="2739" spans="2:4" x14ac:dyDescent="0.2">
      <c r="B2739" s="47"/>
      <c r="C2739" s="48"/>
      <c r="D2739" s="48"/>
    </row>
    <row r="2740" spans="2:4" x14ac:dyDescent="0.2">
      <c r="B2740" s="47"/>
      <c r="C2740" s="48"/>
      <c r="D2740" s="48"/>
    </row>
    <row r="2741" spans="2:4" x14ac:dyDescent="0.2">
      <c r="B2741" s="47"/>
      <c r="C2741" s="48"/>
      <c r="D2741" s="48"/>
    </row>
    <row r="2742" spans="2:4" x14ac:dyDescent="0.2">
      <c r="B2742" s="47"/>
      <c r="C2742" s="48"/>
      <c r="D2742" s="48"/>
    </row>
    <row r="2743" spans="2:4" x14ac:dyDescent="0.2">
      <c r="B2743" s="47"/>
      <c r="C2743" s="48"/>
      <c r="D2743" s="48"/>
    </row>
    <row r="2744" spans="2:4" x14ac:dyDescent="0.2">
      <c r="B2744" s="47"/>
      <c r="C2744" s="48"/>
      <c r="D2744" s="48"/>
    </row>
    <row r="2745" spans="2:4" x14ac:dyDescent="0.2">
      <c r="B2745" s="47"/>
      <c r="C2745" s="48"/>
      <c r="D2745" s="48"/>
    </row>
    <row r="2746" spans="2:4" x14ac:dyDescent="0.2">
      <c r="B2746" s="47"/>
      <c r="C2746" s="48"/>
      <c r="D2746" s="48"/>
    </row>
    <row r="2747" spans="2:4" x14ac:dyDescent="0.2">
      <c r="B2747" s="47"/>
      <c r="C2747" s="48"/>
      <c r="D2747" s="48"/>
    </row>
    <row r="2748" spans="2:4" x14ac:dyDescent="0.2">
      <c r="B2748" s="47"/>
      <c r="C2748" s="48"/>
      <c r="D2748" s="48"/>
    </row>
    <row r="2749" spans="2:4" x14ac:dyDescent="0.2">
      <c r="B2749" s="47"/>
      <c r="C2749" s="48"/>
      <c r="D2749" s="48"/>
    </row>
    <row r="2750" spans="2:4" x14ac:dyDescent="0.2">
      <c r="B2750" s="47"/>
      <c r="C2750" s="48"/>
      <c r="D2750" s="48"/>
    </row>
    <row r="2751" spans="2:4" x14ac:dyDescent="0.2">
      <c r="B2751" s="47"/>
      <c r="C2751" s="47"/>
      <c r="D2751" s="47"/>
    </row>
    <row r="2752" spans="2:4" x14ac:dyDescent="0.2">
      <c r="B2752" s="47"/>
      <c r="C2752" s="47"/>
      <c r="D2752" s="47"/>
    </row>
    <row r="2753" spans="2:4" x14ac:dyDescent="0.2">
      <c r="B2753" s="47"/>
      <c r="C2753" s="47"/>
      <c r="D2753" s="47"/>
    </row>
    <row r="2754" spans="2:4" x14ac:dyDescent="0.2">
      <c r="B2754" s="47"/>
      <c r="C2754" s="47"/>
      <c r="D2754" s="47"/>
    </row>
    <row r="2755" spans="2:4" x14ac:dyDescent="0.2">
      <c r="B2755" s="47"/>
      <c r="C2755" s="47"/>
      <c r="D2755" s="47"/>
    </row>
    <row r="2756" spans="2:4" x14ac:dyDescent="0.2">
      <c r="B2756" s="47"/>
      <c r="C2756" s="47"/>
      <c r="D2756" s="47"/>
    </row>
    <row r="2757" spans="2:4" x14ac:dyDescent="0.2">
      <c r="B2757" s="47"/>
      <c r="C2757" s="47"/>
      <c r="D2757" s="47"/>
    </row>
    <row r="2758" spans="2:4" x14ac:dyDescent="0.2">
      <c r="B2758" s="47"/>
      <c r="C2758" s="47"/>
      <c r="D2758" s="47"/>
    </row>
    <row r="2759" spans="2:4" x14ac:dyDescent="0.2">
      <c r="B2759" s="47"/>
      <c r="C2759" s="47"/>
      <c r="D2759" s="47"/>
    </row>
    <row r="2760" spans="2:4" x14ac:dyDescent="0.2">
      <c r="B2760" s="47"/>
      <c r="C2760" s="47"/>
      <c r="D2760" s="47"/>
    </row>
    <row r="2761" spans="2:4" x14ac:dyDescent="0.2">
      <c r="B2761" s="47"/>
      <c r="C2761" s="47"/>
      <c r="D2761" s="47"/>
    </row>
    <row r="2762" spans="2:4" x14ac:dyDescent="0.2">
      <c r="B2762" s="47"/>
      <c r="C2762" s="47"/>
      <c r="D2762" s="47"/>
    </row>
    <row r="2763" spans="2:4" x14ac:dyDescent="0.2">
      <c r="B2763" s="47"/>
      <c r="C2763" s="47"/>
      <c r="D2763" s="47"/>
    </row>
    <row r="2764" spans="2:4" x14ac:dyDescent="0.2">
      <c r="B2764" s="47"/>
      <c r="C2764" s="47"/>
      <c r="D2764" s="47"/>
    </row>
    <row r="2765" spans="2:4" x14ac:dyDescent="0.2">
      <c r="B2765" s="47"/>
      <c r="C2765" s="47"/>
      <c r="D2765" s="47"/>
    </row>
    <row r="2766" spans="2:4" x14ac:dyDescent="0.2">
      <c r="B2766" s="47"/>
      <c r="C2766" s="47"/>
      <c r="D2766" s="47"/>
    </row>
    <row r="2767" spans="2:4" x14ac:dyDescent="0.2">
      <c r="B2767" s="47"/>
      <c r="C2767" s="47"/>
      <c r="D2767" s="47"/>
    </row>
    <row r="2768" spans="2:4" x14ac:dyDescent="0.2">
      <c r="B2768" s="47"/>
      <c r="C2768" s="47"/>
      <c r="D2768" s="47"/>
    </row>
    <row r="2769" spans="2:4" x14ac:dyDescent="0.2">
      <c r="B2769" s="47"/>
      <c r="C2769" s="47"/>
      <c r="D2769" s="47"/>
    </row>
    <row r="2770" spans="2:4" x14ac:dyDescent="0.2">
      <c r="B2770" s="47"/>
      <c r="C2770" s="47"/>
      <c r="D2770" s="47"/>
    </row>
    <row r="2771" spans="2:4" x14ac:dyDescent="0.2">
      <c r="B2771" s="47"/>
      <c r="C2771" s="47"/>
      <c r="D2771" s="47"/>
    </row>
    <row r="2772" spans="2:4" x14ac:dyDescent="0.2">
      <c r="B2772" s="47"/>
      <c r="C2772" s="48"/>
      <c r="D2772" s="48"/>
    </row>
    <row r="2773" spans="2:4" x14ac:dyDescent="0.2">
      <c r="B2773" s="47"/>
      <c r="C2773" s="48"/>
      <c r="D2773" s="48"/>
    </row>
    <row r="2774" spans="2:4" x14ac:dyDescent="0.2">
      <c r="B2774" s="47"/>
      <c r="C2774" s="48"/>
      <c r="D2774" s="48"/>
    </row>
    <row r="2775" spans="2:4" x14ac:dyDescent="0.2">
      <c r="B2775" s="47"/>
      <c r="C2775" s="48"/>
      <c r="D2775" s="48"/>
    </row>
    <row r="2776" spans="2:4" x14ac:dyDescent="0.2">
      <c r="B2776" s="47"/>
      <c r="C2776" s="48"/>
      <c r="D2776" s="48"/>
    </row>
    <row r="2777" spans="2:4" x14ac:dyDescent="0.2">
      <c r="B2777" s="47"/>
      <c r="C2777" s="48"/>
      <c r="D2777" s="48"/>
    </row>
    <row r="2778" spans="2:4" x14ac:dyDescent="0.2">
      <c r="B2778" s="47"/>
      <c r="C2778" s="48"/>
      <c r="D2778" s="48"/>
    </row>
    <row r="2779" spans="2:4" x14ac:dyDescent="0.2">
      <c r="B2779" s="47"/>
      <c r="C2779" s="48"/>
      <c r="D2779" s="48"/>
    </row>
    <row r="2780" spans="2:4" x14ac:dyDescent="0.2">
      <c r="B2780" s="47"/>
      <c r="C2780" s="48"/>
      <c r="D2780" s="48"/>
    </row>
    <row r="2781" spans="2:4" x14ac:dyDescent="0.2">
      <c r="B2781" s="47"/>
      <c r="C2781" s="48"/>
      <c r="D2781" s="48"/>
    </row>
    <row r="2782" spans="2:4" x14ac:dyDescent="0.2">
      <c r="B2782" s="47"/>
      <c r="C2782" s="48"/>
      <c r="D2782" s="48"/>
    </row>
    <row r="2783" spans="2:4" x14ac:dyDescent="0.2">
      <c r="B2783" s="47"/>
      <c r="C2783" s="48"/>
      <c r="D2783" s="48"/>
    </row>
    <row r="2784" spans="2:4" x14ac:dyDescent="0.2">
      <c r="B2784" s="47"/>
      <c r="C2784" s="48"/>
      <c r="D2784" s="48"/>
    </row>
    <row r="2785" spans="2:4" x14ac:dyDescent="0.2">
      <c r="B2785" s="47"/>
      <c r="C2785" s="48"/>
      <c r="D2785" s="48"/>
    </row>
    <row r="2786" spans="2:4" x14ac:dyDescent="0.2">
      <c r="B2786" s="47"/>
      <c r="C2786" s="48"/>
      <c r="D2786" s="48"/>
    </row>
    <row r="2787" spans="2:4" x14ac:dyDescent="0.2">
      <c r="B2787" s="47"/>
      <c r="C2787" s="48"/>
      <c r="D2787" s="48"/>
    </row>
    <row r="2788" spans="2:4" x14ac:dyDescent="0.2">
      <c r="B2788" s="47"/>
      <c r="C2788" s="48"/>
      <c r="D2788" s="48"/>
    </row>
    <row r="2789" spans="2:4" x14ac:dyDescent="0.2">
      <c r="B2789" s="47"/>
      <c r="C2789" s="48"/>
      <c r="D2789" s="48"/>
    </row>
    <row r="2790" spans="2:4" x14ac:dyDescent="0.2">
      <c r="B2790" s="47"/>
      <c r="C2790" s="48"/>
      <c r="D2790" s="48"/>
    </row>
    <row r="2791" spans="2:4" x14ac:dyDescent="0.2">
      <c r="B2791" s="47"/>
      <c r="C2791" s="48"/>
      <c r="D2791" s="48"/>
    </row>
    <row r="2792" spans="2:4" x14ac:dyDescent="0.2">
      <c r="B2792" s="47"/>
      <c r="C2792" s="48"/>
      <c r="D2792" s="48"/>
    </row>
    <row r="2793" spans="2:4" x14ac:dyDescent="0.2">
      <c r="B2793" s="47"/>
      <c r="C2793" s="48"/>
      <c r="D2793" s="48"/>
    </row>
    <row r="2794" spans="2:4" x14ac:dyDescent="0.2">
      <c r="B2794" s="47"/>
      <c r="C2794" s="48"/>
      <c r="D2794" s="48"/>
    </row>
    <row r="2795" spans="2:4" x14ac:dyDescent="0.2">
      <c r="B2795" s="47"/>
      <c r="C2795" s="48"/>
      <c r="D2795" s="48"/>
    </row>
    <row r="2796" spans="2:4" x14ac:dyDescent="0.2">
      <c r="B2796" s="47"/>
      <c r="C2796" s="48"/>
      <c r="D2796" s="48"/>
    </row>
    <row r="2797" spans="2:4" x14ac:dyDescent="0.2">
      <c r="B2797" s="47"/>
      <c r="C2797" s="48"/>
      <c r="D2797" s="48"/>
    </row>
    <row r="2798" spans="2:4" x14ac:dyDescent="0.2">
      <c r="B2798" s="47"/>
      <c r="C2798" s="48"/>
      <c r="D2798" s="48"/>
    </row>
    <row r="2799" spans="2:4" x14ac:dyDescent="0.2">
      <c r="B2799" s="47"/>
      <c r="C2799" s="48"/>
      <c r="D2799" s="48"/>
    </row>
    <row r="2800" spans="2:4" x14ac:dyDescent="0.2">
      <c r="B2800" s="47"/>
      <c r="C2800" s="48"/>
      <c r="D2800" s="48"/>
    </row>
    <row r="2801" spans="2:4" x14ac:dyDescent="0.2">
      <c r="B2801" s="47"/>
      <c r="C2801" s="48"/>
      <c r="D2801" s="48"/>
    </row>
    <row r="2802" spans="2:4" x14ac:dyDescent="0.2">
      <c r="B2802" s="47"/>
      <c r="C2802" s="48"/>
      <c r="D2802" s="48"/>
    </row>
    <row r="2803" spans="2:4" x14ac:dyDescent="0.2">
      <c r="B2803" s="47"/>
      <c r="C2803" s="48"/>
      <c r="D2803" s="48"/>
    </row>
    <row r="2804" spans="2:4" x14ac:dyDescent="0.2">
      <c r="B2804" s="47"/>
      <c r="C2804" s="48"/>
      <c r="D2804" s="48"/>
    </row>
    <row r="2805" spans="2:4" x14ac:dyDescent="0.2">
      <c r="B2805" s="47"/>
      <c r="C2805" s="48"/>
      <c r="D2805" s="48"/>
    </row>
    <row r="2806" spans="2:4" x14ac:dyDescent="0.2">
      <c r="B2806" s="47"/>
      <c r="C2806" s="48"/>
      <c r="D2806" s="48"/>
    </row>
  </sheetData>
  <pageMargins left="0.75" right="0.75" top="1" bottom="1" header="0.5" footer="0.5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indexed="45"/>
  </sheetPr>
  <dimension ref="A1:AW4722"/>
  <sheetViews>
    <sheetView tabSelected="1" workbookViewId="0">
      <selection activeCell="X4" sqref="X4"/>
    </sheetView>
  </sheetViews>
  <sheetFormatPr defaultRowHeight="12.75" x14ac:dyDescent="0.2"/>
  <cols>
    <col min="1" max="1" width="6.5703125" customWidth="1"/>
    <col min="2" max="2" width="9" bestFit="1" customWidth="1"/>
    <col min="3" max="3" width="6.140625" customWidth="1"/>
    <col min="4" max="4" width="35.7109375" bestFit="1" customWidth="1"/>
    <col min="5" max="5" width="6.85546875" customWidth="1"/>
    <col min="6" max="6" width="7.28515625" customWidth="1"/>
    <col min="7" max="7" width="37" customWidth="1"/>
    <col min="8" max="8" width="26" customWidth="1"/>
    <col min="9" max="10" width="21.28515625" customWidth="1"/>
    <col min="11" max="14" width="11.140625" customWidth="1"/>
    <col min="15" max="16" width="14.42578125" bestFit="1" customWidth="1"/>
    <col min="17" max="17" width="10.7109375" customWidth="1"/>
    <col min="18" max="18" width="14.42578125" bestFit="1" customWidth="1"/>
    <col min="19" max="19" width="15.42578125" bestFit="1" customWidth="1"/>
    <col min="20" max="20" width="14.42578125" bestFit="1" customWidth="1"/>
    <col min="21" max="21" width="15.42578125" bestFit="1" customWidth="1"/>
    <col min="22" max="22" width="12.7109375" bestFit="1" customWidth="1"/>
    <col min="23" max="23" width="10.85546875" customWidth="1"/>
    <col min="24" max="24" width="12.28515625" customWidth="1"/>
    <col min="25" max="25" width="17.42578125" bestFit="1" customWidth="1"/>
    <col min="26" max="26" width="15.140625" bestFit="1" customWidth="1"/>
    <col min="27" max="28" width="12.28515625" customWidth="1"/>
    <col min="34" max="34" width="14.42578125" customWidth="1"/>
    <col min="35" max="35" width="17.7109375" customWidth="1"/>
    <col min="36" max="36" width="19.5703125" customWidth="1"/>
    <col min="38" max="38" width="31" customWidth="1"/>
    <col min="39" max="39" width="17.7109375" customWidth="1"/>
    <col min="45" max="45" width="18.85546875" customWidth="1"/>
    <col min="46" max="46" width="16.7109375" customWidth="1"/>
    <col min="47" max="47" width="19.140625" customWidth="1"/>
  </cols>
  <sheetData>
    <row r="1" spans="1:49" ht="42.75" customHeight="1" x14ac:dyDescent="0.2">
      <c r="A1" t="s">
        <v>1</v>
      </c>
      <c r="B1" t="s">
        <v>2</v>
      </c>
      <c r="C1" t="s">
        <v>4</v>
      </c>
      <c r="D1" t="s">
        <v>3</v>
      </c>
      <c r="E1" t="s">
        <v>164</v>
      </c>
      <c r="F1" t="s">
        <v>9</v>
      </c>
      <c r="G1" s="15" t="s">
        <v>165</v>
      </c>
      <c r="H1" s="15" t="s">
        <v>52</v>
      </c>
      <c r="I1" s="4" t="s">
        <v>6</v>
      </c>
      <c r="J1" s="4" t="s">
        <v>5</v>
      </c>
      <c r="K1" s="10" t="s">
        <v>17</v>
      </c>
      <c r="L1" s="10" t="s">
        <v>18</v>
      </c>
      <c r="M1" s="10" t="s">
        <v>19</v>
      </c>
      <c r="N1" s="10" t="s">
        <v>20</v>
      </c>
      <c r="O1" s="10" t="s">
        <v>31</v>
      </c>
      <c r="P1" s="10" t="s">
        <v>32</v>
      </c>
      <c r="Q1" s="10" t="s">
        <v>33</v>
      </c>
      <c r="R1" s="10" t="s">
        <v>21</v>
      </c>
      <c r="S1" s="10" t="s">
        <v>22</v>
      </c>
      <c r="T1" s="10" t="s">
        <v>24</v>
      </c>
      <c r="U1" s="10" t="s">
        <v>25</v>
      </c>
      <c r="V1" s="10" t="s">
        <v>34</v>
      </c>
      <c r="W1" s="10" t="s">
        <v>26</v>
      </c>
      <c r="X1" s="10" t="s">
        <v>58</v>
      </c>
      <c r="Y1" s="10" t="s">
        <v>56</v>
      </c>
      <c r="Z1" s="10" t="s">
        <v>57</v>
      </c>
      <c r="AA1" s="10" t="s">
        <v>58</v>
      </c>
      <c r="AB1" s="10" t="s">
        <v>58</v>
      </c>
      <c r="AC1" s="10" t="s">
        <v>55</v>
      </c>
      <c r="AD1" s="10" t="s">
        <v>59</v>
      </c>
      <c r="AE1" s="16" t="s">
        <v>126</v>
      </c>
      <c r="AF1" s="16" t="s">
        <v>127</v>
      </c>
      <c r="AG1" s="16" t="s">
        <v>127</v>
      </c>
      <c r="AM1" t="s">
        <v>38</v>
      </c>
      <c r="AN1">
        <f>SUM(AM2:AM9)</f>
        <v>0</v>
      </c>
      <c r="AQ1" s="8" t="s">
        <v>15</v>
      </c>
      <c r="AR1" s="8" t="s">
        <v>0</v>
      </c>
      <c r="AS1" s="8" t="s">
        <v>16</v>
      </c>
      <c r="AT1" s="8" t="s">
        <v>159</v>
      </c>
    </row>
    <row r="2" spans="1:49" x14ac:dyDescent="0.2"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AC2" t="e">
        <f ca="1">RANK(AB2,OFFSET($AB$2,0,0,#REF!,1))</f>
        <v>#REF!</v>
      </c>
      <c r="AD2" s="4" t="e">
        <f>InsurerSize(#REF!)</f>
        <v>#VALUE!</v>
      </c>
      <c r="AE2" s="4" t="e">
        <f t="shared" ref="AE2:AE65" si="0">A2&amp;AD2</f>
        <v>#VALUE!</v>
      </c>
      <c r="AL2" s="7" t="s">
        <v>11</v>
      </c>
      <c r="AM2" s="4">
        <f t="shared" ref="AM2:AM7" si="1">COUNTIF(A$2:A$7000,AL2)</f>
        <v>0</v>
      </c>
      <c r="AN2" s="4" t="e">
        <f>#REF!</f>
        <v>#REF!</v>
      </c>
      <c r="AO2" s="7" t="e">
        <f>AM2-AN2</f>
        <v>#REF!</v>
      </c>
      <c r="AP2" t="e">
        <f>SUMIF($A$2:$A$4625,AL2,#REF!)</f>
        <v>#REF!</v>
      </c>
      <c r="AQ2">
        <f t="shared" ref="AQ2:AQ7" si="2">SUMIF($A$2:$A$4625,AL2,$I$2:$I$4625)</f>
        <v>0</v>
      </c>
      <c r="AR2" s="9" t="e">
        <f t="shared" ref="AR2:AR7" si="3">AP2/AQ2</f>
        <v>#REF!</v>
      </c>
      <c r="AS2" s="5" t="e">
        <f ca="1">SUMIF(OFFSET($A$2,0,0,$AN$1,1),AL2,OFFSET($L$2,0,0,$AN$1,1))+SUMIF(OFFSET($A$2,0,0,$AN$1,1),AL2,OFFSET($M$2,0,0,$AN$1,1))</f>
        <v>#REF!</v>
      </c>
    </row>
    <row r="3" spans="1:49" x14ac:dyDescent="0.2"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AC3" t="e">
        <f ca="1">RANK(AB3,OFFSET($AB$2,0,0,#REF!,1))</f>
        <v>#REF!</v>
      </c>
      <c r="AD3" s="4" t="e">
        <f>InsurerSize(#REF!)</f>
        <v>#VALUE!</v>
      </c>
      <c r="AE3" s="4" t="e">
        <f t="shared" si="0"/>
        <v>#VALUE!</v>
      </c>
      <c r="AL3" s="7" t="s">
        <v>12</v>
      </c>
      <c r="AM3" s="4">
        <f t="shared" si="1"/>
        <v>0</v>
      </c>
      <c r="AN3" s="4" t="e">
        <f>#REF!</f>
        <v>#REF!</v>
      </c>
      <c r="AO3" s="7" t="e">
        <f>AM3-AN3</f>
        <v>#REF!</v>
      </c>
      <c r="AP3" t="e">
        <f>SUMIF($A$2:$A$4625,AL3,#REF!)</f>
        <v>#REF!</v>
      </c>
      <c r="AQ3">
        <f t="shared" si="2"/>
        <v>0</v>
      </c>
      <c r="AR3" s="9" t="e">
        <f t="shared" si="3"/>
        <v>#REF!</v>
      </c>
      <c r="AS3" s="5" t="e">
        <f ca="1">SUMIF(OFFSET($A$2,0,0,$AN$1,1),AL3,OFFSET($L$2,0,0,$AN$1,1))+SUMIF(OFFSET($A$2,0,0,$AN$1,1),AL3,OFFSET($M$2,0,0,$AN$1,1))</f>
        <v>#REF!</v>
      </c>
    </row>
    <row r="4" spans="1:49" x14ac:dyDescent="0.2"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AC4" t="e">
        <f ca="1">RANK(AB4,OFFSET($AB$2,0,0,#REF!,1))</f>
        <v>#REF!</v>
      </c>
      <c r="AD4" s="4" t="e">
        <f>InsurerSize(#REF!)</f>
        <v>#VALUE!</v>
      </c>
      <c r="AE4" s="4" t="e">
        <f t="shared" si="0"/>
        <v>#VALUE!</v>
      </c>
      <c r="AF4" s="16" t="s">
        <v>127</v>
      </c>
      <c r="AL4" s="7" t="s">
        <v>13</v>
      </c>
      <c r="AM4" s="4">
        <f t="shared" si="1"/>
        <v>0</v>
      </c>
      <c r="AN4" s="4" t="e">
        <f>#REF!</f>
        <v>#REF!</v>
      </c>
      <c r="AO4" s="7" t="e">
        <f>AM4-AN4</f>
        <v>#REF!</v>
      </c>
      <c r="AP4" t="e">
        <f>SUMIF($A$2:$A$4625,AL4,#REF!)</f>
        <v>#REF!</v>
      </c>
      <c r="AQ4">
        <f t="shared" si="2"/>
        <v>0</v>
      </c>
      <c r="AR4" s="9" t="e">
        <f t="shared" si="3"/>
        <v>#REF!</v>
      </c>
      <c r="AS4" s="5" t="e">
        <f ca="1">SUMIF(OFFSET($A$2,0,0,$AN$1,1),AL4,OFFSET($L$2,0,0,$AN$1,1))+SUMIF(OFFSET($A$2,0,0,$AN$1,1),AL4,OFFSET($M$2,0,0,$AN$1,1))</f>
        <v>#REF!</v>
      </c>
    </row>
    <row r="5" spans="1:49" x14ac:dyDescent="0.2"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AC5" t="e">
        <f ca="1">RANK(AB5,OFFSET($AB$2,0,0,#REF!,1))</f>
        <v>#REF!</v>
      </c>
      <c r="AD5" s="4" t="e">
        <f>InsurerSize(#REF!)</f>
        <v>#VALUE!</v>
      </c>
      <c r="AE5" s="4" t="e">
        <f t="shared" si="0"/>
        <v>#VALUE!</v>
      </c>
      <c r="AF5" s="4" t="s">
        <v>128</v>
      </c>
      <c r="AL5" s="7" t="s">
        <v>14</v>
      </c>
      <c r="AM5" s="4">
        <f t="shared" si="1"/>
        <v>0</v>
      </c>
      <c r="AN5" s="4" t="e">
        <f>#REF!</f>
        <v>#REF!</v>
      </c>
      <c r="AO5" s="7" t="e">
        <f>AM5-AN5</f>
        <v>#REF!</v>
      </c>
      <c r="AP5" t="e">
        <f>SUMIF($A$2:$A$4625,AL5,#REF!)</f>
        <v>#REF!</v>
      </c>
      <c r="AQ5">
        <f t="shared" si="2"/>
        <v>0</v>
      </c>
      <c r="AR5" s="9" t="e">
        <f t="shared" si="3"/>
        <v>#REF!</v>
      </c>
      <c r="AS5" s="5" t="e">
        <f ca="1">SUMIF(OFFSET($A$2,0,0,$AN$1,1),AL5,OFFSET($L$2,0,0,$AN$1,1))+SUMIF(OFFSET($A$2,0,0,$AN$1,1),AL5,OFFSET($M$2,0,0,$AN$1,1))</f>
        <v>#REF!</v>
      </c>
    </row>
    <row r="6" spans="1:49" x14ac:dyDescent="0.2"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AC6" t="e">
        <f ca="1">RANK(AB6,OFFSET($AB$2,0,0,#REF!,1))</f>
        <v>#REF!</v>
      </c>
      <c r="AD6" s="4" t="e">
        <f>InsurerSize(#REF!)</f>
        <v>#VALUE!</v>
      </c>
      <c r="AE6" s="4" t="e">
        <f t="shared" si="0"/>
        <v>#VALUE!</v>
      </c>
      <c r="AF6" s="4" t="s">
        <v>129</v>
      </c>
      <c r="AL6" s="7" t="s">
        <v>10</v>
      </c>
      <c r="AM6" s="4">
        <f t="shared" si="1"/>
        <v>0</v>
      </c>
      <c r="AN6" s="4" t="e">
        <f>#REF!</f>
        <v>#REF!</v>
      </c>
      <c r="AO6" s="7" t="e">
        <f>AM6-AN6</f>
        <v>#REF!</v>
      </c>
      <c r="AP6" t="e">
        <f>SUMIF($A$2:$A$4625,AL6,#REF!)</f>
        <v>#REF!</v>
      </c>
      <c r="AQ6">
        <f t="shared" si="2"/>
        <v>0</v>
      </c>
      <c r="AR6" s="9" t="e">
        <f t="shared" si="3"/>
        <v>#REF!</v>
      </c>
      <c r="AS6" s="5" t="e">
        <f ca="1">SUMIF(OFFSET($A$2,0,0,$AN$1,1),AL6,OFFSET($L$2,0,0,$AN$1,1))+SUMIF(OFFSET($A$2,0,0,$AN$1,1),AL6,OFFSET($M$2,0,0,$AN$1,1))</f>
        <v>#REF!</v>
      </c>
    </row>
    <row r="7" spans="1:49" x14ac:dyDescent="0.2"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AC7" t="e">
        <f ca="1">RANK(AB7,OFFSET($AB$2,0,0,#REF!,1))</f>
        <v>#REF!</v>
      </c>
      <c r="AD7" s="4" t="e">
        <f>InsurerSize(#REF!)</f>
        <v>#VALUE!</v>
      </c>
      <c r="AE7" s="4" t="e">
        <f t="shared" si="0"/>
        <v>#VALUE!</v>
      </c>
      <c r="AF7" s="4" t="s">
        <v>130</v>
      </c>
      <c r="AL7" s="7"/>
      <c r="AM7" s="4">
        <f t="shared" si="1"/>
        <v>0</v>
      </c>
      <c r="AP7" t="e">
        <f>SUMIF($A$2:$A$4625,AL7,#REF!)</f>
        <v>#REF!</v>
      </c>
      <c r="AQ7">
        <f t="shared" si="2"/>
        <v>0</v>
      </c>
      <c r="AR7" s="9" t="e">
        <f t="shared" si="3"/>
        <v>#REF!</v>
      </c>
      <c r="AS7" s="5" t="e">
        <f ca="1">SUM(AS2:AS6)</f>
        <v>#REF!</v>
      </c>
    </row>
    <row r="8" spans="1:49" x14ac:dyDescent="0.2"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AC8" t="e">
        <f ca="1">RANK(AB8,OFFSET($AB$2,0,0,#REF!,1))</f>
        <v>#REF!</v>
      </c>
      <c r="AD8" s="4" t="e">
        <f>InsurerSize(#REF!)</f>
        <v>#VALUE!</v>
      </c>
      <c r="AE8" s="4" t="e">
        <f t="shared" si="0"/>
        <v>#VALUE!</v>
      </c>
      <c r="AF8" s="4" t="s">
        <v>131</v>
      </c>
      <c r="AS8" s="14" t="e">
        <f ca="1">SUM(OFFSET(L2,0,0,AN1,1),OFFSET($M$2,0,0,AN1,1))-AS7</f>
        <v>#REF!</v>
      </c>
    </row>
    <row r="9" spans="1:49" x14ac:dyDescent="0.2"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AC9" t="e">
        <f ca="1">RANK(AB9,OFFSET($AB$2,0,0,#REF!,1))</f>
        <v>#REF!</v>
      </c>
      <c r="AD9" s="4" t="e">
        <f>InsurerSize(#REF!)</f>
        <v>#VALUE!</v>
      </c>
      <c r="AE9" s="4" t="e">
        <f t="shared" si="0"/>
        <v>#VALUE!</v>
      </c>
      <c r="AF9" s="4" t="s">
        <v>132</v>
      </c>
    </row>
    <row r="10" spans="1:49" x14ac:dyDescent="0.2"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AC10" t="e">
        <f ca="1">RANK(AB10,OFFSET($AB$2,0,0,#REF!,1))</f>
        <v>#REF!</v>
      </c>
      <c r="AD10" s="4" t="e">
        <f>InsurerSize(#REF!)</f>
        <v>#VALUE!</v>
      </c>
      <c r="AE10" s="4" t="e">
        <f t="shared" si="0"/>
        <v>#VALUE!</v>
      </c>
      <c r="AF10" s="4" t="s">
        <v>133</v>
      </c>
    </row>
    <row r="11" spans="1:49" x14ac:dyDescent="0.2"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AC11" t="e">
        <f ca="1">RANK(AB11,OFFSET($AB$2,0,0,#REF!,1))</f>
        <v>#REF!</v>
      </c>
      <c r="AD11" s="4" t="e">
        <f>InsurerSize(#REF!)</f>
        <v>#VALUE!</v>
      </c>
      <c r="AE11" s="4" t="e">
        <f t="shared" si="0"/>
        <v>#VALUE!</v>
      </c>
      <c r="AF11" s="4" t="s">
        <v>134</v>
      </c>
      <c r="AG11" s="13" t="s">
        <v>53</v>
      </c>
      <c r="AH11" s="12">
        <v>1</v>
      </c>
    </row>
    <row r="12" spans="1:49" x14ac:dyDescent="0.2"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AC12" t="e">
        <f ca="1">RANK(AB12,OFFSET($AB$2,0,0,#REF!,1))</f>
        <v>#REF!</v>
      </c>
      <c r="AD12" s="4" t="e">
        <f>InsurerSize(#REF!)</f>
        <v>#VALUE!</v>
      </c>
      <c r="AE12" s="4" t="e">
        <f t="shared" si="0"/>
        <v>#VALUE!</v>
      </c>
      <c r="AF12" s="4" t="s">
        <v>135</v>
      </c>
      <c r="AL12" s="7" t="s">
        <v>12</v>
      </c>
      <c r="AM12" s="7" t="s">
        <v>11</v>
      </c>
      <c r="AN12" s="7" t="s">
        <v>13</v>
      </c>
      <c r="AO12" s="7" t="s">
        <v>10</v>
      </c>
      <c r="AP12" s="7" t="s">
        <v>14</v>
      </c>
      <c r="AS12" s="7" t="s">
        <v>12</v>
      </c>
      <c r="AT12" s="7" t="s">
        <v>11</v>
      </c>
      <c r="AU12" s="7" t="s">
        <v>13</v>
      </c>
      <c r="AV12" s="7" t="s">
        <v>10</v>
      </c>
      <c r="AW12" s="7" t="s">
        <v>14</v>
      </c>
    </row>
    <row r="13" spans="1:49" x14ac:dyDescent="0.2"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AC13" t="e">
        <f ca="1">RANK(AB13,OFFSET($AB$2,0,0,#REF!,1))</f>
        <v>#REF!</v>
      </c>
      <c r="AD13" s="4" t="e">
        <f>InsurerSize(#REF!)</f>
        <v>#VALUE!</v>
      </c>
      <c r="AE13" s="4" t="e">
        <f t="shared" si="0"/>
        <v>#VALUE!</v>
      </c>
      <c r="AF13" s="4" t="s">
        <v>136</v>
      </c>
      <c r="AG13" s="11" t="s">
        <v>27</v>
      </c>
      <c r="AH13" s="11">
        <v>2426960534964</v>
      </c>
      <c r="AI13" s="5" t="e">
        <f ca="1">AH13-AL13</f>
        <v>#REF!</v>
      </c>
      <c r="AJ13">
        <v>0</v>
      </c>
      <c r="AK13" t="s">
        <v>37</v>
      </c>
      <c r="AL13" s="5" t="e">
        <f t="shared" ref="AL13:AL29" ca="1" si="4">IF(AH$11=0,"",SUMIF(OFFSET($A$2,0,0,$AN$1,1),AL$12,OFFSET($H$2,0,$AJ13,$AN$1,1)))</f>
        <v>#REF!</v>
      </c>
      <c r="AM13" t="e">
        <f t="shared" ref="AM13:AP29" ca="1" si="5">IF($AH$11=0,"",SUMIF(OFFSET($A$2,0,0,$AN$1,1),AM$12,OFFSET($H$2,0,$AJ13,$AN$1,1)))</f>
        <v>#REF!</v>
      </c>
      <c r="AN13" t="e">
        <f t="shared" ca="1" si="5"/>
        <v>#REF!</v>
      </c>
      <c r="AO13" t="e">
        <f t="shared" ca="1" si="5"/>
        <v>#REF!</v>
      </c>
      <c r="AP13" t="e">
        <f t="shared" ca="1" si="5"/>
        <v>#REF!</v>
      </c>
      <c r="AR13" s="8" t="s">
        <v>39</v>
      </c>
      <c r="AS13" s="11" t="e">
        <f ca="1">AL13/AL$14*100</f>
        <v>#REF!</v>
      </c>
      <c r="AT13" s="11" t="e">
        <f ca="1">AM13/AM$14*100</f>
        <v>#REF!</v>
      </c>
      <c r="AU13" s="11" t="e">
        <f ca="1">AN13/AN$14*100</f>
        <v>#REF!</v>
      </c>
      <c r="AV13" s="11" t="e">
        <f ca="1">AO13/AO$14*100</f>
        <v>#REF!</v>
      </c>
      <c r="AW13" s="11" t="e">
        <f ca="1">AP13/AP$14*100</f>
        <v>#REF!</v>
      </c>
    </row>
    <row r="14" spans="1:49" x14ac:dyDescent="0.2"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AC14" t="e">
        <f ca="1">RANK(AB14,OFFSET($AB$2,0,0,#REF!,1))</f>
        <v>#REF!</v>
      </c>
      <c r="AD14" s="4" t="e">
        <f>InsurerSize(#REF!)</f>
        <v>#VALUE!</v>
      </c>
      <c r="AE14" s="4" t="e">
        <f t="shared" si="0"/>
        <v>#VALUE!</v>
      </c>
      <c r="AF14" s="4" t="s">
        <v>137</v>
      </c>
      <c r="AG14" s="11" t="s">
        <v>30</v>
      </c>
      <c r="AH14" s="11">
        <v>3268287270821</v>
      </c>
      <c r="AI14" s="5" t="e">
        <f t="shared" ref="AI14:AI29" ca="1" si="6">AH14-AL14</f>
        <v>#REF!</v>
      </c>
      <c r="AJ14">
        <v>1</v>
      </c>
      <c r="AK14" t="s">
        <v>6</v>
      </c>
      <c r="AL14" s="5" t="e">
        <f t="shared" ca="1" si="4"/>
        <v>#REF!</v>
      </c>
      <c r="AM14" t="e">
        <f t="shared" ca="1" si="5"/>
        <v>#REF!</v>
      </c>
      <c r="AN14" t="e">
        <f t="shared" ca="1" si="5"/>
        <v>#REF!</v>
      </c>
      <c r="AO14" t="e">
        <f t="shared" ca="1" si="5"/>
        <v>#REF!</v>
      </c>
      <c r="AP14" t="e">
        <f t="shared" ca="1" si="5"/>
        <v>#REF!</v>
      </c>
      <c r="AR14" t="s">
        <v>40</v>
      </c>
      <c r="AS14" s="11" t="e">
        <f t="shared" ref="AS14:AW15" ca="1" si="7">AL16/AL$14*100</f>
        <v>#REF!</v>
      </c>
      <c r="AT14" s="11" t="e">
        <f t="shared" ca="1" si="7"/>
        <v>#REF!</v>
      </c>
      <c r="AU14" s="11" t="e">
        <f t="shared" ca="1" si="7"/>
        <v>#REF!</v>
      </c>
      <c r="AV14" s="11" t="e">
        <f t="shared" ca="1" si="7"/>
        <v>#REF!</v>
      </c>
      <c r="AW14" s="11" t="e">
        <f t="shared" ca="1" si="7"/>
        <v>#REF!</v>
      </c>
    </row>
    <row r="15" spans="1:49" x14ac:dyDescent="0.2"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AC15" t="e">
        <f ca="1">RANK(AB15,OFFSET($AB$2,0,0,#REF!,1))</f>
        <v>#REF!</v>
      </c>
      <c r="AD15" s="4" t="e">
        <f>InsurerSize(#REF!)</f>
        <v>#VALUE!</v>
      </c>
      <c r="AE15" s="4" t="e">
        <f t="shared" si="0"/>
        <v>#VALUE!</v>
      </c>
      <c r="AF15" s="4" t="s">
        <v>138</v>
      </c>
      <c r="AI15" s="5" t="e">
        <f t="shared" ca="1" si="6"/>
        <v>#REF!</v>
      </c>
      <c r="AJ15">
        <v>2</v>
      </c>
      <c r="AK15" t="s">
        <v>5</v>
      </c>
      <c r="AL15" s="5" t="e">
        <f t="shared" ca="1" si="4"/>
        <v>#REF!</v>
      </c>
      <c r="AM15" t="e">
        <f t="shared" ca="1" si="5"/>
        <v>#REF!</v>
      </c>
      <c r="AN15" t="e">
        <f t="shared" ca="1" si="5"/>
        <v>#REF!</v>
      </c>
      <c r="AO15" t="e">
        <f t="shared" ca="1" si="5"/>
        <v>#REF!</v>
      </c>
      <c r="AP15" t="e">
        <f t="shared" ca="1" si="5"/>
        <v>#REF!</v>
      </c>
      <c r="AR15" t="s">
        <v>41</v>
      </c>
      <c r="AS15" s="11" t="e">
        <f t="shared" ca="1" si="7"/>
        <v>#REF!</v>
      </c>
      <c r="AT15" s="11" t="e">
        <f t="shared" ca="1" si="7"/>
        <v>#REF!</v>
      </c>
      <c r="AU15" s="11" t="e">
        <f t="shared" ca="1" si="7"/>
        <v>#REF!</v>
      </c>
      <c r="AV15" s="11" t="e">
        <f t="shared" ca="1" si="7"/>
        <v>#REF!</v>
      </c>
      <c r="AW15" s="11" t="e">
        <f t="shared" ca="1" si="7"/>
        <v>#REF!</v>
      </c>
    </row>
    <row r="16" spans="1:49" x14ac:dyDescent="0.2"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AC16" t="e">
        <f ca="1">RANK(AB16,OFFSET($AB$2,0,0,#REF!,1))</f>
        <v>#REF!</v>
      </c>
      <c r="AD16" s="4" t="e">
        <f>InsurerSize(#REF!)</f>
        <v>#VALUE!</v>
      </c>
      <c r="AE16" s="4" t="e">
        <f t="shared" si="0"/>
        <v>#VALUE!</v>
      </c>
      <c r="AF16" s="4" t="s">
        <v>139</v>
      </c>
      <c r="AG16" s="11" t="s">
        <v>28</v>
      </c>
      <c r="AH16" s="11">
        <v>9178129548</v>
      </c>
      <c r="AI16" s="5" t="e">
        <f t="shared" ca="1" si="6"/>
        <v>#REF!</v>
      </c>
      <c r="AJ16">
        <f>1+AJ15</f>
        <v>3</v>
      </c>
      <c r="AK16" t="s">
        <v>17</v>
      </c>
      <c r="AL16" s="5" t="e">
        <f t="shared" ca="1" si="4"/>
        <v>#REF!</v>
      </c>
      <c r="AM16" t="e">
        <f t="shared" ca="1" si="5"/>
        <v>#REF!</v>
      </c>
      <c r="AN16" t="e">
        <f t="shared" ca="1" si="5"/>
        <v>#REF!</v>
      </c>
      <c r="AO16" t="e">
        <f t="shared" ca="1" si="5"/>
        <v>#REF!</v>
      </c>
      <c r="AP16" t="e">
        <f t="shared" ca="1" si="5"/>
        <v>#REF!</v>
      </c>
      <c r="AR16" t="s">
        <v>42</v>
      </c>
      <c r="AS16" s="11" t="e">
        <f ca="1">(AL18+AL19)/AL$14*100</f>
        <v>#REF!</v>
      </c>
      <c r="AT16" s="11" t="e">
        <f ca="1">(AM18+AM19)/AM$14*100</f>
        <v>#REF!</v>
      </c>
      <c r="AU16" s="11" t="e">
        <f ca="1">(AN18+AN19)/AN$14*100</f>
        <v>#REF!</v>
      </c>
      <c r="AV16" s="11" t="e">
        <f ca="1">(AO18+AO19)/AO$14*100</f>
        <v>#REF!</v>
      </c>
      <c r="AW16" s="11" t="e">
        <f ca="1">(AP18+AP19)/AP$14*100</f>
        <v>#REF!</v>
      </c>
    </row>
    <row r="17" spans="8:49" x14ac:dyDescent="0.2"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AC17" t="e">
        <f ca="1">RANK(AB17,OFFSET($AB$2,0,0,#REF!,1))</f>
        <v>#REF!</v>
      </c>
      <c r="AD17" s="4" t="e">
        <f>InsurerSize(#REF!)</f>
        <v>#VALUE!</v>
      </c>
      <c r="AE17" s="4" t="e">
        <f t="shared" si="0"/>
        <v>#VALUE!</v>
      </c>
      <c r="AF17" s="4" t="s">
        <v>140</v>
      </c>
      <c r="AG17" s="11" t="s">
        <v>29</v>
      </c>
      <c r="AH17" s="11">
        <v>139207103007</v>
      </c>
      <c r="AI17" s="5" t="e">
        <f t="shared" ca="1" si="6"/>
        <v>#REF!</v>
      </c>
      <c r="AJ17">
        <f t="shared" ref="AJ17:AJ29" si="8">1+AJ16</f>
        <v>4</v>
      </c>
      <c r="AK17" t="s">
        <v>18</v>
      </c>
      <c r="AL17" s="5" t="e">
        <f t="shared" ca="1" si="4"/>
        <v>#REF!</v>
      </c>
      <c r="AM17" t="e">
        <f t="shared" ca="1" si="5"/>
        <v>#REF!</v>
      </c>
      <c r="AN17" t="e">
        <f t="shared" ca="1" si="5"/>
        <v>#REF!</v>
      </c>
      <c r="AO17" t="e">
        <f t="shared" ca="1" si="5"/>
        <v>#REF!</v>
      </c>
      <c r="AP17" t="e">
        <f t="shared" ca="1" si="5"/>
        <v>#REF!</v>
      </c>
      <c r="AR17" t="s">
        <v>43</v>
      </c>
      <c r="AS17" s="11" t="e">
        <f ca="1">(AL20+AL21+AL22)/AL$14*100</f>
        <v>#REF!</v>
      </c>
      <c r="AT17" s="11" t="e">
        <f ca="1">(AM20+AM21+AM22)/AM$14*100</f>
        <v>#REF!</v>
      </c>
      <c r="AU17" s="11" t="e">
        <f ca="1">(AN20+AN21+AN22)/AN$14*100</f>
        <v>#REF!</v>
      </c>
      <c r="AV17" s="11" t="e">
        <f ca="1">(AO20+AO21+AO22)/AO$14*100</f>
        <v>#REF!</v>
      </c>
      <c r="AW17" s="11" t="e">
        <f ca="1">(AP20+AP21+AP22)/AP$14*100</f>
        <v>#REF!</v>
      </c>
    </row>
    <row r="18" spans="8:49" x14ac:dyDescent="0.2"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AC18" t="e">
        <f ca="1">RANK(AB18,OFFSET($AB$2,0,0,#REF!,1))</f>
        <v>#REF!</v>
      </c>
      <c r="AD18" s="4" t="e">
        <f>InsurerSize(#REF!)</f>
        <v>#VALUE!</v>
      </c>
      <c r="AE18" s="4" t="e">
        <f t="shared" si="0"/>
        <v>#VALUE!</v>
      </c>
      <c r="AF18" s="4" t="s">
        <v>141</v>
      </c>
      <c r="AG18" s="11" t="s">
        <v>19</v>
      </c>
      <c r="AH18" s="11">
        <v>305234097788</v>
      </c>
      <c r="AI18" s="5" t="e">
        <f t="shared" ca="1" si="6"/>
        <v>#REF!</v>
      </c>
      <c r="AJ18">
        <f t="shared" si="8"/>
        <v>5</v>
      </c>
      <c r="AK18" t="s">
        <v>19</v>
      </c>
      <c r="AL18" s="5" t="e">
        <f t="shared" ca="1" si="4"/>
        <v>#REF!</v>
      </c>
      <c r="AM18" t="e">
        <f t="shared" ca="1" si="5"/>
        <v>#REF!</v>
      </c>
      <c r="AN18" t="e">
        <f t="shared" ca="1" si="5"/>
        <v>#REF!</v>
      </c>
      <c r="AO18" t="e">
        <f t="shared" ca="1" si="5"/>
        <v>#REF!</v>
      </c>
      <c r="AP18" t="e">
        <f t="shared" ca="1" si="5"/>
        <v>#REF!</v>
      </c>
      <c r="AR18" t="s">
        <v>44</v>
      </c>
      <c r="AS18" s="11" t="e">
        <f ca="1">AL23/AL$14*100</f>
        <v>#REF!</v>
      </c>
      <c r="AT18" s="11" t="e">
        <f ca="1">AM23/AM$14*100</f>
        <v>#REF!</v>
      </c>
      <c r="AU18" s="11" t="e">
        <f ca="1">AN23/AN$14*100</f>
        <v>#REF!</v>
      </c>
      <c r="AV18" s="11" t="e">
        <f ca="1">AO23/AO$14*100</f>
        <v>#REF!</v>
      </c>
      <c r="AW18" s="11" t="e">
        <f ca="1">AP23/AP$14*100</f>
        <v>#REF!</v>
      </c>
    </row>
    <row r="19" spans="8:49" x14ac:dyDescent="0.2"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AC19" t="e">
        <f ca="1">RANK(AB19,OFFSET($AB$2,0,0,#REF!,1))</f>
        <v>#REF!</v>
      </c>
      <c r="AD19" s="4" t="e">
        <f>InsurerSize(#REF!)</f>
        <v>#VALUE!</v>
      </c>
      <c r="AE19" s="4" t="e">
        <f t="shared" si="0"/>
        <v>#VALUE!</v>
      </c>
      <c r="AF19" s="4" t="s">
        <v>142</v>
      </c>
      <c r="AG19" s="11" t="s">
        <v>20</v>
      </c>
      <c r="AH19" s="11">
        <v>2142743759</v>
      </c>
      <c r="AI19" s="5" t="e">
        <f t="shared" ca="1" si="6"/>
        <v>#REF!</v>
      </c>
      <c r="AJ19">
        <f t="shared" si="8"/>
        <v>6</v>
      </c>
      <c r="AK19" t="s">
        <v>20</v>
      </c>
      <c r="AL19" s="5" t="e">
        <f t="shared" ca="1" si="4"/>
        <v>#REF!</v>
      </c>
      <c r="AM19" t="e">
        <f t="shared" ca="1" si="5"/>
        <v>#REF!</v>
      </c>
      <c r="AN19" t="e">
        <f t="shared" ca="1" si="5"/>
        <v>#REF!</v>
      </c>
      <c r="AO19" t="e">
        <f t="shared" ca="1" si="5"/>
        <v>#REF!</v>
      </c>
      <c r="AP19" t="e">
        <f t="shared" ca="1" si="5"/>
        <v>#REF!</v>
      </c>
      <c r="AR19" t="s">
        <v>45</v>
      </c>
      <c r="AS19" s="11" t="e">
        <f t="shared" ref="AS19:AW20" ca="1" si="9">AL25/AL$14*100</f>
        <v>#REF!</v>
      </c>
      <c r="AT19" s="11" t="e">
        <f t="shared" ca="1" si="9"/>
        <v>#REF!</v>
      </c>
      <c r="AU19" s="11" t="e">
        <f t="shared" ca="1" si="9"/>
        <v>#REF!</v>
      </c>
      <c r="AV19" s="11" t="e">
        <f t="shared" ca="1" si="9"/>
        <v>#REF!</v>
      </c>
      <c r="AW19" s="11" t="e">
        <f t="shared" ca="1" si="9"/>
        <v>#REF!</v>
      </c>
    </row>
    <row r="20" spans="8:49" x14ac:dyDescent="0.2"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AC20" t="e">
        <f ca="1">RANK(AB20,OFFSET($AB$2,0,0,#REF!,1))</f>
        <v>#REF!</v>
      </c>
      <c r="AD20" s="4" t="e">
        <f>InsurerSize(#REF!)</f>
        <v>#VALUE!</v>
      </c>
      <c r="AE20" s="4" t="e">
        <f t="shared" si="0"/>
        <v>#VALUE!</v>
      </c>
      <c r="AF20" s="4" t="s">
        <v>143</v>
      </c>
      <c r="AG20" s="11" t="s">
        <v>31</v>
      </c>
      <c r="AH20" s="11">
        <v>5743340613</v>
      </c>
      <c r="AI20" s="5" t="e">
        <f t="shared" ca="1" si="6"/>
        <v>#REF!</v>
      </c>
      <c r="AJ20">
        <f t="shared" si="8"/>
        <v>7</v>
      </c>
      <c r="AK20" t="s">
        <v>31</v>
      </c>
      <c r="AL20" s="5" t="e">
        <f t="shared" ca="1" si="4"/>
        <v>#REF!</v>
      </c>
      <c r="AM20" t="e">
        <f t="shared" ca="1" si="5"/>
        <v>#REF!</v>
      </c>
      <c r="AN20" t="e">
        <f t="shared" ca="1" si="5"/>
        <v>#REF!</v>
      </c>
      <c r="AO20" t="e">
        <f t="shared" ca="1" si="5"/>
        <v>#REF!</v>
      </c>
      <c r="AP20" t="e">
        <f t="shared" ca="1" si="5"/>
        <v>#REF!</v>
      </c>
      <c r="AR20" t="s">
        <v>46</v>
      </c>
      <c r="AS20" s="11" t="e">
        <f t="shared" ca="1" si="9"/>
        <v>#REF!</v>
      </c>
      <c r="AT20" s="11" t="e">
        <f t="shared" ca="1" si="9"/>
        <v>#REF!</v>
      </c>
      <c r="AU20" s="11" t="e">
        <f t="shared" ca="1" si="9"/>
        <v>#REF!</v>
      </c>
      <c r="AV20" s="11" t="e">
        <f t="shared" ca="1" si="9"/>
        <v>#REF!</v>
      </c>
      <c r="AW20" s="11" t="e">
        <f t="shared" ca="1" si="9"/>
        <v>#REF!</v>
      </c>
    </row>
    <row r="21" spans="8:49" x14ac:dyDescent="0.2"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AC21" t="e">
        <f ca="1">RANK(AB21,OFFSET($AB$2,0,0,#REF!,1))</f>
        <v>#REF!</v>
      </c>
      <c r="AD21" s="4" t="e">
        <f>InsurerSize(#REF!)</f>
        <v>#VALUE!</v>
      </c>
      <c r="AE21" s="4" t="e">
        <f t="shared" si="0"/>
        <v>#VALUE!</v>
      </c>
      <c r="AF21" s="4" t="s">
        <v>144</v>
      </c>
      <c r="AG21" s="11" t="s">
        <v>32</v>
      </c>
      <c r="AH21" s="11">
        <v>13610440560</v>
      </c>
      <c r="AI21" s="5" t="e">
        <f t="shared" ca="1" si="6"/>
        <v>#REF!</v>
      </c>
      <c r="AJ21">
        <f t="shared" si="8"/>
        <v>8</v>
      </c>
      <c r="AK21" t="s">
        <v>32</v>
      </c>
      <c r="AL21" s="5" t="e">
        <f t="shared" ca="1" si="4"/>
        <v>#REF!</v>
      </c>
      <c r="AM21" t="e">
        <f t="shared" ca="1" si="5"/>
        <v>#REF!</v>
      </c>
      <c r="AN21" t="e">
        <f t="shared" ca="1" si="5"/>
        <v>#REF!</v>
      </c>
      <c r="AO21" t="e">
        <f t="shared" ca="1" si="5"/>
        <v>#REF!</v>
      </c>
      <c r="AP21" t="e">
        <f t="shared" ca="1" si="5"/>
        <v>#REF!</v>
      </c>
      <c r="AR21" t="s">
        <v>47</v>
      </c>
      <c r="AS21" s="11" t="e">
        <f ca="1">AL24/AL$14*100</f>
        <v>#REF!</v>
      </c>
      <c r="AT21" s="11" t="e">
        <f ca="1">AM24/AM$14*100</f>
        <v>#REF!</v>
      </c>
      <c r="AU21" s="11" t="e">
        <f ca="1">AN24/AN$14*100</f>
        <v>#REF!</v>
      </c>
      <c r="AV21" s="11" t="e">
        <f ca="1">AO24/AO$14*100</f>
        <v>#REF!</v>
      </c>
      <c r="AW21" s="11" t="e">
        <f ca="1">AP24/AP$14*100</f>
        <v>#REF!</v>
      </c>
    </row>
    <row r="22" spans="8:49" x14ac:dyDescent="0.2"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AC22" t="e">
        <f ca="1">RANK(AB22,OFFSET($AB$2,0,0,#REF!,1))</f>
        <v>#REF!</v>
      </c>
      <c r="AD22" s="4" t="e">
        <f>InsurerSize(#REF!)</f>
        <v>#VALUE!</v>
      </c>
      <c r="AE22" s="4" t="e">
        <f t="shared" si="0"/>
        <v>#VALUE!</v>
      </c>
      <c r="AF22" s="4" t="s">
        <v>145</v>
      </c>
      <c r="AG22" s="11" t="s">
        <v>33</v>
      </c>
      <c r="AH22" s="11">
        <v>336426582</v>
      </c>
      <c r="AI22" s="5" t="e">
        <f t="shared" ca="1" si="6"/>
        <v>#REF!</v>
      </c>
      <c r="AJ22">
        <f t="shared" si="8"/>
        <v>9</v>
      </c>
      <c r="AK22" t="s">
        <v>33</v>
      </c>
      <c r="AL22" s="5" t="e">
        <f t="shared" ca="1" si="4"/>
        <v>#REF!</v>
      </c>
      <c r="AM22" t="e">
        <f t="shared" ca="1" si="5"/>
        <v>#REF!</v>
      </c>
      <c r="AN22" t="e">
        <f t="shared" ca="1" si="5"/>
        <v>#REF!</v>
      </c>
      <c r="AO22" t="e">
        <f t="shared" ca="1" si="5"/>
        <v>#REF!</v>
      </c>
      <c r="AP22" t="e">
        <f t="shared" ca="1" si="5"/>
        <v>#REF!</v>
      </c>
      <c r="AR22" t="s">
        <v>48</v>
      </c>
      <c r="AS22" s="11" t="e">
        <f ca="1">(AL27+AL28+AL29)/AL$14*100</f>
        <v>#REF!</v>
      </c>
      <c r="AT22" s="11" t="e">
        <f ca="1">(AM27+AM28+AM29)/AM$14*100</f>
        <v>#REF!</v>
      </c>
      <c r="AU22" s="11" t="e">
        <f ca="1">(AN27+AN28+AN29)/AN$14*100</f>
        <v>#REF!</v>
      </c>
      <c r="AV22" s="11" t="e">
        <f ca="1">(AO27+AO28+AO29)/AO$14*100</f>
        <v>#REF!</v>
      </c>
      <c r="AW22" s="11" t="e">
        <f ca="1">(AP27+AP28+AP29)/AP$14*100</f>
        <v>#REF!</v>
      </c>
    </row>
    <row r="23" spans="8:49" x14ac:dyDescent="0.2"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AC23" t="e">
        <f ca="1">RANK(AB23,OFFSET($AB$2,0,0,#REF!,1))</f>
        <v>#REF!</v>
      </c>
      <c r="AD23" s="4" t="e">
        <f>InsurerSize(#REF!)</f>
        <v>#VALUE!</v>
      </c>
      <c r="AE23" s="4" t="e">
        <f t="shared" si="0"/>
        <v>#VALUE!</v>
      </c>
      <c r="AF23" s="4" t="s">
        <v>146</v>
      </c>
      <c r="AG23" s="11" t="s">
        <v>21</v>
      </c>
      <c r="AH23" s="11">
        <v>95266135521</v>
      </c>
      <c r="AI23" s="5" t="e">
        <f t="shared" ca="1" si="6"/>
        <v>#REF!</v>
      </c>
      <c r="AJ23">
        <f t="shared" si="8"/>
        <v>10</v>
      </c>
      <c r="AK23" t="s">
        <v>21</v>
      </c>
      <c r="AL23" s="5" t="e">
        <f t="shared" ca="1" si="4"/>
        <v>#REF!</v>
      </c>
      <c r="AM23" t="e">
        <f t="shared" ca="1" si="5"/>
        <v>#REF!</v>
      </c>
      <c r="AN23" t="e">
        <f t="shared" ca="1" si="5"/>
        <v>#REF!</v>
      </c>
      <c r="AO23" t="e">
        <f t="shared" ca="1" si="5"/>
        <v>#REF!</v>
      </c>
      <c r="AP23" t="e">
        <f t="shared" ca="1" si="5"/>
        <v>#REF!</v>
      </c>
      <c r="AR23" t="s">
        <v>49</v>
      </c>
      <c r="AS23" s="11" t="e">
        <f ca="1">AL14/AL$14*100</f>
        <v>#REF!</v>
      </c>
      <c r="AT23" s="11" t="e">
        <f ca="1">AM14/AM$14*100</f>
        <v>#REF!</v>
      </c>
      <c r="AU23" s="11" t="e">
        <f ca="1">AN14/AN$14*100</f>
        <v>#REF!</v>
      </c>
      <c r="AV23" s="11" t="e">
        <f ca="1">AO14/AO$14*100</f>
        <v>#REF!</v>
      </c>
      <c r="AW23" s="11" t="e">
        <f ca="1">AP14/AP$14*100</f>
        <v>#REF!</v>
      </c>
    </row>
    <row r="24" spans="8:49" x14ac:dyDescent="0.2"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AC24" t="e">
        <f ca="1">RANK(AB24,OFFSET($AB$2,0,0,#REF!,1))</f>
        <v>#REF!</v>
      </c>
      <c r="AD24" s="4" t="e">
        <f>InsurerSize(#REF!)</f>
        <v>#VALUE!</v>
      </c>
      <c r="AE24" s="4" t="e">
        <f t="shared" si="0"/>
        <v>#VALUE!</v>
      </c>
      <c r="AF24" s="4" t="s">
        <v>147</v>
      </c>
      <c r="AG24" s="11" t="s">
        <v>22</v>
      </c>
      <c r="AH24" s="11">
        <v>123488441452</v>
      </c>
      <c r="AI24" s="5" t="e">
        <f t="shared" ca="1" si="6"/>
        <v>#REF!</v>
      </c>
      <c r="AJ24">
        <f t="shared" si="8"/>
        <v>11</v>
      </c>
      <c r="AK24" t="s">
        <v>22</v>
      </c>
      <c r="AL24" s="5" t="e">
        <f t="shared" ca="1" si="4"/>
        <v>#REF!</v>
      </c>
      <c r="AM24" t="e">
        <f t="shared" ca="1" si="5"/>
        <v>#REF!</v>
      </c>
      <c r="AN24" t="e">
        <f t="shared" ca="1" si="5"/>
        <v>#REF!</v>
      </c>
      <c r="AO24" t="e">
        <f t="shared" ca="1" si="5"/>
        <v>#REF!</v>
      </c>
      <c r="AP24" t="e">
        <f t="shared" ca="1" si="5"/>
        <v>#REF!</v>
      </c>
      <c r="AR24" t="s">
        <v>50</v>
      </c>
      <c r="AS24" s="11"/>
      <c r="AT24" s="11"/>
      <c r="AU24" s="11"/>
      <c r="AV24" s="11"/>
      <c r="AW24" s="11"/>
    </row>
    <row r="25" spans="8:49" x14ac:dyDescent="0.2"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AC25" t="e">
        <f ca="1">RANK(AB25,OFFSET($AB$2,0,0,#REF!,1))</f>
        <v>#REF!</v>
      </c>
      <c r="AD25" s="4" t="e">
        <f>InsurerSize(#REF!)</f>
        <v>#VALUE!</v>
      </c>
      <c r="AE25" s="4" t="e">
        <f t="shared" si="0"/>
        <v>#VALUE!</v>
      </c>
      <c r="AF25" s="4" t="s">
        <v>148</v>
      </c>
      <c r="AG25" s="11" t="s">
        <v>23</v>
      </c>
      <c r="AH25" s="11">
        <v>21575962694</v>
      </c>
      <c r="AI25" s="5" t="e">
        <f t="shared" ca="1" si="6"/>
        <v>#REF!</v>
      </c>
      <c r="AJ25">
        <f t="shared" si="8"/>
        <v>12</v>
      </c>
      <c r="AK25" t="s">
        <v>23</v>
      </c>
      <c r="AL25" s="5" t="e">
        <f t="shared" ca="1" si="4"/>
        <v>#REF!</v>
      </c>
      <c r="AM25" t="e">
        <f t="shared" ca="1" si="5"/>
        <v>#REF!</v>
      </c>
      <c r="AN25" t="e">
        <f t="shared" ca="1" si="5"/>
        <v>#REF!</v>
      </c>
      <c r="AO25" t="e">
        <f t="shared" ca="1" si="5"/>
        <v>#REF!</v>
      </c>
      <c r="AP25" t="e">
        <f t="shared" ca="1" si="5"/>
        <v>#REF!</v>
      </c>
      <c r="AR25" t="s">
        <v>51</v>
      </c>
      <c r="AS25" s="11" t="e">
        <f ca="1">AL15/AL$14*100</f>
        <v>#REF!</v>
      </c>
      <c r="AT25" s="11" t="e">
        <f ca="1">AM15/AM$14*100</f>
        <v>#REF!</v>
      </c>
      <c r="AU25" s="11" t="e">
        <f ca="1">AN15/AN$14*100</f>
        <v>#REF!</v>
      </c>
      <c r="AV25" s="11" t="e">
        <f ca="1">AO15/AO$14*100</f>
        <v>#REF!</v>
      </c>
      <c r="AW25" s="11" t="e">
        <f ca="1">AP15/AP$14*100</f>
        <v>#REF!</v>
      </c>
    </row>
    <row r="26" spans="8:49" x14ac:dyDescent="0.2"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AC26" t="e">
        <f ca="1">RANK(AB26,OFFSET($AB$2,0,0,#REF!,1))</f>
        <v>#REF!</v>
      </c>
      <c r="AD26" s="4" t="e">
        <f>InsurerSize(#REF!)</f>
        <v>#VALUE!</v>
      </c>
      <c r="AE26" s="4" t="e">
        <f t="shared" si="0"/>
        <v>#VALUE!</v>
      </c>
      <c r="AF26" s="4" t="s">
        <v>149</v>
      </c>
      <c r="AG26" s="11" t="s">
        <v>24</v>
      </c>
      <c r="AH26" s="11">
        <v>112634652418</v>
      </c>
      <c r="AI26" s="5" t="e">
        <f t="shared" ca="1" si="6"/>
        <v>#REF!</v>
      </c>
      <c r="AJ26">
        <f t="shared" si="8"/>
        <v>13</v>
      </c>
      <c r="AK26" t="s">
        <v>24</v>
      </c>
      <c r="AL26" s="5" t="e">
        <f t="shared" ca="1" si="4"/>
        <v>#REF!</v>
      </c>
      <c r="AM26" t="e">
        <f t="shared" ca="1" si="5"/>
        <v>#REF!</v>
      </c>
      <c r="AN26" t="e">
        <f t="shared" ca="1" si="5"/>
        <v>#REF!</v>
      </c>
      <c r="AO26" t="e">
        <f t="shared" ca="1" si="5"/>
        <v>#REF!</v>
      </c>
      <c r="AP26" t="e">
        <f t="shared" ca="1" si="5"/>
        <v>#REF!</v>
      </c>
      <c r="AS26" s="11"/>
    </row>
    <row r="27" spans="8:49" x14ac:dyDescent="0.2"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AC27" t="e">
        <f ca="1">RANK(AB27,OFFSET($AB$2,0,0,#REF!,1))</f>
        <v>#REF!</v>
      </c>
      <c r="AD27" s="4" t="e">
        <f>InsurerSize(#REF!)</f>
        <v>#VALUE!</v>
      </c>
      <c r="AE27" s="4" t="e">
        <f t="shared" si="0"/>
        <v>#VALUE!</v>
      </c>
      <c r="AF27" s="4" t="s">
        <v>150</v>
      </c>
      <c r="AG27" s="11" t="s">
        <v>25</v>
      </c>
      <c r="AH27" s="11">
        <v>1790736031</v>
      </c>
      <c r="AI27" s="5" t="e">
        <f t="shared" ca="1" si="6"/>
        <v>#REF!</v>
      </c>
      <c r="AJ27">
        <f t="shared" si="8"/>
        <v>14</v>
      </c>
      <c r="AK27" t="s">
        <v>25</v>
      </c>
      <c r="AL27" s="5" t="e">
        <f t="shared" ca="1" si="4"/>
        <v>#REF!</v>
      </c>
      <c r="AM27" t="e">
        <f t="shared" ca="1" si="5"/>
        <v>#REF!</v>
      </c>
      <c r="AN27" t="e">
        <f t="shared" ca="1" si="5"/>
        <v>#REF!</v>
      </c>
      <c r="AO27" t="e">
        <f t="shared" ca="1" si="5"/>
        <v>#REF!</v>
      </c>
      <c r="AP27" t="e">
        <f t="shared" ca="1" si="5"/>
        <v>#REF!</v>
      </c>
      <c r="AR27" s="8" t="s">
        <v>54</v>
      </c>
      <c r="AS27" s="11" t="e">
        <f ca="1">AL14/AL15</f>
        <v>#REF!</v>
      </c>
      <c r="AT27" s="11" t="e">
        <f ca="1">AM14/AM15</f>
        <v>#REF!</v>
      </c>
      <c r="AU27" s="11" t="e">
        <f ca="1">AN14/AN15</f>
        <v>#REF!</v>
      </c>
      <c r="AV27" s="11" t="e">
        <f ca="1">AO14/AO15</f>
        <v>#REF!</v>
      </c>
      <c r="AW27" s="11" t="e">
        <f ca="1">AP14/AP15</f>
        <v>#REF!</v>
      </c>
    </row>
    <row r="28" spans="8:49" x14ac:dyDescent="0.2"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AC28" t="e">
        <f ca="1">RANK(AB28,OFFSET($AB$2,0,0,#REF!,1))</f>
        <v>#REF!</v>
      </c>
      <c r="AD28" s="4" t="e">
        <f>InsurerSize(#REF!)</f>
        <v>#VALUE!</v>
      </c>
      <c r="AE28" s="4" t="e">
        <f t="shared" si="0"/>
        <v>#VALUE!</v>
      </c>
      <c r="AF28" s="4" t="s">
        <v>151</v>
      </c>
      <c r="AG28" s="11" t="s">
        <v>34</v>
      </c>
      <c r="AH28" s="11">
        <v>10583484041</v>
      </c>
      <c r="AI28" s="5" t="e">
        <f t="shared" ca="1" si="6"/>
        <v>#REF!</v>
      </c>
      <c r="AJ28">
        <f t="shared" si="8"/>
        <v>15</v>
      </c>
      <c r="AK28" t="s">
        <v>34</v>
      </c>
      <c r="AL28" s="5" t="e">
        <f t="shared" ca="1" si="4"/>
        <v>#REF!</v>
      </c>
      <c r="AM28" t="e">
        <f t="shared" ca="1" si="5"/>
        <v>#REF!</v>
      </c>
      <c r="AN28" t="e">
        <f t="shared" ca="1" si="5"/>
        <v>#REF!</v>
      </c>
      <c r="AO28" t="e">
        <f t="shared" ca="1" si="5"/>
        <v>#REF!</v>
      </c>
      <c r="AP28" t="e">
        <f t="shared" ca="1" si="5"/>
        <v>#REF!</v>
      </c>
      <c r="AS28" s="11"/>
    </row>
    <row r="29" spans="8:49" x14ac:dyDescent="0.2"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AC29" t="e">
        <f ca="1">RANK(AB29,OFFSET($AB$2,0,0,#REF!,1))</f>
        <v>#REF!</v>
      </c>
      <c r="AD29" s="4" t="e">
        <f>InsurerSize(#REF!)</f>
        <v>#VALUE!</v>
      </c>
      <c r="AE29" s="4" t="e">
        <f t="shared" si="0"/>
        <v>#VALUE!</v>
      </c>
      <c r="AF29" s="4" t="s">
        <v>152</v>
      </c>
      <c r="AG29" s="11" t="s">
        <v>26</v>
      </c>
      <c r="AH29" s="11">
        <v>535041847</v>
      </c>
      <c r="AI29" s="5" t="e">
        <f t="shared" ca="1" si="6"/>
        <v>#REF!</v>
      </c>
      <c r="AJ29">
        <f t="shared" si="8"/>
        <v>16</v>
      </c>
      <c r="AK29" t="s">
        <v>26</v>
      </c>
      <c r="AL29" s="5" t="e">
        <f t="shared" ca="1" si="4"/>
        <v>#REF!</v>
      </c>
      <c r="AM29" t="e">
        <f t="shared" ca="1" si="5"/>
        <v>#REF!</v>
      </c>
      <c r="AN29" t="e">
        <f t="shared" ca="1" si="5"/>
        <v>#REF!</v>
      </c>
      <c r="AO29" t="e">
        <f t="shared" ca="1" si="5"/>
        <v>#REF!</v>
      </c>
      <c r="AP29" t="e">
        <f t="shared" ca="1" si="5"/>
        <v>#REF!</v>
      </c>
    </row>
    <row r="30" spans="8:49" x14ac:dyDescent="0.2"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AC30" t="e">
        <f ca="1">RANK(AB30,OFFSET($AB$2,0,0,#REF!,1))</f>
        <v>#REF!</v>
      </c>
      <c r="AD30" s="4" t="e">
        <f>InsurerSize(#REF!)</f>
        <v>#VALUE!</v>
      </c>
      <c r="AE30" s="4" t="e">
        <f t="shared" si="0"/>
        <v>#VALUE!</v>
      </c>
      <c r="AF30" s="4" t="s">
        <v>153</v>
      </c>
    </row>
    <row r="31" spans="8:49" x14ac:dyDescent="0.2"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AC31" t="e">
        <f ca="1">RANK(AB31,OFFSET($AB$2,0,0,#REF!,1))</f>
        <v>#REF!</v>
      </c>
      <c r="AD31" s="4" t="e">
        <f>InsurerSize(#REF!)</f>
        <v>#VALUE!</v>
      </c>
      <c r="AE31" s="4" t="e">
        <f t="shared" si="0"/>
        <v>#VALUE!</v>
      </c>
      <c r="AF31" s="4" t="s">
        <v>154</v>
      </c>
    </row>
    <row r="32" spans="8:49" x14ac:dyDescent="0.2"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AC32" t="e">
        <f ca="1">RANK(AB32,OFFSET($AB$2,0,0,#REF!,1))</f>
        <v>#REF!</v>
      </c>
      <c r="AD32" s="4" t="e">
        <f>InsurerSize(#REF!)</f>
        <v>#VALUE!</v>
      </c>
      <c r="AE32" s="4" t="e">
        <f t="shared" si="0"/>
        <v>#VALUE!</v>
      </c>
      <c r="AF32" s="4" t="s">
        <v>155</v>
      </c>
    </row>
    <row r="33" spans="8:45" x14ac:dyDescent="0.2"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AC33" t="e">
        <f ca="1">RANK(AB33,OFFSET($AB$2,0,0,#REF!,1))</f>
        <v>#REF!</v>
      </c>
      <c r="AD33" s="4" t="e">
        <f>InsurerSize(#REF!)</f>
        <v>#VALUE!</v>
      </c>
      <c r="AE33" s="4" t="e">
        <f t="shared" si="0"/>
        <v>#VALUE!</v>
      </c>
      <c r="AF33" s="4" t="s">
        <v>156</v>
      </c>
    </row>
    <row r="34" spans="8:45" x14ac:dyDescent="0.2"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AC34" t="e">
        <f ca="1">RANK(AB34,OFFSET($AB$2,0,0,#REF!,1))</f>
        <v>#REF!</v>
      </c>
      <c r="AD34" s="4" t="e">
        <f>InsurerSize(#REF!)</f>
        <v>#VALUE!</v>
      </c>
      <c r="AE34" s="4" t="e">
        <f t="shared" si="0"/>
        <v>#VALUE!</v>
      </c>
      <c r="AF34" s="4" t="s">
        <v>157</v>
      </c>
      <c r="AK34" s="26" t="s">
        <v>115</v>
      </c>
      <c r="AL34" s="27"/>
      <c r="AM34" s="28"/>
      <c r="AN34" s="27"/>
      <c r="AO34" s="28"/>
      <c r="AP34" s="27"/>
      <c r="AQ34" s="27"/>
      <c r="AR34" s="29"/>
      <c r="AS34" s="30"/>
    </row>
    <row r="35" spans="8:45" x14ac:dyDescent="0.2"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AC35" t="e">
        <f ca="1">RANK(AB35,OFFSET($AB$2,0,0,#REF!,1))</f>
        <v>#REF!</v>
      </c>
      <c r="AD35" s="4" t="e">
        <f>InsurerSize(#REF!)</f>
        <v>#VALUE!</v>
      </c>
      <c r="AE35" s="4" t="e">
        <f t="shared" si="0"/>
        <v>#VALUE!</v>
      </c>
      <c r="AF35" s="4" t="s">
        <v>158</v>
      </c>
      <c r="AK35" s="3"/>
      <c r="AL35" s="3"/>
      <c r="AM35" s="31">
        <v>0</v>
      </c>
      <c r="AN35" s="32" t="e">
        <f ca="1">AM35+AM36</f>
        <v>#REF!</v>
      </c>
      <c r="AO35" s="32" t="e">
        <f ca="1">AN35+AN36</f>
        <v>#REF!</v>
      </c>
      <c r="AP35" s="32" t="e">
        <f ca="1">AO35+AO36</f>
        <v>#REF!</v>
      </c>
      <c r="AQ35" s="32" t="e">
        <f ca="1">AP35+AP36</f>
        <v>#REF!</v>
      </c>
    </row>
    <row r="36" spans="8:45" x14ac:dyDescent="0.2"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AC36" t="e">
        <f ca="1">RANK(AB36,OFFSET($AB$2,0,0,#REF!,1))</f>
        <v>#REF!</v>
      </c>
      <c r="AD36" s="4" t="e">
        <f>InsurerSize(#REF!)</f>
        <v>#VALUE!</v>
      </c>
      <c r="AE36" s="4" t="e">
        <f t="shared" si="0"/>
        <v>#VALUE!</v>
      </c>
      <c r="AK36" s="3"/>
      <c r="AL36" s="24" t="s">
        <v>116</v>
      </c>
      <c r="AM36" s="33" t="e">
        <f ca="1">COUNTIF(OFFSET($A$2,0,0,$AN$1,1),AM37)</f>
        <v>#REF!</v>
      </c>
      <c r="AN36" s="33" t="e">
        <f ca="1">COUNTIF(OFFSET($A$2,0,0,$AN$1,1),AN37)</f>
        <v>#REF!</v>
      </c>
      <c r="AO36" s="33" t="e">
        <f ca="1">COUNTIF(OFFSET($A$2,0,0,$AN$1,1),AO37)</f>
        <v>#REF!</v>
      </c>
      <c r="AP36" s="33" t="e">
        <f ca="1">COUNTIF(OFFSET($A$2,0,0,$AN$1,1),AP37)</f>
        <v>#REF!</v>
      </c>
      <c r="AQ36" s="33" t="e">
        <f ca="1">COUNTIF(OFFSET($A$2,0,0,$AN$1,1),AQ37)</f>
        <v>#REF!</v>
      </c>
      <c r="AR36" s="34" t="e">
        <f ca="1">AQ35+AQ36</f>
        <v>#REF!</v>
      </c>
      <c r="AS36" s="35" t="e">
        <f ca="1">AR36-AN1</f>
        <v>#REF!</v>
      </c>
    </row>
    <row r="37" spans="8:45" x14ac:dyDescent="0.2"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AC37" t="e">
        <f ca="1">RANK(AB37,OFFSET($AB$2,0,0,#REF!,1))</f>
        <v>#REF!</v>
      </c>
      <c r="AD37" s="4" t="e">
        <f>InsurerSize(#REF!)</f>
        <v>#VALUE!</v>
      </c>
      <c r="AE37" s="4" t="e">
        <f t="shared" si="0"/>
        <v>#VALUE!</v>
      </c>
      <c r="AK37" s="36" t="s">
        <v>117</v>
      </c>
      <c r="AL37" s="24" t="s">
        <v>118</v>
      </c>
      <c r="AM37" s="37" t="s">
        <v>11</v>
      </c>
      <c r="AN37" s="38" t="s">
        <v>12</v>
      </c>
      <c r="AO37" s="37" t="s">
        <v>13</v>
      </c>
      <c r="AP37" s="38" t="s">
        <v>14</v>
      </c>
      <c r="AQ37" s="37" t="s">
        <v>10</v>
      </c>
      <c r="AR37" s="38" t="s">
        <v>38</v>
      </c>
    </row>
    <row r="38" spans="8:45" x14ac:dyDescent="0.2"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AC38" t="e">
        <f ca="1">RANK(AB38,OFFSET($AB$2,0,0,#REF!,1))</f>
        <v>#REF!</v>
      </c>
      <c r="AD38" s="4" t="e">
        <f>InsurerSize(#REF!)</f>
        <v>#VALUE!</v>
      </c>
      <c r="AE38" s="4" t="e">
        <f t="shared" si="0"/>
        <v>#VALUE!</v>
      </c>
      <c r="AK38" s="36">
        <v>1</v>
      </c>
      <c r="AL38" s="39" t="s">
        <v>119</v>
      </c>
      <c r="AM38" s="43" t="e">
        <f ca="1">COUNTIF(OFFSET($AE$2,AM$35,0,AM$36,1),AM$37&amp;$AK38)+2</f>
        <v>#REF!</v>
      </c>
      <c r="AN38" s="40" t="e">
        <f ca="1">COUNTIF(OFFSET($AE$2,AN$35,0,AN$36,1),AN$37&amp;$AK38)</f>
        <v>#REF!</v>
      </c>
      <c r="AO38" s="40" t="e">
        <f ca="1">COUNTIF(OFFSET($AE$2,AO$35,0,AO$36,1),AO$37&amp;$AK38)</f>
        <v>#REF!</v>
      </c>
      <c r="AP38" s="40" t="e">
        <f ca="1">COUNTIF(OFFSET($AE$2,AP$35,0,AP$36,1),AP$37&amp;$AK38)</f>
        <v>#REF!</v>
      </c>
      <c r="AQ38" s="40" t="e">
        <f ca="1">COUNTIF(OFFSET($AE$2,AQ$35,0,AQ$36,1),AQ$37&amp;$AK38)</f>
        <v>#REF!</v>
      </c>
      <c r="AR38" s="41" t="e">
        <f ca="1">SUM(AM38:AQ38)</f>
        <v>#REF!</v>
      </c>
      <c r="AS38" s="42"/>
    </row>
    <row r="39" spans="8:45" x14ac:dyDescent="0.2"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AC39" t="e">
        <f ca="1">RANK(AB39,OFFSET($AB$2,0,0,#REF!,1))</f>
        <v>#REF!</v>
      </c>
      <c r="AD39" s="4" t="e">
        <f>InsurerSize(#REF!)</f>
        <v>#VALUE!</v>
      </c>
      <c r="AE39" s="4" t="e">
        <f t="shared" si="0"/>
        <v>#VALUE!</v>
      </c>
      <c r="AK39" s="36">
        <v>2</v>
      </c>
      <c r="AL39" s="24" t="s">
        <v>120</v>
      </c>
      <c r="AM39" s="40" t="e">
        <f t="shared" ref="AM39:AQ44" ca="1" si="10">COUNTIF(OFFSET($AE$2,AM$35,0,AM$36,1),AM$37&amp;$AK39)</f>
        <v>#REF!</v>
      </c>
      <c r="AN39" s="40" t="e">
        <f t="shared" ca="1" si="10"/>
        <v>#REF!</v>
      </c>
      <c r="AO39" s="40" t="e">
        <f t="shared" ca="1" si="10"/>
        <v>#REF!</v>
      </c>
      <c r="AP39" s="40" t="e">
        <f t="shared" ca="1" si="10"/>
        <v>#REF!</v>
      </c>
      <c r="AQ39" s="40" t="e">
        <f t="shared" ca="1" si="10"/>
        <v>#REF!</v>
      </c>
      <c r="AR39" s="41" t="e">
        <f t="shared" ref="AR39:AR44" ca="1" si="11">SUM(AM39:AQ39)</f>
        <v>#REF!</v>
      </c>
      <c r="AS39" s="42"/>
    </row>
    <row r="40" spans="8:45" x14ac:dyDescent="0.2"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AC40" t="e">
        <f ca="1">RANK(AB40,OFFSET($AB$2,0,0,#REF!,1))</f>
        <v>#REF!</v>
      </c>
      <c r="AD40" s="4" t="e">
        <f>InsurerSize(#REF!)</f>
        <v>#VALUE!</v>
      </c>
      <c r="AE40" s="4" t="e">
        <f t="shared" si="0"/>
        <v>#VALUE!</v>
      </c>
      <c r="AK40" s="36">
        <v>3</v>
      </c>
      <c r="AL40" s="24" t="s">
        <v>121</v>
      </c>
      <c r="AM40" s="40" t="e">
        <f t="shared" ca="1" si="10"/>
        <v>#REF!</v>
      </c>
      <c r="AN40" s="40" t="e">
        <f t="shared" ca="1" si="10"/>
        <v>#REF!</v>
      </c>
      <c r="AO40" s="40" t="e">
        <f t="shared" ca="1" si="10"/>
        <v>#REF!</v>
      </c>
      <c r="AP40" s="40" t="e">
        <f t="shared" ca="1" si="10"/>
        <v>#REF!</v>
      </c>
      <c r="AQ40" s="40" t="e">
        <f t="shared" ca="1" si="10"/>
        <v>#REF!</v>
      </c>
      <c r="AR40" s="41" t="e">
        <f t="shared" ca="1" si="11"/>
        <v>#REF!</v>
      </c>
      <c r="AS40" s="42"/>
    </row>
    <row r="41" spans="8:45" x14ac:dyDescent="0.2"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AC41" t="e">
        <f ca="1">RANK(AB41,OFFSET($AB$2,0,0,#REF!,1))</f>
        <v>#REF!</v>
      </c>
      <c r="AD41" s="4" t="e">
        <f>InsurerSize(#REF!)</f>
        <v>#VALUE!</v>
      </c>
      <c r="AE41" s="4" t="e">
        <f t="shared" si="0"/>
        <v>#VALUE!</v>
      </c>
      <c r="AK41" s="36">
        <v>4</v>
      </c>
      <c r="AL41" s="24" t="s">
        <v>122</v>
      </c>
      <c r="AM41" s="40" t="e">
        <f t="shared" ca="1" si="10"/>
        <v>#REF!</v>
      </c>
      <c r="AN41" s="40" t="e">
        <f t="shared" ca="1" si="10"/>
        <v>#REF!</v>
      </c>
      <c r="AO41" s="40" t="e">
        <f t="shared" ca="1" si="10"/>
        <v>#REF!</v>
      </c>
      <c r="AP41" s="40" t="e">
        <f t="shared" ca="1" si="10"/>
        <v>#REF!</v>
      </c>
      <c r="AQ41" s="40" t="e">
        <f t="shared" ca="1" si="10"/>
        <v>#REF!</v>
      </c>
      <c r="AR41" s="41" t="e">
        <f t="shared" ca="1" si="11"/>
        <v>#REF!</v>
      </c>
      <c r="AS41" s="42"/>
    </row>
    <row r="42" spans="8:45" x14ac:dyDescent="0.2"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AC42" t="e">
        <f ca="1">RANK(AB42,OFFSET($AB$2,0,0,#REF!,1))</f>
        <v>#REF!</v>
      </c>
      <c r="AD42" s="4" t="e">
        <f>InsurerSize(#REF!)</f>
        <v>#VALUE!</v>
      </c>
      <c r="AE42" s="4" t="e">
        <f t="shared" si="0"/>
        <v>#VALUE!</v>
      </c>
      <c r="AK42" s="36">
        <v>5</v>
      </c>
      <c r="AL42" s="24" t="s">
        <v>123</v>
      </c>
      <c r="AM42" s="40" t="e">
        <f t="shared" ca="1" si="10"/>
        <v>#REF!</v>
      </c>
      <c r="AN42" s="40" t="e">
        <f t="shared" ca="1" si="10"/>
        <v>#REF!</v>
      </c>
      <c r="AO42" s="40" t="e">
        <f t="shared" ca="1" si="10"/>
        <v>#REF!</v>
      </c>
      <c r="AP42" s="40" t="e">
        <f t="shared" ca="1" si="10"/>
        <v>#REF!</v>
      </c>
      <c r="AQ42" s="40" t="e">
        <f t="shared" ca="1" si="10"/>
        <v>#REF!</v>
      </c>
      <c r="AR42" s="41" t="e">
        <f t="shared" ca="1" si="11"/>
        <v>#REF!</v>
      </c>
      <c r="AS42" s="42"/>
    </row>
    <row r="43" spans="8:45" x14ac:dyDescent="0.2"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AC43" t="e">
        <f ca="1">RANK(AB43,OFFSET($AB$2,0,0,#REF!,1))</f>
        <v>#REF!</v>
      </c>
      <c r="AD43" s="4" t="e">
        <f>InsurerSize(#REF!)</f>
        <v>#VALUE!</v>
      </c>
      <c r="AE43" s="4" t="e">
        <f t="shared" si="0"/>
        <v>#VALUE!</v>
      </c>
      <c r="AK43" s="36">
        <v>6</v>
      </c>
      <c r="AL43" s="24" t="s">
        <v>124</v>
      </c>
      <c r="AM43" s="40" t="e">
        <f t="shared" ca="1" si="10"/>
        <v>#REF!</v>
      </c>
      <c r="AN43" s="40" t="e">
        <f t="shared" ca="1" si="10"/>
        <v>#REF!</v>
      </c>
      <c r="AO43" s="40" t="e">
        <f t="shared" ca="1" si="10"/>
        <v>#REF!</v>
      </c>
      <c r="AP43" s="40" t="e">
        <f t="shared" ca="1" si="10"/>
        <v>#REF!</v>
      </c>
      <c r="AQ43" s="40" t="e">
        <f t="shared" ca="1" si="10"/>
        <v>#REF!</v>
      </c>
      <c r="AR43" s="41" t="e">
        <f t="shared" ca="1" si="11"/>
        <v>#REF!</v>
      </c>
      <c r="AS43" s="42"/>
    </row>
    <row r="44" spans="8:45" x14ac:dyDescent="0.2"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AC44" t="e">
        <f ca="1">RANK(AB44,OFFSET($AB$2,0,0,#REF!,1))</f>
        <v>#REF!</v>
      </c>
      <c r="AD44" s="4" t="e">
        <f>InsurerSize(#REF!)</f>
        <v>#VALUE!</v>
      </c>
      <c r="AE44" s="4" t="e">
        <f t="shared" si="0"/>
        <v>#VALUE!</v>
      </c>
      <c r="AK44" s="36">
        <v>7</v>
      </c>
      <c r="AL44" s="24" t="s">
        <v>125</v>
      </c>
      <c r="AM44" s="40" t="e">
        <f t="shared" ca="1" si="10"/>
        <v>#REF!</v>
      </c>
      <c r="AN44" s="40" t="e">
        <f t="shared" ca="1" si="10"/>
        <v>#REF!</v>
      </c>
      <c r="AO44" s="40" t="e">
        <f t="shared" ca="1" si="10"/>
        <v>#REF!</v>
      </c>
      <c r="AP44" s="40" t="e">
        <f t="shared" ca="1" si="10"/>
        <v>#REF!</v>
      </c>
      <c r="AQ44" s="40" t="e">
        <f t="shared" ca="1" si="10"/>
        <v>#REF!</v>
      </c>
      <c r="AR44" s="41" t="e">
        <f t="shared" ca="1" si="11"/>
        <v>#REF!</v>
      </c>
      <c r="AS44" s="42"/>
    </row>
    <row r="45" spans="8:45" x14ac:dyDescent="0.2"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AC45" t="e">
        <f ca="1">RANK(AB45,OFFSET($AB$2,0,0,#REF!,1))</f>
        <v>#REF!</v>
      </c>
      <c r="AD45" s="4" t="e">
        <f>InsurerSize(#REF!)</f>
        <v>#VALUE!</v>
      </c>
      <c r="AE45" s="4" t="e">
        <f t="shared" si="0"/>
        <v>#VALUE!</v>
      </c>
      <c r="AM45" s="40" t="e">
        <f t="shared" ref="AM45:AR45" ca="1" si="12">SUM(AM38:AM44)</f>
        <v>#REF!</v>
      </c>
      <c r="AN45" s="40" t="e">
        <f t="shared" ca="1" si="12"/>
        <v>#REF!</v>
      </c>
      <c r="AO45" s="40" t="e">
        <f t="shared" ca="1" si="12"/>
        <v>#REF!</v>
      </c>
      <c r="AP45" s="40" t="e">
        <f t="shared" ca="1" si="12"/>
        <v>#REF!</v>
      </c>
      <c r="AQ45" s="40" t="e">
        <f t="shared" ca="1" si="12"/>
        <v>#REF!</v>
      </c>
      <c r="AR45" s="41" t="e">
        <f t="shared" ca="1" si="12"/>
        <v>#REF!</v>
      </c>
      <c r="AS45" s="42" t="e">
        <f ca="1">SUM(AM45:AQ45,-AR45)</f>
        <v>#REF!</v>
      </c>
    </row>
    <row r="46" spans="8:45" x14ac:dyDescent="0.2"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AC46" t="e">
        <f ca="1">RANK(AB46,OFFSET($AB$2,0,0,#REF!,1))</f>
        <v>#REF!</v>
      </c>
      <c r="AD46" s="4" t="e">
        <f>InsurerSize(#REF!)</f>
        <v>#VALUE!</v>
      </c>
      <c r="AE46" s="4" t="e">
        <f t="shared" si="0"/>
        <v>#VALUE!</v>
      </c>
      <c r="AM46" s="40" t="e">
        <f ca="1">AM45-AM2</f>
        <v>#REF!</v>
      </c>
      <c r="AN46" s="40" t="e">
        <f ca="1">AN45-AM3</f>
        <v>#REF!</v>
      </c>
      <c r="AO46" s="40" t="e">
        <f ca="1">AO45-AM4</f>
        <v>#REF!</v>
      </c>
      <c r="AP46" s="40" t="e">
        <f ca="1">AP45-AM5</f>
        <v>#REF!</v>
      </c>
      <c r="AQ46" s="40" t="e">
        <f ca="1">AQ45-AM6</f>
        <v>#REF!</v>
      </c>
    </row>
    <row r="47" spans="8:45" x14ac:dyDescent="0.2"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AC47" t="e">
        <f ca="1">RANK(AB47,OFFSET($AB$2,0,0,#REF!,1))</f>
        <v>#REF!</v>
      </c>
      <c r="AD47" s="4" t="e">
        <f>InsurerSize(#REF!)</f>
        <v>#VALUE!</v>
      </c>
      <c r="AE47" s="4" t="e">
        <f t="shared" si="0"/>
        <v>#VALUE!</v>
      </c>
    </row>
    <row r="48" spans="8:45" x14ac:dyDescent="0.2"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AC48" t="e">
        <f ca="1">RANK(AB48,OFFSET($AB$2,0,0,#REF!,1))</f>
        <v>#REF!</v>
      </c>
      <c r="AD48" s="4" t="e">
        <f>InsurerSize(#REF!)</f>
        <v>#VALUE!</v>
      </c>
      <c r="AE48" s="4" t="e">
        <f t="shared" si="0"/>
        <v>#VALUE!</v>
      </c>
    </row>
    <row r="49" spans="8:31" x14ac:dyDescent="0.2"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AC49" t="e">
        <f ca="1">RANK(AB49,OFFSET($AB$2,0,0,#REF!,1))</f>
        <v>#REF!</v>
      </c>
      <c r="AD49" s="4" t="e">
        <f>InsurerSize(#REF!)</f>
        <v>#VALUE!</v>
      </c>
      <c r="AE49" s="4" t="e">
        <f t="shared" si="0"/>
        <v>#VALUE!</v>
      </c>
    </row>
    <row r="50" spans="8:31" x14ac:dyDescent="0.2"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AC50" t="e">
        <f ca="1">RANK(AB50,OFFSET($AB$2,0,0,#REF!,1))</f>
        <v>#REF!</v>
      </c>
      <c r="AD50" s="4" t="e">
        <f>InsurerSize(#REF!)</f>
        <v>#VALUE!</v>
      </c>
      <c r="AE50" s="4" t="e">
        <f t="shared" si="0"/>
        <v>#VALUE!</v>
      </c>
    </row>
    <row r="51" spans="8:31" x14ac:dyDescent="0.2"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AC51" t="e">
        <f ca="1">RANK(AB51,OFFSET($AB$2,0,0,#REF!,1))</f>
        <v>#REF!</v>
      </c>
      <c r="AD51" s="4" t="e">
        <f>InsurerSize(#REF!)</f>
        <v>#VALUE!</v>
      </c>
      <c r="AE51" s="4" t="e">
        <f t="shared" si="0"/>
        <v>#VALUE!</v>
      </c>
    </row>
    <row r="52" spans="8:31" x14ac:dyDescent="0.2"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AC52" t="e">
        <f ca="1">RANK(AB52,OFFSET($AB$2,0,0,#REF!,1))</f>
        <v>#REF!</v>
      </c>
      <c r="AD52" s="4" t="e">
        <f>InsurerSize(#REF!)</f>
        <v>#VALUE!</v>
      </c>
      <c r="AE52" s="4" t="e">
        <f t="shared" si="0"/>
        <v>#VALUE!</v>
      </c>
    </row>
    <row r="53" spans="8:31" x14ac:dyDescent="0.2"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AC53" t="e">
        <f ca="1">RANK(AB53,OFFSET($AB$2,0,0,#REF!,1))</f>
        <v>#REF!</v>
      </c>
      <c r="AD53" s="4" t="e">
        <f>InsurerSize(#REF!)</f>
        <v>#VALUE!</v>
      </c>
      <c r="AE53" s="4" t="e">
        <f t="shared" si="0"/>
        <v>#VALUE!</v>
      </c>
    </row>
    <row r="54" spans="8:31" x14ac:dyDescent="0.2"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AC54" t="e">
        <f ca="1">RANK(AB54,OFFSET($AB$2,0,0,#REF!,1))</f>
        <v>#REF!</v>
      </c>
      <c r="AD54" s="4" t="e">
        <f>InsurerSize(#REF!)</f>
        <v>#VALUE!</v>
      </c>
      <c r="AE54" s="4" t="e">
        <f t="shared" si="0"/>
        <v>#VALUE!</v>
      </c>
    </row>
    <row r="55" spans="8:31" x14ac:dyDescent="0.2"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AC55" t="e">
        <f ca="1">RANK(AB55,OFFSET($AB$2,0,0,#REF!,1))</f>
        <v>#REF!</v>
      </c>
      <c r="AD55" s="4" t="e">
        <f>InsurerSize(#REF!)</f>
        <v>#VALUE!</v>
      </c>
      <c r="AE55" s="4" t="e">
        <f t="shared" si="0"/>
        <v>#VALUE!</v>
      </c>
    </row>
    <row r="56" spans="8:31" x14ac:dyDescent="0.2"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AC56" t="e">
        <f ca="1">RANK(AB56,OFFSET($AB$2,0,0,#REF!,1))</f>
        <v>#REF!</v>
      </c>
      <c r="AD56" s="4" t="e">
        <f>InsurerSize(#REF!)</f>
        <v>#VALUE!</v>
      </c>
      <c r="AE56" s="4" t="e">
        <f t="shared" si="0"/>
        <v>#VALUE!</v>
      </c>
    </row>
    <row r="57" spans="8:31" x14ac:dyDescent="0.2"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AC57" t="e">
        <f ca="1">RANK(AB57,OFFSET($AB$2,0,0,#REF!,1))</f>
        <v>#REF!</v>
      </c>
      <c r="AD57" s="4" t="e">
        <f>InsurerSize(#REF!)</f>
        <v>#VALUE!</v>
      </c>
      <c r="AE57" s="4" t="e">
        <f t="shared" si="0"/>
        <v>#VALUE!</v>
      </c>
    </row>
    <row r="58" spans="8:31" x14ac:dyDescent="0.2"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AC58" t="e">
        <f ca="1">RANK(AB58,OFFSET($AB$2,0,0,#REF!,1))</f>
        <v>#REF!</v>
      </c>
      <c r="AD58" s="4" t="e">
        <f>InsurerSize(#REF!)</f>
        <v>#VALUE!</v>
      </c>
      <c r="AE58" s="4" t="e">
        <f t="shared" si="0"/>
        <v>#VALUE!</v>
      </c>
    </row>
    <row r="59" spans="8:31" x14ac:dyDescent="0.2"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AC59" t="e">
        <f ca="1">RANK(AB59,OFFSET($AB$2,0,0,#REF!,1))</f>
        <v>#REF!</v>
      </c>
      <c r="AD59" s="4" t="e">
        <f>InsurerSize(#REF!)</f>
        <v>#VALUE!</v>
      </c>
      <c r="AE59" s="4" t="e">
        <f t="shared" si="0"/>
        <v>#VALUE!</v>
      </c>
    </row>
    <row r="60" spans="8:31" x14ac:dyDescent="0.2"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AC60" t="e">
        <f ca="1">RANK(AB60,OFFSET($AB$2,0,0,#REF!,1))</f>
        <v>#REF!</v>
      </c>
      <c r="AD60" s="4" t="e">
        <f>InsurerSize(#REF!)</f>
        <v>#VALUE!</v>
      </c>
      <c r="AE60" s="4" t="e">
        <f t="shared" si="0"/>
        <v>#VALUE!</v>
      </c>
    </row>
    <row r="61" spans="8:31" x14ac:dyDescent="0.2"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AC61" t="e">
        <f ca="1">RANK(AB61,OFFSET($AB$2,0,0,#REF!,1))</f>
        <v>#REF!</v>
      </c>
      <c r="AD61" s="4" t="e">
        <f>InsurerSize(#REF!)</f>
        <v>#VALUE!</v>
      </c>
      <c r="AE61" s="4" t="e">
        <f t="shared" si="0"/>
        <v>#VALUE!</v>
      </c>
    </row>
    <row r="62" spans="8:31" x14ac:dyDescent="0.2"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AC62" t="e">
        <f ca="1">RANK(AB62,OFFSET($AB$2,0,0,#REF!,1))</f>
        <v>#REF!</v>
      </c>
      <c r="AD62" s="4" t="e">
        <f>InsurerSize(#REF!)</f>
        <v>#VALUE!</v>
      </c>
      <c r="AE62" s="4" t="e">
        <f t="shared" si="0"/>
        <v>#VALUE!</v>
      </c>
    </row>
    <row r="63" spans="8:31" x14ac:dyDescent="0.2"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AC63" t="e">
        <f ca="1">RANK(AB63,OFFSET($AB$2,0,0,#REF!,1))</f>
        <v>#REF!</v>
      </c>
      <c r="AD63" s="4" t="e">
        <f>InsurerSize(#REF!)</f>
        <v>#VALUE!</v>
      </c>
      <c r="AE63" s="4" t="e">
        <f t="shared" si="0"/>
        <v>#VALUE!</v>
      </c>
    </row>
    <row r="64" spans="8:31" x14ac:dyDescent="0.2"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AC64" t="e">
        <f ca="1">RANK(AB64,OFFSET($AB$2,0,0,#REF!,1))</f>
        <v>#REF!</v>
      </c>
      <c r="AD64" s="4" t="e">
        <f>InsurerSize(#REF!)</f>
        <v>#VALUE!</v>
      </c>
      <c r="AE64" s="4" t="e">
        <f t="shared" si="0"/>
        <v>#VALUE!</v>
      </c>
    </row>
    <row r="65" spans="8:31" x14ac:dyDescent="0.2"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AC65" t="e">
        <f ca="1">RANK(AB65,OFFSET($AB$2,0,0,#REF!,1))</f>
        <v>#REF!</v>
      </c>
      <c r="AD65" s="4" t="e">
        <f>InsurerSize(#REF!)</f>
        <v>#VALUE!</v>
      </c>
      <c r="AE65" s="4" t="e">
        <f t="shared" si="0"/>
        <v>#VALUE!</v>
      </c>
    </row>
    <row r="66" spans="8:31" x14ac:dyDescent="0.2"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AC66" t="e">
        <f ca="1">RANK(AB66,OFFSET($AB$2,0,0,#REF!,1))</f>
        <v>#REF!</v>
      </c>
      <c r="AD66" s="4" t="e">
        <f>InsurerSize(#REF!)</f>
        <v>#VALUE!</v>
      </c>
      <c r="AE66" s="4" t="e">
        <f t="shared" ref="AE66:AE129" si="13">A66&amp;AD66</f>
        <v>#VALUE!</v>
      </c>
    </row>
    <row r="67" spans="8:31" x14ac:dyDescent="0.2"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AC67" t="e">
        <f ca="1">RANK(AB67,OFFSET($AB$2,0,0,#REF!,1))</f>
        <v>#REF!</v>
      </c>
      <c r="AD67" s="4" t="e">
        <f>InsurerSize(#REF!)</f>
        <v>#VALUE!</v>
      </c>
      <c r="AE67" s="4" t="e">
        <f t="shared" si="13"/>
        <v>#VALUE!</v>
      </c>
    </row>
    <row r="68" spans="8:31" x14ac:dyDescent="0.2"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AC68" t="e">
        <f ca="1">RANK(AB68,OFFSET($AB$2,0,0,#REF!,1))</f>
        <v>#REF!</v>
      </c>
      <c r="AD68" s="4" t="e">
        <f>InsurerSize(#REF!)</f>
        <v>#VALUE!</v>
      </c>
      <c r="AE68" s="4" t="e">
        <f t="shared" si="13"/>
        <v>#VALUE!</v>
      </c>
    </row>
    <row r="69" spans="8:31" x14ac:dyDescent="0.2"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AC69" t="e">
        <f ca="1">RANK(AB69,OFFSET($AB$2,0,0,#REF!,1))</f>
        <v>#REF!</v>
      </c>
      <c r="AD69" s="4" t="e">
        <f>InsurerSize(#REF!)</f>
        <v>#VALUE!</v>
      </c>
      <c r="AE69" s="4" t="e">
        <f t="shared" si="13"/>
        <v>#VALUE!</v>
      </c>
    </row>
    <row r="70" spans="8:31" x14ac:dyDescent="0.2"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AC70" t="e">
        <f ca="1">RANK(AB70,OFFSET($AB$2,0,0,#REF!,1))</f>
        <v>#REF!</v>
      </c>
      <c r="AD70" s="4" t="e">
        <f>InsurerSize(#REF!)</f>
        <v>#VALUE!</v>
      </c>
      <c r="AE70" s="4" t="e">
        <f t="shared" si="13"/>
        <v>#VALUE!</v>
      </c>
    </row>
    <row r="71" spans="8:31" x14ac:dyDescent="0.2"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AC71" t="e">
        <f ca="1">RANK(AB71,OFFSET($AB$2,0,0,#REF!,1))</f>
        <v>#REF!</v>
      </c>
      <c r="AD71" s="4" t="e">
        <f>InsurerSize(#REF!)</f>
        <v>#VALUE!</v>
      </c>
      <c r="AE71" s="4" t="e">
        <f t="shared" si="13"/>
        <v>#VALUE!</v>
      </c>
    </row>
    <row r="72" spans="8:31" x14ac:dyDescent="0.2"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AC72" t="e">
        <f ca="1">RANK(AB72,OFFSET($AB$2,0,0,#REF!,1))</f>
        <v>#REF!</v>
      </c>
      <c r="AD72" s="4" t="e">
        <f>InsurerSize(#REF!)</f>
        <v>#VALUE!</v>
      </c>
      <c r="AE72" s="4" t="e">
        <f t="shared" si="13"/>
        <v>#VALUE!</v>
      </c>
    </row>
    <row r="73" spans="8:31" x14ac:dyDescent="0.2"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AC73" t="e">
        <f ca="1">RANK(AB73,OFFSET($AB$2,0,0,#REF!,1))</f>
        <v>#REF!</v>
      </c>
      <c r="AD73" s="4" t="e">
        <f>InsurerSize(#REF!)</f>
        <v>#VALUE!</v>
      </c>
      <c r="AE73" s="4" t="e">
        <f t="shared" si="13"/>
        <v>#VALUE!</v>
      </c>
    </row>
    <row r="74" spans="8:31" x14ac:dyDescent="0.2"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AC74" t="e">
        <f ca="1">RANK(AB74,OFFSET($AB$2,0,0,#REF!,1))</f>
        <v>#REF!</v>
      </c>
      <c r="AD74" s="4" t="e">
        <f>InsurerSize(#REF!)</f>
        <v>#VALUE!</v>
      </c>
      <c r="AE74" s="4" t="e">
        <f t="shared" si="13"/>
        <v>#VALUE!</v>
      </c>
    </row>
    <row r="75" spans="8:31" x14ac:dyDescent="0.2"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AC75" t="e">
        <f ca="1">RANK(AB75,OFFSET($AB$2,0,0,#REF!,1))</f>
        <v>#REF!</v>
      </c>
      <c r="AD75" s="4" t="e">
        <f>InsurerSize(#REF!)</f>
        <v>#VALUE!</v>
      </c>
      <c r="AE75" s="4" t="e">
        <f t="shared" si="13"/>
        <v>#VALUE!</v>
      </c>
    </row>
    <row r="76" spans="8:31" x14ac:dyDescent="0.2"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AC76" t="e">
        <f ca="1">RANK(AB76,OFFSET($AB$2,0,0,#REF!,1))</f>
        <v>#REF!</v>
      </c>
      <c r="AD76" s="4" t="e">
        <f>InsurerSize(#REF!)</f>
        <v>#VALUE!</v>
      </c>
      <c r="AE76" s="4" t="e">
        <f t="shared" si="13"/>
        <v>#VALUE!</v>
      </c>
    </row>
    <row r="77" spans="8:31" x14ac:dyDescent="0.2"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AC77" t="e">
        <f ca="1">RANK(AB77,OFFSET($AB$2,0,0,#REF!,1))</f>
        <v>#REF!</v>
      </c>
      <c r="AD77" s="4" t="e">
        <f>InsurerSize(#REF!)</f>
        <v>#VALUE!</v>
      </c>
      <c r="AE77" s="4" t="e">
        <f t="shared" si="13"/>
        <v>#VALUE!</v>
      </c>
    </row>
    <row r="78" spans="8:31" x14ac:dyDescent="0.2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AC78" t="e">
        <f ca="1">RANK(AB78,OFFSET($AB$2,0,0,#REF!,1))</f>
        <v>#REF!</v>
      </c>
      <c r="AD78" s="4" t="e">
        <f>InsurerSize(#REF!)</f>
        <v>#VALUE!</v>
      </c>
      <c r="AE78" s="4" t="e">
        <f t="shared" si="13"/>
        <v>#VALUE!</v>
      </c>
    </row>
    <row r="79" spans="8:31" x14ac:dyDescent="0.2"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AC79" t="e">
        <f ca="1">RANK(AB79,OFFSET($AB$2,0,0,#REF!,1))</f>
        <v>#REF!</v>
      </c>
      <c r="AD79" s="4" t="e">
        <f>InsurerSize(#REF!)</f>
        <v>#VALUE!</v>
      </c>
      <c r="AE79" s="4" t="e">
        <f t="shared" si="13"/>
        <v>#VALUE!</v>
      </c>
    </row>
    <row r="80" spans="8:31" x14ac:dyDescent="0.2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AC80" t="e">
        <f ca="1">RANK(AB80,OFFSET($AB$2,0,0,#REF!,1))</f>
        <v>#REF!</v>
      </c>
      <c r="AD80" s="4" t="e">
        <f>InsurerSize(#REF!)</f>
        <v>#VALUE!</v>
      </c>
      <c r="AE80" s="4" t="e">
        <f t="shared" si="13"/>
        <v>#VALUE!</v>
      </c>
    </row>
    <row r="81" spans="8:31" x14ac:dyDescent="0.2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AC81" t="e">
        <f ca="1">RANK(AB81,OFFSET($AB$2,0,0,#REF!,1))</f>
        <v>#REF!</v>
      </c>
      <c r="AD81" s="4" t="e">
        <f>InsurerSize(#REF!)</f>
        <v>#VALUE!</v>
      </c>
      <c r="AE81" s="4" t="e">
        <f t="shared" si="13"/>
        <v>#VALUE!</v>
      </c>
    </row>
    <row r="82" spans="8:31" x14ac:dyDescent="0.2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AC82" t="e">
        <f ca="1">RANK(AB82,OFFSET($AB$2,0,0,#REF!,1))</f>
        <v>#REF!</v>
      </c>
      <c r="AD82" s="4" t="e">
        <f>InsurerSize(#REF!)</f>
        <v>#VALUE!</v>
      </c>
      <c r="AE82" s="4" t="e">
        <f t="shared" si="13"/>
        <v>#VALUE!</v>
      </c>
    </row>
    <row r="83" spans="8:31" x14ac:dyDescent="0.2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AC83" t="e">
        <f ca="1">RANK(AB83,OFFSET($AB$2,0,0,#REF!,1))</f>
        <v>#REF!</v>
      </c>
      <c r="AD83" s="4" t="e">
        <f>InsurerSize(#REF!)</f>
        <v>#VALUE!</v>
      </c>
      <c r="AE83" s="4" t="e">
        <f t="shared" si="13"/>
        <v>#VALUE!</v>
      </c>
    </row>
    <row r="84" spans="8:31" x14ac:dyDescent="0.2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AC84" t="e">
        <f ca="1">RANK(AB84,OFFSET($AB$2,0,0,#REF!,1))</f>
        <v>#REF!</v>
      </c>
      <c r="AD84" s="4" t="e">
        <f>InsurerSize(#REF!)</f>
        <v>#VALUE!</v>
      </c>
      <c r="AE84" s="4" t="e">
        <f t="shared" si="13"/>
        <v>#VALUE!</v>
      </c>
    </row>
    <row r="85" spans="8:31" x14ac:dyDescent="0.2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AC85" t="e">
        <f ca="1">RANK(AB85,OFFSET($AB$2,0,0,#REF!,1))</f>
        <v>#REF!</v>
      </c>
      <c r="AD85" s="4" t="e">
        <f>InsurerSize(#REF!)</f>
        <v>#VALUE!</v>
      </c>
      <c r="AE85" s="4" t="e">
        <f t="shared" si="13"/>
        <v>#VALUE!</v>
      </c>
    </row>
    <row r="86" spans="8:31" x14ac:dyDescent="0.2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AC86" t="e">
        <f ca="1">RANK(AB86,OFFSET($AB$2,0,0,#REF!,1))</f>
        <v>#REF!</v>
      </c>
      <c r="AD86" s="4" t="e">
        <f>InsurerSize(#REF!)</f>
        <v>#VALUE!</v>
      </c>
      <c r="AE86" s="4" t="e">
        <f t="shared" si="13"/>
        <v>#VALUE!</v>
      </c>
    </row>
    <row r="87" spans="8:31" x14ac:dyDescent="0.2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AC87" t="e">
        <f ca="1">RANK(AB87,OFFSET($AB$2,0,0,#REF!,1))</f>
        <v>#REF!</v>
      </c>
      <c r="AD87" s="4" t="e">
        <f>InsurerSize(#REF!)</f>
        <v>#VALUE!</v>
      </c>
      <c r="AE87" s="4" t="e">
        <f t="shared" si="13"/>
        <v>#VALUE!</v>
      </c>
    </row>
    <row r="88" spans="8:31" x14ac:dyDescent="0.2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AC88" t="e">
        <f ca="1">RANK(AB88,OFFSET($AB$2,0,0,#REF!,1))</f>
        <v>#REF!</v>
      </c>
      <c r="AD88" s="4" t="e">
        <f>InsurerSize(#REF!)</f>
        <v>#VALUE!</v>
      </c>
      <c r="AE88" s="4" t="e">
        <f t="shared" si="13"/>
        <v>#VALUE!</v>
      </c>
    </row>
    <row r="89" spans="8:31" x14ac:dyDescent="0.2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AC89" t="e">
        <f ca="1">RANK(AB89,OFFSET($AB$2,0,0,#REF!,1))</f>
        <v>#REF!</v>
      </c>
      <c r="AD89" s="4" t="e">
        <f>InsurerSize(#REF!)</f>
        <v>#VALUE!</v>
      </c>
      <c r="AE89" s="4" t="e">
        <f t="shared" si="13"/>
        <v>#VALUE!</v>
      </c>
    </row>
    <row r="90" spans="8:31" x14ac:dyDescent="0.2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AC90" t="e">
        <f ca="1">RANK(AB90,OFFSET($AB$2,0,0,#REF!,1))</f>
        <v>#REF!</v>
      </c>
      <c r="AD90" s="4" t="e">
        <f>InsurerSize(#REF!)</f>
        <v>#VALUE!</v>
      </c>
      <c r="AE90" s="4" t="e">
        <f t="shared" si="13"/>
        <v>#VALUE!</v>
      </c>
    </row>
    <row r="91" spans="8:31" x14ac:dyDescent="0.2"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AC91" t="e">
        <f ca="1">RANK(AB91,OFFSET($AB$2,0,0,#REF!,1))</f>
        <v>#REF!</v>
      </c>
      <c r="AD91" s="4" t="e">
        <f>InsurerSize(#REF!)</f>
        <v>#VALUE!</v>
      </c>
      <c r="AE91" s="4" t="e">
        <f t="shared" si="13"/>
        <v>#VALUE!</v>
      </c>
    </row>
    <row r="92" spans="8:31" x14ac:dyDescent="0.2"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AC92" t="e">
        <f ca="1">RANK(AB92,OFFSET($AB$2,0,0,#REF!,1))</f>
        <v>#REF!</v>
      </c>
      <c r="AD92" s="4" t="e">
        <f>InsurerSize(#REF!)</f>
        <v>#VALUE!</v>
      </c>
      <c r="AE92" s="4" t="e">
        <f t="shared" si="13"/>
        <v>#VALUE!</v>
      </c>
    </row>
    <row r="93" spans="8:31" x14ac:dyDescent="0.2"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AC93" t="e">
        <f ca="1">RANK(AB93,OFFSET($AB$2,0,0,#REF!,1))</f>
        <v>#REF!</v>
      </c>
      <c r="AD93" s="4" t="e">
        <f>InsurerSize(#REF!)</f>
        <v>#VALUE!</v>
      </c>
      <c r="AE93" s="4" t="e">
        <f t="shared" si="13"/>
        <v>#VALUE!</v>
      </c>
    </row>
    <row r="94" spans="8:31" x14ac:dyDescent="0.2"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AC94" t="e">
        <f ca="1">RANK(AB94,OFFSET($AB$2,0,0,#REF!,1))</f>
        <v>#REF!</v>
      </c>
      <c r="AD94" s="4" t="e">
        <f>InsurerSize(#REF!)</f>
        <v>#VALUE!</v>
      </c>
      <c r="AE94" s="4" t="e">
        <f t="shared" si="13"/>
        <v>#VALUE!</v>
      </c>
    </row>
    <row r="95" spans="8:31" x14ac:dyDescent="0.2"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AC95" t="e">
        <f ca="1">RANK(AB95,OFFSET($AB$2,0,0,#REF!,1))</f>
        <v>#REF!</v>
      </c>
      <c r="AD95" s="4" t="e">
        <f>InsurerSize(#REF!)</f>
        <v>#VALUE!</v>
      </c>
      <c r="AE95" s="4" t="e">
        <f t="shared" si="13"/>
        <v>#VALUE!</v>
      </c>
    </row>
    <row r="96" spans="8:31" x14ac:dyDescent="0.2"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AC96" t="e">
        <f ca="1">RANK(AB96,OFFSET($AB$2,0,0,#REF!,1))</f>
        <v>#REF!</v>
      </c>
      <c r="AD96" s="4" t="e">
        <f>InsurerSize(#REF!)</f>
        <v>#VALUE!</v>
      </c>
      <c r="AE96" s="4" t="e">
        <f t="shared" si="13"/>
        <v>#VALUE!</v>
      </c>
    </row>
    <row r="97" spans="8:31" x14ac:dyDescent="0.2"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AC97" t="e">
        <f ca="1">RANK(AB97,OFFSET($AB$2,0,0,#REF!,1))</f>
        <v>#REF!</v>
      </c>
      <c r="AD97" s="4" t="e">
        <f>InsurerSize(#REF!)</f>
        <v>#VALUE!</v>
      </c>
      <c r="AE97" s="4" t="e">
        <f t="shared" si="13"/>
        <v>#VALUE!</v>
      </c>
    </row>
    <row r="98" spans="8:31" x14ac:dyDescent="0.2"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AC98" t="e">
        <f ca="1">RANK(AB98,OFFSET($AB$2,0,0,#REF!,1))</f>
        <v>#REF!</v>
      </c>
      <c r="AD98" s="4" t="e">
        <f>InsurerSize(#REF!)</f>
        <v>#VALUE!</v>
      </c>
      <c r="AE98" s="4" t="e">
        <f t="shared" si="13"/>
        <v>#VALUE!</v>
      </c>
    </row>
    <row r="99" spans="8:31" x14ac:dyDescent="0.2"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AC99" t="e">
        <f ca="1">RANK(AB99,OFFSET($AB$2,0,0,#REF!,1))</f>
        <v>#REF!</v>
      </c>
      <c r="AD99" s="4" t="e">
        <f>InsurerSize(#REF!)</f>
        <v>#VALUE!</v>
      </c>
      <c r="AE99" s="4" t="e">
        <f t="shared" si="13"/>
        <v>#VALUE!</v>
      </c>
    </row>
    <row r="100" spans="8:31" x14ac:dyDescent="0.2"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AC100" t="e">
        <f ca="1">RANK(AB100,OFFSET($AB$2,0,0,#REF!,1))</f>
        <v>#REF!</v>
      </c>
      <c r="AD100" s="4" t="e">
        <f>InsurerSize(#REF!)</f>
        <v>#VALUE!</v>
      </c>
      <c r="AE100" s="4" t="e">
        <f t="shared" si="13"/>
        <v>#VALUE!</v>
      </c>
    </row>
    <row r="101" spans="8:31" x14ac:dyDescent="0.2"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AC101" t="e">
        <f ca="1">RANK(AB101,OFFSET($AB$2,0,0,#REF!,1))</f>
        <v>#REF!</v>
      </c>
      <c r="AD101" s="4" t="e">
        <f>InsurerSize(#REF!)</f>
        <v>#VALUE!</v>
      </c>
      <c r="AE101" s="4" t="e">
        <f t="shared" si="13"/>
        <v>#VALUE!</v>
      </c>
    </row>
    <row r="102" spans="8:31" x14ac:dyDescent="0.2"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AC102" t="e">
        <f ca="1">RANK(AB102,OFFSET($AB$2,0,0,#REF!,1))</f>
        <v>#REF!</v>
      </c>
      <c r="AD102" s="4" t="e">
        <f>InsurerSize(#REF!)</f>
        <v>#VALUE!</v>
      </c>
      <c r="AE102" s="4" t="e">
        <f t="shared" si="13"/>
        <v>#VALUE!</v>
      </c>
    </row>
    <row r="103" spans="8:31" x14ac:dyDescent="0.2"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AC103" t="e">
        <f ca="1">RANK(AB103,OFFSET($AB$2,0,0,#REF!,1))</f>
        <v>#REF!</v>
      </c>
      <c r="AD103" s="4" t="e">
        <f>InsurerSize(#REF!)</f>
        <v>#VALUE!</v>
      </c>
      <c r="AE103" s="4" t="e">
        <f t="shared" si="13"/>
        <v>#VALUE!</v>
      </c>
    </row>
    <row r="104" spans="8:31" x14ac:dyDescent="0.2"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AC104" t="e">
        <f ca="1">RANK(AB104,OFFSET($AB$2,0,0,#REF!,1))</f>
        <v>#REF!</v>
      </c>
      <c r="AD104" s="4" t="e">
        <f>InsurerSize(#REF!)</f>
        <v>#VALUE!</v>
      </c>
      <c r="AE104" s="4" t="e">
        <f t="shared" si="13"/>
        <v>#VALUE!</v>
      </c>
    </row>
    <row r="105" spans="8:31" x14ac:dyDescent="0.2"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AC105" t="e">
        <f ca="1">RANK(AB105,OFFSET($AB$2,0,0,#REF!,1))</f>
        <v>#REF!</v>
      </c>
      <c r="AD105" s="4" t="e">
        <f>InsurerSize(#REF!)</f>
        <v>#VALUE!</v>
      </c>
      <c r="AE105" s="4" t="e">
        <f t="shared" si="13"/>
        <v>#VALUE!</v>
      </c>
    </row>
    <row r="106" spans="8:31" x14ac:dyDescent="0.2"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AC106" t="e">
        <f ca="1">RANK(AB106,OFFSET($AB$2,0,0,#REF!,1))</f>
        <v>#REF!</v>
      </c>
      <c r="AD106" s="4" t="e">
        <f>InsurerSize(#REF!)</f>
        <v>#VALUE!</v>
      </c>
      <c r="AE106" s="4" t="e">
        <f t="shared" si="13"/>
        <v>#VALUE!</v>
      </c>
    </row>
    <row r="107" spans="8:31" x14ac:dyDescent="0.2"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AC107" t="e">
        <f ca="1">RANK(AB107,OFFSET($AB$2,0,0,#REF!,1))</f>
        <v>#REF!</v>
      </c>
      <c r="AD107" s="4" t="e">
        <f>InsurerSize(#REF!)</f>
        <v>#VALUE!</v>
      </c>
      <c r="AE107" s="4" t="e">
        <f t="shared" si="13"/>
        <v>#VALUE!</v>
      </c>
    </row>
    <row r="108" spans="8:31" x14ac:dyDescent="0.2"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AC108" t="e">
        <f ca="1">RANK(AB108,OFFSET($AB$2,0,0,#REF!,1))</f>
        <v>#REF!</v>
      </c>
      <c r="AD108" s="4" t="e">
        <f>InsurerSize(#REF!)</f>
        <v>#VALUE!</v>
      </c>
      <c r="AE108" s="4" t="e">
        <f t="shared" si="13"/>
        <v>#VALUE!</v>
      </c>
    </row>
    <row r="109" spans="8:31" x14ac:dyDescent="0.2"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AC109" t="e">
        <f ca="1">RANK(AB109,OFFSET($AB$2,0,0,#REF!,1))</f>
        <v>#REF!</v>
      </c>
      <c r="AD109" s="4" t="e">
        <f>InsurerSize(#REF!)</f>
        <v>#VALUE!</v>
      </c>
      <c r="AE109" s="4" t="e">
        <f t="shared" si="13"/>
        <v>#VALUE!</v>
      </c>
    </row>
    <row r="110" spans="8:31" x14ac:dyDescent="0.2"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AC110" t="e">
        <f ca="1">RANK(AB110,OFFSET($AB$2,0,0,#REF!,1))</f>
        <v>#REF!</v>
      </c>
      <c r="AD110" s="4" t="e">
        <f>InsurerSize(#REF!)</f>
        <v>#VALUE!</v>
      </c>
      <c r="AE110" s="4" t="e">
        <f t="shared" si="13"/>
        <v>#VALUE!</v>
      </c>
    </row>
    <row r="111" spans="8:31" x14ac:dyDescent="0.2"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AC111" t="e">
        <f ca="1">RANK(AB111,OFFSET($AB$2,0,0,#REF!,1))</f>
        <v>#REF!</v>
      </c>
      <c r="AD111" s="4" t="e">
        <f>InsurerSize(#REF!)</f>
        <v>#VALUE!</v>
      </c>
      <c r="AE111" s="4" t="e">
        <f t="shared" si="13"/>
        <v>#VALUE!</v>
      </c>
    </row>
    <row r="112" spans="8:31" x14ac:dyDescent="0.2"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AC112" t="e">
        <f ca="1">RANK(AB112,OFFSET($AB$2,0,0,#REF!,1))</f>
        <v>#REF!</v>
      </c>
      <c r="AD112" s="4" t="e">
        <f>InsurerSize(#REF!)</f>
        <v>#VALUE!</v>
      </c>
      <c r="AE112" s="4" t="e">
        <f t="shared" si="13"/>
        <v>#VALUE!</v>
      </c>
    </row>
    <row r="113" spans="8:31" x14ac:dyDescent="0.2"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AC113" t="e">
        <f ca="1">RANK(AB113,OFFSET($AB$2,0,0,#REF!,1))</f>
        <v>#REF!</v>
      </c>
      <c r="AD113" s="4" t="e">
        <f>InsurerSize(#REF!)</f>
        <v>#VALUE!</v>
      </c>
      <c r="AE113" s="4" t="e">
        <f t="shared" si="13"/>
        <v>#VALUE!</v>
      </c>
    </row>
    <row r="114" spans="8:31" x14ac:dyDescent="0.2"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AC114" t="e">
        <f ca="1">RANK(AB114,OFFSET($AB$2,0,0,#REF!,1))</f>
        <v>#REF!</v>
      </c>
      <c r="AD114" s="4" t="e">
        <f>InsurerSize(#REF!)</f>
        <v>#VALUE!</v>
      </c>
      <c r="AE114" s="4" t="e">
        <f t="shared" si="13"/>
        <v>#VALUE!</v>
      </c>
    </row>
    <row r="115" spans="8:31" x14ac:dyDescent="0.2"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AC115" t="e">
        <f ca="1">RANK(AB115,OFFSET($AB$2,0,0,#REF!,1))</f>
        <v>#REF!</v>
      </c>
      <c r="AD115" s="4" t="e">
        <f>InsurerSize(#REF!)</f>
        <v>#VALUE!</v>
      </c>
      <c r="AE115" s="4" t="e">
        <f t="shared" si="13"/>
        <v>#VALUE!</v>
      </c>
    </row>
    <row r="116" spans="8:31" x14ac:dyDescent="0.2"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AC116" t="e">
        <f ca="1">RANK(AB116,OFFSET($AB$2,0,0,#REF!,1))</f>
        <v>#REF!</v>
      </c>
      <c r="AD116" s="4" t="e">
        <f>InsurerSize(#REF!)</f>
        <v>#VALUE!</v>
      </c>
      <c r="AE116" s="4" t="e">
        <f t="shared" si="13"/>
        <v>#VALUE!</v>
      </c>
    </row>
    <row r="117" spans="8:31" x14ac:dyDescent="0.2"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AC117" t="e">
        <f ca="1">RANK(AB117,OFFSET($AB$2,0,0,#REF!,1))</f>
        <v>#REF!</v>
      </c>
      <c r="AD117" s="4" t="e">
        <f>InsurerSize(#REF!)</f>
        <v>#VALUE!</v>
      </c>
      <c r="AE117" s="4" t="e">
        <f t="shared" si="13"/>
        <v>#VALUE!</v>
      </c>
    </row>
    <row r="118" spans="8:31" x14ac:dyDescent="0.2"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AC118" t="e">
        <f ca="1">RANK(AB118,OFFSET($AB$2,0,0,#REF!,1))</f>
        <v>#REF!</v>
      </c>
      <c r="AD118" s="4" t="e">
        <f>InsurerSize(#REF!)</f>
        <v>#VALUE!</v>
      </c>
      <c r="AE118" s="4" t="e">
        <f t="shared" si="13"/>
        <v>#VALUE!</v>
      </c>
    </row>
    <row r="119" spans="8:31" x14ac:dyDescent="0.2"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AC119" t="e">
        <f ca="1">RANK(AB119,OFFSET($AB$2,0,0,#REF!,1))</f>
        <v>#REF!</v>
      </c>
      <c r="AD119" s="4" t="e">
        <f>InsurerSize(#REF!)</f>
        <v>#VALUE!</v>
      </c>
      <c r="AE119" s="4" t="e">
        <f t="shared" si="13"/>
        <v>#VALUE!</v>
      </c>
    </row>
    <row r="120" spans="8:31" x14ac:dyDescent="0.2"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AC120" t="e">
        <f ca="1">RANK(AB120,OFFSET($AB$2,0,0,#REF!,1))</f>
        <v>#REF!</v>
      </c>
      <c r="AD120" s="4" t="e">
        <f>InsurerSize(#REF!)</f>
        <v>#VALUE!</v>
      </c>
      <c r="AE120" s="4" t="e">
        <f t="shared" si="13"/>
        <v>#VALUE!</v>
      </c>
    </row>
    <row r="121" spans="8:31" x14ac:dyDescent="0.2"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AC121" t="e">
        <f ca="1">RANK(AB121,OFFSET($AB$2,0,0,#REF!,1))</f>
        <v>#REF!</v>
      </c>
      <c r="AD121" s="4" t="e">
        <f>InsurerSize(#REF!)</f>
        <v>#VALUE!</v>
      </c>
      <c r="AE121" s="4" t="e">
        <f t="shared" si="13"/>
        <v>#VALUE!</v>
      </c>
    </row>
    <row r="122" spans="8:31" x14ac:dyDescent="0.2"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AC122" t="e">
        <f ca="1">RANK(AB122,OFFSET($AB$2,0,0,#REF!,1))</f>
        <v>#REF!</v>
      </c>
      <c r="AD122" s="4" t="e">
        <f>InsurerSize(#REF!)</f>
        <v>#VALUE!</v>
      </c>
      <c r="AE122" s="4" t="e">
        <f t="shared" si="13"/>
        <v>#VALUE!</v>
      </c>
    </row>
    <row r="123" spans="8:31" x14ac:dyDescent="0.2"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AC123" t="e">
        <f ca="1">RANK(AB123,OFFSET($AB$2,0,0,#REF!,1))</f>
        <v>#REF!</v>
      </c>
      <c r="AD123" s="4" t="e">
        <f>InsurerSize(#REF!)</f>
        <v>#VALUE!</v>
      </c>
      <c r="AE123" s="4" t="e">
        <f t="shared" si="13"/>
        <v>#VALUE!</v>
      </c>
    </row>
    <row r="124" spans="8:31" x14ac:dyDescent="0.2"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AC124" t="e">
        <f ca="1">RANK(AB124,OFFSET($AB$2,0,0,#REF!,1))</f>
        <v>#REF!</v>
      </c>
      <c r="AD124" s="4" t="e">
        <f>InsurerSize(#REF!)</f>
        <v>#VALUE!</v>
      </c>
      <c r="AE124" s="4" t="e">
        <f t="shared" si="13"/>
        <v>#VALUE!</v>
      </c>
    </row>
    <row r="125" spans="8:31" x14ac:dyDescent="0.2"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AC125" t="e">
        <f ca="1">RANK(AB125,OFFSET($AB$2,0,0,#REF!,1))</f>
        <v>#REF!</v>
      </c>
      <c r="AD125" s="4" t="e">
        <f>InsurerSize(#REF!)</f>
        <v>#VALUE!</v>
      </c>
      <c r="AE125" s="4" t="e">
        <f t="shared" si="13"/>
        <v>#VALUE!</v>
      </c>
    </row>
    <row r="126" spans="8:31" x14ac:dyDescent="0.2"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AC126" t="e">
        <f ca="1">RANK(AB126,OFFSET($AB$2,0,0,#REF!,1))</f>
        <v>#REF!</v>
      </c>
      <c r="AD126" s="4" t="e">
        <f>InsurerSize(#REF!)</f>
        <v>#VALUE!</v>
      </c>
      <c r="AE126" s="4" t="e">
        <f t="shared" si="13"/>
        <v>#VALUE!</v>
      </c>
    </row>
    <row r="127" spans="8:31" x14ac:dyDescent="0.2"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AC127" t="e">
        <f ca="1">RANK(AB127,OFFSET($AB$2,0,0,#REF!,1))</f>
        <v>#REF!</v>
      </c>
      <c r="AD127" s="4" t="e">
        <f>InsurerSize(#REF!)</f>
        <v>#VALUE!</v>
      </c>
      <c r="AE127" s="4" t="e">
        <f t="shared" si="13"/>
        <v>#VALUE!</v>
      </c>
    </row>
    <row r="128" spans="8:31" x14ac:dyDescent="0.2"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AC128" t="e">
        <f ca="1">RANK(AB128,OFFSET($AB$2,0,0,#REF!,1))</f>
        <v>#REF!</v>
      </c>
      <c r="AD128" s="4" t="e">
        <f>InsurerSize(#REF!)</f>
        <v>#VALUE!</v>
      </c>
      <c r="AE128" s="4" t="e">
        <f t="shared" si="13"/>
        <v>#VALUE!</v>
      </c>
    </row>
    <row r="129" spans="8:31" x14ac:dyDescent="0.2"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AC129" t="e">
        <f ca="1">RANK(AB129,OFFSET($AB$2,0,0,#REF!,1))</f>
        <v>#REF!</v>
      </c>
      <c r="AD129" s="4" t="e">
        <f>InsurerSize(#REF!)</f>
        <v>#VALUE!</v>
      </c>
      <c r="AE129" s="4" t="e">
        <f t="shared" si="13"/>
        <v>#VALUE!</v>
      </c>
    </row>
    <row r="130" spans="8:31" x14ac:dyDescent="0.2"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AC130" t="e">
        <f ca="1">RANK(AB130,OFFSET($AB$2,0,0,#REF!,1))</f>
        <v>#REF!</v>
      </c>
      <c r="AD130" s="4" t="e">
        <f>InsurerSize(#REF!)</f>
        <v>#VALUE!</v>
      </c>
      <c r="AE130" s="4" t="e">
        <f t="shared" ref="AE130:AE193" si="14">A130&amp;AD130</f>
        <v>#VALUE!</v>
      </c>
    </row>
    <row r="131" spans="8:31" x14ac:dyDescent="0.2"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AC131" t="e">
        <f ca="1">RANK(AB131,OFFSET($AB$2,0,0,#REF!,1))</f>
        <v>#REF!</v>
      </c>
      <c r="AD131" s="4" t="e">
        <f>InsurerSize(#REF!)</f>
        <v>#VALUE!</v>
      </c>
      <c r="AE131" s="4" t="e">
        <f t="shared" si="14"/>
        <v>#VALUE!</v>
      </c>
    </row>
    <row r="132" spans="8:31" x14ac:dyDescent="0.2"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AC132" t="e">
        <f ca="1">RANK(AB132,OFFSET($AB$2,0,0,#REF!,1))</f>
        <v>#REF!</v>
      </c>
      <c r="AD132" s="4" t="e">
        <f>InsurerSize(#REF!)</f>
        <v>#VALUE!</v>
      </c>
      <c r="AE132" s="4" t="e">
        <f t="shared" si="14"/>
        <v>#VALUE!</v>
      </c>
    </row>
    <row r="133" spans="8:31" x14ac:dyDescent="0.2"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AC133" t="e">
        <f ca="1">RANK(AB133,OFFSET($AB$2,0,0,#REF!,1))</f>
        <v>#REF!</v>
      </c>
      <c r="AD133" s="4" t="e">
        <f>InsurerSize(#REF!)</f>
        <v>#VALUE!</v>
      </c>
      <c r="AE133" s="4" t="e">
        <f t="shared" si="14"/>
        <v>#VALUE!</v>
      </c>
    </row>
    <row r="134" spans="8:31" x14ac:dyDescent="0.2"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AC134" t="e">
        <f ca="1">RANK(AB134,OFFSET($AB$2,0,0,#REF!,1))</f>
        <v>#REF!</v>
      </c>
      <c r="AD134" s="4" t="e">
        <f>InsurerSize(#REF!)</f>
        <v>#VALUE!</v>
      </c>
      <c r="AE134" s="4" t="e">
        <f t="shared" si="14"/>
        <v>#VALUE!</v>
      </c>
    </row>
    <row r="135" spans="8:31" x14ac:dyDescent="0.2"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AC135" t="e">
        <f ca="1">RANK(AB135,OFFSET($AB$2,0,0,#REF!,1))</f>
        <v>#REF!</v>
      </c>
      <c r="AD135" s="4" t="e">
        <f>InsurerSize(#REF!)</f>
        <v>#VALUE!</v>
      </c>
      <c r="AE135" s="4" t="e">
        <f t="shared" si="14"/>
        <v>#VALUE!</v>
      </c>
    </row>
    <row r="136" spans="8:31" x14ac:dyDescent="0.2"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AC136" t="e">
        <f ca="1">RANK(AB136,OFFSET($AB$2,0,0,#REF!,1))</f>
        <v>#REF!</v>
      </c>
      <c r="AD136" s="4" t="e">
        <f>InsurerSize(#REF!)</f>
        <v>#VALUE!</v>
      </c>
      <c r="AE136" s="4" t="e">
        <f t="shared" si="14"/>
        <v>#VALUE!</v>
      </c>
    </row>
    <row r="137" spans="8:31" x14ac:dyDescent="0.2"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AC137" t="e">
        <f ca="1">RANK(AB137,OFFSET($AB$2,0,0,#REF!,1))</f>
        <v>#REF!</v>
      </c>
      <c r="AD137" s="4" t="e">
        <f>InsurerSize(#REF!)</f>
        <v>#VALUE!</v>
      </c>
      <c r="AE137" s="4" t="e">
        <f t="shared" si="14"/>
        <v>#VALUE!</v>
      </c>
    </row>
    <row r="138" spans="8:31" x14ac:dyDescent="0.2"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AC138" t="e">
        <f ca="1">RANK(AB138,OFFSET($AB$2,0,0,#REF!,1))</f>
        <v>#REF!</v>
      </c>
      <c r="AD138" s="4" t="e">
        <f>InsurerSize(#REF!)</f>
        <v>#VALUE!</v>
      </c>
      <c r="AE138" s="4" t="e">
        <f t="shared" si="14"/>
        <v>#VALUE!</v>
      </c>
    </row>
    <row r="139" spans="8:31" x14ac:dyDescent="0.2"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AC139" t="e">
        <f ca="1">RANK(AB139,OFFSET($AB$2,0,0,#REF!,1))</f>
        <v>#REF!</v>
      </c>
      <c r="AD139" s="4" t="e">
        <f>InsurerSize(#REF!)</f>
        <v>#VALUE!</v>
      </c>
      <c r="AE139" s="4" t="e">
        <f t="shared" si="14"/>
        <v>#VALUE!</v>
      </c>
    </row>
    <row r="140" spans="8:31" x14ac:dyDescent="0.2"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AC140" t="e">
        <f ca="1">RANK(AB140,OFFSET($AB$2,0,0,#REF!,1))</f>
        <v>#REF!</v>
      </c>
      <c r="AD140" s="4" t="e">
        <f>InsurerSize(#REF!)</f>
        <v>#VALUE!</v>
      </c>
      <c r="AE140" s="4" t="e">
        <f t="shared" si="14"/>
        <v>#VALUE!</v>
      </c>
    </row>
    <row r="141" spans="8:31" x14ac:dyDescent="0.2"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AC141" t="e">
        <f ca="1">RANK(AB141,OFFSET($AB$2,0,0,#REF!,1))</f>
        <v>#REF!</v>
      </c>
      <c r="AD141" s="4" t="e">
        <f>InsurerSize(#REF!)</f>
        <v>#VALUE!</v>
      </c>
      <c r="AE141" s="4" t="e">
        <f t="shared" si="14"/>
        <v>#VALUE!</v>
      </c>
    </row>
    <row r="142" spans="8:31" x14ac:dyDescent="0.2"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AC142" t="e">
        <f ca="1">RANK(AB142,OFFSET($AB$2,0,0,#REF!,1))</f>
        <v>#REF!</v>
      </c>
      <c r="AD142" s="4" t="e">
        <f>InsurerSize(#REF!)</f>
        <v>#VALUE!</v>
      </c>
      <c r="AE142" s="4" t="e">
        <f t="shared" si="14"/>
        <v>#VALUE!</v>
      </c>
    </row>
    <row r="143" spans="8:31" x14ac:dyDescent="0.2"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AC143" t="e">
        <f ca="1">RANK(AB143,OFFSET($AB$2,0,0,#REF!,1))</f>
        <v>#REF!</v>
      </c>
      <c r="AD143" s="4" t="e">
        <f>InsurerSize(#REF!)</f>
        <v>#VALUE!</v>
      </c>
      <c r="AE143" s="4" t="e">
        <f t="shared" si="14"/>
        <v>#VALUE!</v>
      </c>
    </row>
    <row r="144" spans="8:31" x14ac:dyDescent="0.2"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AC144" t="e">
        <f ca="1">RANK(AB144,OFFSET($AB$2,0,0,#REF!,1))</f>
        <v>#REF!</v>
      </c>
      <c r="AD144" s="4" t="e">
        <f>InsurerSize(#REF!)</f>
        <v>#VALUE!</v>
      </c>
      <c r="AE144" s="4" t="e">
        <f t="shared" si="14"/>
        <v>#VALUE!</v>
      </c>
    </row>
    <row r="145" spans="8:31" x14ac:dyDescent="0.2"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AC145" t="e">
        <f ca="1">RANK(AB145,OFFSET($AB$2,0,0,#REF!,1))</f>
        <v>#REF!</v>
      </c>
      <c r="AD145" s="4" t="e">
        <f>InsurerSize(#REF!)</f>
        <v>#VALUE!</v>
      </c>
      <c r="AE145" s="4" t="e">
        <f t="shared" si="14"/>
        <v>#VALUE!</v>
      </c>
    </row>
    <row r="146" spans="8:31" x14ac:dyDescent="0.2"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AC146" t="e">
        <f ca="1">RANK(AB146,OFFSET($AB$2,0,0,#REF!,1))</f>
        <v>#REF!</v>
      </c>
      <c r="AD146" s="4" t="e">
        <f>InsurerSize(#REF!)</f>
        <v>#VALUE!</v>
      </c>
      <c r="AE146" s="4" t="e">
        <f t="shared" si="14"/>
        <v>#VALUE!</v>
      </c>
    </row>
    <row r="147" spans="8:31" x14ac:dyDescent="0.2"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AC147" t="e">
        <f ca="1">RANK(AB147,OFFSET($AB$2,0,0,#REF!,1))</f>
        <v>#REF!</v>
      </c>
      <c r="AD147" s="4" t="e">
        <f>InsurerSize(#REF!)</f>
        <v>#VALUE!</v>
      </c>
      <c r="AE147" s="4" t="e">
        <f t="shared" si="14"/>
        <v>#VALUE!</v>
      </c>
    </row>
    <row r="148" spans="8:31" x14ac:dyDescent="0.2"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AC148" t="e">
        <f ca="1">RANK(AB148,OFFSET($AB$2,0,0,#REF!,1))</f>
        <v>#REF!</v>
      </c>
      <c r="AD148" s="4" t="e">
        <f>InsurerSize(#REF!)</f>
        <v>#VALUE!</v>
      </c>
      <c r="AE148" s="4" t="e">
        <f t="shared" si="14"/>
        <v>#VALUE!</v>
      </c>
    </row>
    <row r="149" spans="8:31" x14ac:dyDescent="0.2"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AC149" t="e">
        <f ca="1">RANK(AB149,OFFSET($AB$2,0,0,#REF!,1))</f>
        <v>#REF!</v>
      </c>
      <c r="AD149" s="4" t="e">
        <f>InsurerSize(#REF!)</f>
        <v>#VALUE!</v>
      </c>
      <c r="AE149" s="4" t="e">
        <f t="shared" si="14"/>
        <v>#VALUE!</v>
      </c>
    </row>
    <row r="150" spans="8:31" x14ac:dyDescent="0.2"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AC150" t="e">
        <f ca="1">RANK(AB150,OFFSET($AB$2,0,0,#REF!,1))</f>
        <v>#REF!</v>
      </c>
      <c r="AD150" s="4" t="e">
        <f>InsurerSize(#REF!)</f>
        <v>#VALUE!</v>
      </c>
      <c r="AE150" s="4" t="e">
        <f t="shared" si="14"/>
        <v>#VALUE!</v>
      </c>
    </row>
    <row r="151" spans="8:31" x14ac:dyDescent="0.2"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AC151" t="e">
        <f ca="1">RANK(AB151,OFFSET($AB$2,0,0,#REF!,1))</f>
        <v>#REF!</v>
      </c>
      <c r="AD151" s="4" t="e">
        <f>InsurerSize(#REF!)</f>
        <v>#VALUE!</v>
      </c>
      <c r="AE151" s="4" t="e">
        <f t="shared" si="14"/>
        <v>#VALUE!</v>
      </c>
    </row>
    <row r="152" spans="8:31" x14ac:dyDescent="0.2"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AC152" t="e">
        <f ca="1">RANK(AB152,OFFSET($AB$2,0,0,#REF!,1))</f>
        <v>#REF!</v>
      </c>
      <c r="AD152" s="4" t="e">
        <f>InsurerSize(#REF!)</f>
        <v>#VALUE!</v>
      </c>
      <c r="AE152" s="4" t="e">
        <f t="shared" si="14"/>
        <v>#VALUE!</v>
      </c>
    </row>
    <row r="153" spans="8:31" x14ac:dyDescent="0.2"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AC153" t="e">
        <f ca="1">RANK(AB153,OFFSET($AB$2,0,0,#REF!,1))</f>
        <v>#REF!</v>
      </c>
      <c r="AD153" s="4" t="e">
        <f>InsurerSize(#REF!)</f>
        <v>#VALUE!</v>
      </c>
      <c r="AE153" s="4" t="e">
        <f t="shared" si="14"/>
        <v>#VALUE!</v>
      </c>
    </row>
    <row r="154" spans="8:31" x14ac:dyDescent="0.2"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AC154" t="e">
        <f ca="1">RANK(AB154,OFFSET($AB$2,0,0,#REF!,1))</f>
        <v>#REF!</v>
      </c>
      <c r="AD154" s="4" t="e">
        <f>InsurerSize(#REF!)</f>
        <v>#VALUE!</v>
      </c>
      <c r="AE154" s="4" t="e">
        <f t="shared" si="14"/>
        <v>#VALUE!</v>
      </c>
    </row>
    <row r="155" spans="8:31" x14ac:dyDescent="0.2"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AC155" t="e">
        <f ca="1">RANK(AB155,OFFSET($AB$2,0,0,#REF!,1))</f>
        <v>#REF!</v>
      </c>
      <c r="AD155" s="4" t="e">
        <f>InsurerSize(#REF!)</f>
        <v>#VALUE!</v>
      </c>
      <c r="AE155" s="4" t="e">
        <f t="shared" si="14"/>
        <v>#VALUE!</v>
      </c>
    </row>
    <row r="156" spans="8:31" x14ac:dyDescent="0.2"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AC156" t="e">
        <f ca="1">RANK(AB156,OFFSET($AB$2,0,0,#REF!,1))</f>
        <v>#REF!</v>
      </c>
      <c r="AD156" s="4" t="e">
        <f>InsurerSize(#REF!)</f>
        <v>#VALUE!</v>
      </c>
      <c r="AE156" s="4" t="e">
        <f t="shared" si="14"/>
        <v>#VALUE!</v>
      </c>
    </row>
    <row r="157" spans="8:31" x14ac:dyDescent="0.2"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AC157" t="e">
        <f ca="1">RANK(AB157,OFFSET($AB$2,0,0,#REF!,1))</f>
        <v>#REF!</v>
      </c>
      <c r="AD157" s="4" t="e">
        <f>InsurerSize(#REF!)</f>
        <v>#VALUE!</v>
      </c>
      <c r="AE157" s="4" t="e">
        <f t="shared" si="14"/>
        <v>#VALUE!</v>
      </c>
    </row>
    <row r="158" spans="8:31" x14ac:dyDescent="0.2"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AC158" t="e">
        <f ca="1">RANK(AB158,OFFSET($AB$2,0,0,#REF!,1))</f>
        <v>#REF!</v>
      </c>
      <c r="AD158" s="4" t="e">
        <f>InsurerSize(#REF!)</f>
        <v>#VALUE!</v>
      </c>
      <c r="AE158" s="4" t="e">
        <f t="shared" si="14"/>
        <v>#VALUE!</v>
      </c>
    </row>
    <row r="159" spans="8:31" x14ac:dyDescent="0.2"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AC159" t="e">
        <f ca="1">RANK(AB159,OFFSET($AB$2,0,0,#REF!,1))</f>
        <v>#REF!</v>
      </c>
      <c r="AD159" s="4" t="e">
        <f>InsurerSize(#REF!)</f>
        <v>#VALUE!</v>
      </c>
      <c r="AE159" s="4" t="e">
        <f t="shared" si="14"/>
        <v>#VALUE!</v>
      </c>
    </row>
    <row r="160" spans="8:31" x14ac:dyDescent="0.2"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AC160" t="e">
        <f ca="1">RANK(AB160,OFFSET($AB$2,0,0,#REF!,1))</f>
        <v>#REF!</v>
      </c>
      <c r="AD160" s="4" t="e">
        <f>InsurerSize(#REF!)</f>
        <v>#VALUE!</v>
      </c>
      <c r="AE160" s="4" t="e">
        <f t="shared" si="14"/>
        <v>#VALUE!</v>
      </c>
    </row>
    <row r="161" spans="8:31" x14ac:dyDescent="0.2"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AC161" t="e">
        <f ca="1">RANK(AB161,OFFSET($AB$2,0,0,#REF!,1))</f>
        <v>#REF!</v>
      </c>
      <c r="AD161" s="4" t="e">
        <f>InsurerSize(#REF!)</f>
        <v>#VALUE!</v>
      </c>
      <c r="AE161" s="4" t="e">
        <f t="shared" si="14"/>
        <v>#VALUE!</v>
      </c>
    </row>
    <row r="162" spans="8:31" x14ac:dyDescent="0.2"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AC162" t="e">
        <f ca="1">RANK(AB162,OFFSET($AB$2,0,0,#REF!,1))</f>
        <v>#REF!</v>
      </c>
      <c r="AD162" s="4" t="e">
        <f>InsurerSize(#REF!)</f>
        <v>#VALUE!</v>
      </c>
      <c r="AE162" s="4" t="e">
        <f t="shared" si="14"/>
        <v>#VALUE!</v>
      </c>
    </row>
    <row r="163" spans="8:31" x14ac:dyDescent="0.2"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AC163" t="e">
        <f ca="1">RANK(AB163,OFFSET($AB$2,0,0,#REF!,1))</f>
        <v>#REF!</v>
      </c>
      <c r="AD163" s="4" t="e">
        <f>InsurerSize(#REF!)</f>
        <v>#VALUE!</v>
      </c>
      <c r="AE163" s="4" t="e">
        <f t="shared" si="14"/>
        <v>#VALUE!</v>
      </c>
    </row>
    <row r="164" spans="8:31" x14ac:dyDescent="0.2"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AC164" t="e">
        <f ca="1">RANK(AB164,OFFSET($AB$2,0,0,#REF!,1))</f>
        <v>#REF!</v>
      </c>
      <c r="AD164" s="4" t="e">
        <f>InsurerSize(#REF!)</f>
        <v>#VALUE!</v>
      </c>
      <c r="AE164" s="4" t="e">
        <f t="shared" si="14"/>
        <v>#VALUE!</v>
      </c>
    </row>
    <row r="165" spans="8:31" x14ac:dyDescent="0.2"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AC165" t="e">
        <f ca="1">RANK(AB165,OFFSET($AB$2,0,0,#REF!,1))</f>
        <v>#REF!</v>
      </c>
      <c r="AD165" s="4" t="e">
        <f>InsurerSize(#REF!)</f>
        <v>#VALUE!</v>
      </c>
      <c r="AE165" s="4" t="e">
        <f t="shared" si="14"/>
        <v>#VALUE!</v>
      </c>
    </row>
    <row r="166" spans="8:31" x14ac:dyDescent="0.2"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AC166" t="e">
        <f ca="1">RANK(AB166,OFFSET($AB$2,0,0,#REF!,1))</f>
        <v>#REF!</v>
      </c>
      <c r="AD166" s="4" t="e">
        <f>InsurerSize(#REF!)</f>
        <v>#VALUE!</v>
      </c>
      <c r="AE166" s="4" t="e">
        <f t="shared" si="14"/>
        <v>#VALUE!</v>
      </c>
    </row>
    <row r="167" spans="8:31" x14ac:dyDescent="0.2"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AC167" t="e">
        <f ca="1">RANK(AB167,OFFSET($AB$2,0,0,#REF!,1))</f>
        <v>#REF!</v>
      </c>
      <c r="AD167" s="4" t="e">
        <f>InsurerSize(#REF!)</f>
        <v>#VALUE!</v>
      </c>
      <c r="AE167" s="4" t="e">
        <f t="shared" si="14"/>
        <v>#VALUE!</v>
      </c>
    </row>
    <row r="168" spans="8:31" x14ac:dyDescent="0.2"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AC168" t="e">
        <f ca="1">RANK(AB168,OFFSET($AB$2,0,0,#REF!,1))</f>
        <v>#REF!</v>
      </c>
      <c r="AD168" s="4" t="e">
        <f>InsurerSize(#REF!)</f>
        <v>#VALUE!</v>
      </c>
      <c r="AE168" s="4" t="e">
        <f t="shared" si="14"/>
        <v>#VALUE!</v>
      </c>
    </row>
    <row r="169" spans="8:31" x14ac:dyDescent="0.2"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AC169" t="e">
        <f ca="1">RANK(AB169,OFFSET($AB$2,0,0,#REF!,1))</f>
        <v>#REF!</v>
      </c>
      <c r="AD169" s="4" t="e">
        <f>InsurerSize(#REF!)</f>
        <v>#VALUE!</v>
      </c>
      <c r="AE169" s="4" t="e">
        <f t="shared" si="14"/>
        <v>#VALUE!</v>
      </c>
    </row>
    <row r="170" spans="8:31" x14ac:dyDescent="0.2"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AC170" t="e">
        <f ca="1">RANK(AB170,OFFSET($AB$2,0,0,#REF!,1))</f>
        <v>#REF!</v>
      </c>
      <c r="AD170" s="4" t="e">
        <f>InsurerSize(#REF!)</f>
        <v>#VALUE!</v>
      </c>
      <c r="AE170" s="4" t="e">
        <f t="shared" si="14"/>
        <v>#VALUE!</v>
      </c>
    </row>
    <row r="171" spans="8:31" x14ac:dyDescent="0.2"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AC171" t="e">
        <f ca="1">RANK(AB171,OFFSET($AB$2,0,0,#REF!,1))</f>
        <v>#REF!</v>
      </c>
      <c r="AD171" s="4" t="e">
        <f>InsurerSize(#REF!)</f>
        <v>#VALUE!</v>
      </c>
      <c r="AE171" s="4" t="e">
        <f t="shared" si="14"/>
        <v>#VALUE!</v>
      </c>
    </row>
    <row r="172" spans="8:31" x14ac:dyDescent="0.2"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AC172" t="e">
        <f ca="1">RANK(AB172,OFFSET($AB$2,0,0,#REF!,1))</f>
        <v>#REF!</v>
      </c>
      <c r="AD172" s="4" t="e">
        <f>InsurerSize(#REF!)</f>
        <v>#VALUE!</v>
      </c>
      <c r="AE172" s="4" t="e">
        <f t="shared" si="14"/>
        <v>#VALUE!</v>
      </c>
    </row>
    <row r="173" spans="8:31" x14ac:dyDescent="0.2"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AC173" t="e">
        <f ca="1">RANK(AB173,OFFSET($AB$2,0,0,#REF!,1))</f>
        <v>#REF!</v>
      </c>
      <c r="AD173" s="4" t="e">
        <f>InsurerSize(#REF!)</f>
        <v>#VALUE!</v>
      </c>
      <c r="AE173" s="4" t="e">
        <f t="shared" si="14"/>
        <v>#VALUE!</v>
      </c>
    </row>
    <row r="174" spans="8:31" x14ac:dyDescent="0.2"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AC174" t="e">
        <f ca="1">RANK(AB174,OFFSET($AB$2,0,0,#REF!,1))</f>
        <v>#REF!</v>
      </c>
      <c r="AD174" s="4" t="e">
        <f>InsurerSize(#REF!)</f>
        <v>#VALUE!</v>
      </c>
      <c r="AE174" s="4" t="e">
        <f t="shared" si="14"/>
        <v>#VALUE!</v>
      </c>
    </row>
    <row r="175" spans="8:31" x14ac:dyDescent="0.2"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AC175" t="e">
        <f ca="1">RANK(AB175,OFFSET($AB$2,0,0,#REF!,1))</f>
        <v>#REF!</v>
      </c>
      <c r="AD175" s="4" t="e">
        <f>InsurerSize(#REF!)</f>
        <v>#VALUE!</v>
      </c>
      <c r="AE175" s="4" t="e">
        <f t="shared" si="14"/>
        <v>#VALUE!</v>
      </c>
    </row>
    <row r="176" spans="8:31" x14ac:dyDescent="0.2"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AC176" t="e">
        <f ca="1">RANK(AB176,OFFSET($AB$2,0,0,#REF!,1))</f>
        <v>#REF!</v>
      </c>
      <c r="AD176" s="4" t="e">
        <f>InsurerSize(#REF!)</f>
        <v>#VALUE!</v>
      </c>
      <c r="AE176" s="4" t="e">
        <f t="shared" si="14"/>
        <v>#VALUE!</v>
      </c>
    </row>
    <row r="177" spans="8:31" x14ac:dyDescent="0.2"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AC177" t="e">
        <f ca="1">RANK(AB177,OFFSET($AB$2,0,0,#REF!,1))</f>
        <v>#REF!</v>
      </c>
      <c r="AD177" s="4" t="e">
        <f>InsurerSize(#REF!)</f>
        <v>#VALUE!</v>
      </c>
      <c r="AE177" s="4" t="e">
        <f t="shared" si="14"/>
        <v>#VALUE!</v>
      </c>
    </row>
    <row r="178" spans="8:31" x14ac:dyDescent="0.2"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AC178" t="e">
        <f ca="1">RANK(AB178,OFFSET($AB$2,0,0,#REF!,1))</f>
        <v>#REF!</v>
      </c>
      <c r="AD178" s="4" t="e">
        <f>InsurerSize(#REF!)</f>
        <v>#VALUE!</v>
      </c>
      <c r="AE178" s="4" t="e">
        <f t="shared" si="14"/>
        <v>#VALUE!</v>
      </c>
    </row>
    <row r="179" spans="8:31" x14ac:dyDescent="0.2"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AC179" t="e">
        <f ca="1">RANK(AB179,OFFSET($AB$2,0,0,#REF!,1))</f>
        <v>#REF!</v>
      </c>
      <c r="AD179" s="4" t="e">
        <f>InsurerSize(#REF!)</f>
        <v>#VALUE!</v>
      </c>
      <c r="AE179" s="4" t="e">
        <f t="shared" si="14"/>
        <v>#VALUE!</v>
      </c>
    </row>
    <row r="180" spans="8:31" x14ac:dyDescent="0.2"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AC180" t="e">
        <f ca="1">RANK(AB180,OFFSET($AB$2,0,0,#REF!,1))</f>
        <v>#REF!</v>
      </c>
      <c r="AD180" s="4" t="e">
        <f>InsurerSize(#REF!)</f>
        <v>#VALUE!</v>
      </c>
      <c r="AE180" s="4" t="e">
        <f t="shared" si="14"/>
        <v>#VALUE!</v>
      </c>
    </row>
    <row r="181" spans="8:31" x14ac:dyDescent="0.2"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AC181" t="e">
        <f ca="1">RANK(AB181,OFFSET($AB$2,0,0,#REF!,1))</f>
        <v>#REF!</v>
      </c>
      <c r="AD181" s="4" t="e">
        <f>InsurerSize(#REF!)</f>
        <v>#VALUE!</v>
      </c>
      <c r="AE181" s="4" t="e">
        <f t="shared" si="14"/>
        <v>#VALUE!</v>
      </c>
    </row>
    <row r="182" spans="8:31" x14ac:dyDescent="0.2"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AC182" t="e">
        <f ca="1">RANK(AB182,OFFSET($AB$2,0,0,#REF!,1))</f>
        <v>#REF!</v>
      </c>
      <c r="AD182" s="4" t="e">
        <f>InsurerSize(#REF!)</f>
        <v>#VALUE!</v>
      </c>
      <c r="AE182" s="4" t="e">
        <f t="shared" si="14"/>
        <v>#VALUE!</v>
      </c>
    </row>
    <row r="183" spans="8:31" x14ac:dyDescent="0.2"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AC183" t="e">
        <f ca="1">RANK(AB183,OFFSET($AB$2,0,0,#REF!,1))</f>
        <v>#REF!</v>
      </c>
      <c r="AD183" s="4" t="e">
        <f>InsurerSize(#REF!)</f>
        <v>#VALUE!</v>
      </c>
      <c r="AE183" s="4" t="e">
        <f t="shared" si="14"/>
        <v>#VALUE!</v>
      </c>
    </row>
    <row r="184" spans="8:31" x14ac:dyDescent="0.2"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AC184" t="e">
        <f ca="1">RANK(AB184,OFFSET($AB$2,0,0,#REF!,1))</f>
        <v>#REF!</v>
      </c>
      <c r="AD184" s="4" t="e">
        <f>InsurerSize(#REF!)</f>
        <v>#VALUE!</v>
      </c>
      <c r="AE184" s="4" t="e">
        <f t="shared" si="14"/>
        <v>#VALUE!</v>
      </c>
    </row>
    <row r="185" spans="8:31" x14ac:dyDescent="0.2"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AC185" t="e">
        <f ca="1">RANK(AB185,OFFSET($AB$2,0,0,#REF!,1))</f>
        <v>#REF!</v>
      </c>
      <c r="AD185" s="4" t="e">
        <f>InsurerSize(#REF!)</f>
        <v>#VALUE!</v>
      </c>
      <c r="AE185" s="4" t="e">
        <f t="shared" si="14"/>
        <v>#VALUE!</v>
      </c>
    </row>
    <row r="186" spans="8:31" x14ac:dyDescent="0.2"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AC186" t="e">
        <f ca="1">RANK(AB186,OFFSET($AB$2,0,0,#REF!,1))</f>
        <v>#REF!</v>
      </c>
      <c r="AD186" s="4" t="e">
        <f>InsurerSize(#REF!)</f>
        <v>#VALUE!</v>
      </c>
      <c r="AE186" s="4" t="e">
        <f t="shared" si="14"/>
        <v>#VALUE!</v>
      </c>
    </row>
    <row r="187" spans="8:31" x14ac:dyDescent="0.2"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AC187" t="e">
        <f ca="1">RANK(AB187,OFFSET($AB$2,0,0,#REF!,1))</f>
        <v>#REF!</v>
      </c>
      <c r="AD187" s="4" t="e">
        <f>InsurerSize(#REF!)</f>
        <v>#VALUE!</v>
      </c>
      <c r="AE187" s="4" t="e">
        <f t="shared" si="14"/>
        <v>#VALUE!</v>
      </c>
    </row>
    <row r="188" spans="8:31" x14ac:dyDescent="0.2"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AC188" t="e">
        <f ca="1">RANK(AB188,OFFSET($AB$2,0,0,#REF!,1))</f>
        <v>#REF!</v>
      </c>
      <c r="AD188" s="4" t="e">
        <f>InsurerSize(#REF!)</f>
        <v>#VALUE!</v>
      </c>
      <c r="AE188" s="4" t="e">
        <f t="shared" si="14"/>
        <v>#VALUE!</v>
      </c>
    </row>
    <row r="189" spans="8:31" x14ac:dyDescent="0.2"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AC189" t="e">
        <f ca="1">RANK(AB189,OFFSET($AB$2,0,0,#REF!,1))</f>
        <v>#REF!</v>
      </c>
      <c r="AD189" s="4" t="e">
        <f>InsurerSize(#REF!)</f>
        <v>#VALUE!</v>
      </c>
      <c r="AE189" s="4" t="e">
        <f t="shared" si="14"/>
        <v>#VALUE!</v>
      </c>
    </row>
    <row r="190" spans="8:31" x14ac:dyDescent="0.2"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AC190" t="e">
        <f ca="1">RANK(AB190,OFFSET($AB$2,0,0,#REF!,1))</f>
        <v>#REF!</v>
      </c>
      <c r="AD190" s="4" t="e">
        <f>InsurerSize(#REF!)</f>
        <v>#VALUE!</v>
      </c>
      <c r="AE190" s="4" t="e">
        <f t="shared" si="14"/>
        <v>#VALUE!</v>
      </c>
    </row>
    <row r="191" spans="8:31" x14ac:dyDescent="0.2"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AC191" t="e">
        <f ca="1">RANK(AB191,OFFSET($AB$2,0,0,#REF!,1))</f>
        <v>#REF!</v>
      </c>
      <c r="AD191" s="4" t="e">
        <f>InsurerSize(#REF!)</f>
        <v>#VALUE!</v>
      </c>
      <c r="AE191" s="4" t="e">
        <f t="shared" si="14"/>
        <v>#VALUE!</v>
      </c>
    </row>
    <row r="192" spans="8:31" x14ac:dyDescent="0.2"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AC192" t="e">
        <f ca="1">RANK(AB192,OFFSET($AB$2,0,0,#REF!,1))</f>
        <v>#REF!</v>
      </c>
      <c r="AD192" s="4" t="e">
        <f>InsurerSize(#REF!)</f>
        <v>#VALUE!</v>
      </c>
      <c r="AE192" s="4" t="e">
        <f t="shared" si="14"/>
        <v>#VALUE!</v>
      </c>
    </row>
    <row r="193" spans="8:31" x14ac:dyDescent="0.2"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AC193" t="e">
        <f ca="1">RANK(AB193,OFFSET($AB$2,0,0,#REF!,1))</f>
        <v>#REF!</v>
      </c>
      <c r="AD193" s="4" t="e">
        <f>InsurerSize(#REF!)</f>
        <v>#VALUE!</v>
      </c>
      <c r="AE193" s="4" t="e">
        <f t="shared" si="14"/>
        <v>#VALUE!</v>
      </c>
    </row>
    <row r="194" spans="8:31" x14ac:dyDescent="0.2"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AC194" t="e">
        <f ca="1">RANK(AB194,OFFSET($AB$2,0,0,#REF!,1))</f>
        <v>#REF!</v>
      </c>
      <c r="AD194" s="4" t="e">
        <f>InsurerSize(#REF!)</f>
        <v>#VALUE!</v>
      </c>
      <c r="AE194" s="4" t="e">
        <f t="shared" ref="AE194:AE257" si="15">A194&amp;AD194</f>
        <v>#VALUE!</v>
      </c>
    </row>
    <row r="195" spans="8:31" x14ac:dyDescent="0.2"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AC195" t="e">
        <f ca="1">RANK(AB195,OFFSET($AB$2,0,0,#REF!,1))</f>
        <v>#REF!</v>
      </c>
      <c r="AD195" s="4" t="e">
        <f>InsurerSize(#REF!)</f>
        <v>#VALUE!</v>
      </c>
      <c r="AE195" s="4" t="e">
        <f t="shared" si="15"/>
        <v>#VALUE!</v>
      </c>
    </row>
    <row r="196" spans="8:31" x14ac:dyDescent="0.2"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AC196" t="e">
        <f ca="1">RANK(AB196,OFFSET($AB$2,0,0,#REF!,1))</f>
        <v>#REF!</v>
      </c>
      <c r="AD196" s="4" t="e">
        <f>InsurerSize(#REF!)</f>
        <v>#VALUE!</v>
      </c>
      <c r="AE196" s="4" t="e">
        <f t="shared" si="15"/>
        <v>#VALUE!</v>
      </c>
    </row>
    <row r="197" spans="8:31" x14ac:dyDescent="0.2"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AC197" t="e">
        <f ca="1">RANK(AB197,OFFSET($AB$2,0,0,#REF!,1))</f>
        <v>#REF!</v>
      </c>
      <c r="AD197" s="4" t="e">
        <f>InsurerSize(#REF!)</f>
        <v>#VALUE!</v>
      </c>
      <c r="AE197" s="4" t="e">
        <f t="shared" si="15"/>
        <v>#VALUE!</v>
      </c>
    </row>
    <row r="198" spans="8:31" x14ac:dyDescent="0.2"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AC198" t="e">
        <f ca="1">RANK(AB198,OFFSET($AB$2,0,0,#REF!,1))</f>
        <v>#REF!</v>
      </c>
      <c r="AD198" s="4" t="e">
        <f>InsurerSize(#REF!)</f>
        <v>#VALUE!</v>
      </c>
      <c r="AE198" s="4" t="e">
        <f t="shared" si="15"/>
        <v>#VALUE!</v>
      </c>
    </row>
    <row r="199" spans="8:31" x14ac:dyDescent="0.2"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AC199" t="e">
        <f ca="1">RANK(AB199,OFFSET($AB$2,0,0,#REF!,1))</f>
        <v>#REF!</v>
      </c>
      <c r="AD199" s="4" t="e">
        <f>InsurerSize(#REF!)</f>
        <v>#VALUE!</v>
      </c>
      <c r="AE199" s="4" t="e">
        <f t="shared" si="15"/>
        <v>#VALUE!</v>
      </c>
    </row>
    <row r="200" spans="8:31" x14ac:dyDescent="0.2"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AC200" t="e">
        <f ca="1">RANK(AB200,OFFSET($AB$2,0,0,#REF!,1))</f>
        <v>#REF!</v>
      </c>
      <c r="AD200" s="4" t="e">
        <f>InsurerSize(#REF!)</f>
        <v>#VALUE!</v>
      </c>
      <c r="AE200" s="4" t="e">
        <f t="shared" si="15"/>
        <v>#VALUE!</v>
      </c>
    </row>
    <row r="201" spans="8:31" x14ac:dyDescent="0.2"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AC201" t="e">
        <f ca="1">RANK(AB201,OFFSET($AB$2,0,0,#REF!,1))</f>
        <v>#REF!</v>
      </c>
      <c r="AD201" s="4" t="e">
        <f>InsurerSize(#REF!)</f>
        <v>#VALUE!</v>
      </c>
      <c r="AE201" s="4" t="e">
        <f t="shared" si="15"/>
        <v>#VALUE!</v>
      </c>
    </row>
    <row r="202" spans="8:31" x14ac:dyDescent="0.2"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AC202" t="e">
        <f ca="1">RANK(AB202,OFFSET($AB$2,0,0,#REF!,1))</f>
        <v>#REF!</v>
      </c>
      <c r="AD202" s="4" t="e">
        <f>InsurerSize(#REF!)</f>
        <v>#VALUE!</v>
      </c>
      <c r="AE202" s="4" t="e">
        <f t="shared" si="15"/>
        <v>#VALUE!</v>
      </c>
    </row>
    <row r="203" spans="8:31" x14ac:dyDescent="0.2"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AC203" t="e">
        <f ca="1">RANK(AB203,OFFSET($AB$2,0,0,#REF!,1))</f>
        <v>#REF!</v>
      </c>
      <c r="AD203" s="4" t="e">
        <f>InsurerSize(#REF!)</f>
        <v>#VALUE!</v>
      </c>
      <c r="AE203" s="4" t="e">
        <f t="shared" si="15"/>
        <v>#VALUE!</v>
      </c>
    </row>
    <row r="204" spans="8:31" x14ac:dyDescent="0.2"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AC204" t="e">
        <f ca="1">RANK(AB204,OFFSET($AB$2,0,0,#REF!,1))</f>
        <v>#REF!</v>
      </c>
      <c r="AD204" s="4" t="e">
        <f>InsurerSize(#REF!)</f>
        <v>#VALUE!</v>
      </c>
      <c r="AE204" s="4" t="e">
        <f t="shared" si="15"/>
        <v>#VALUE!</v>
      </c>
    </row>
    <row r="205" spans="8:31" x14ac:dyDescent="0.2"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AC205" t="e">
        <f ca="1">RANK(AB205,OFFSET($AB$2,0,0,#REF!,1))</f>
        <v>#REF!</v>
      </c>
      <c r="AD205" s="4" t="e">
        <f>InsurerSize(#REF!)</f>
        <v>#VALUE!</v>
      </c>
      <c r="AE205" s="4" t="e">
        <f t="shared" si="15"/>
        <v>#VALUE!</v>
      </c>
    </row>
    <row r="206" spans="8:31" x14ac:dyDescent="0.2"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AC206" t="e">
        <f ca="1">RANK(AB206,OFFSET($AB$2,0,0,#REF!,1))</f>
        <v>#REF!</v>
      </c>
      <c r="AD206" s="4" t="e">
        <f>InsurerSize(#REF!)</f>
        <v>#VALUE!</v>
      </c>
      <c r="AE206" s="4" t="e">
        <f t="shared" si="15"/>
        <v>#VALUE!</v>
      </c>
    </row>
    <row r="207" spans="8:31" x14ac:dyDescent="0.2"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AC207" t="e">
        <f ca="1">RANK(AB207,OFFSET($AB$2,0,0,#REF!,1))</f>
        <v>#REF!</v>
      </c>
      <c r="AD207" s="4" t="e">
        <f>InsurerSize(#REF!)</f>
        <v>#VALUE!</v>
      </c>
      <c r="AE207" s="4" t="e">
        <f t="shared" si="15"/>
        <v>#VALUE!</v>
      </c>
    </row>
    <row r="208" spans="8:31" x14ac:dyDescent="0.2"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AC208" t="e">
        <f ca="1">RANK(AB208,OFFSET($AB$2,0,0,#REF!,1))</f>
        <v>#REF!</v>
      </c>
      <c r="AD208" s="4" t="e">
        <f>InsurerSize(#REF!)</f>
        <v>#VALUE!</v>
      </c>
      <c r="AE208" s="4" t="e">
        <f t="shared" si="15"/>
        <v>#VALUE!</v>
      </c>
    </row>
    <row r="209" spans="8:31" x14ac:dyDescent="0.2"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AC209" t="e">
        <f ca="1">RANK(AB209,OFFSET($AB$2,0,0,#REF!,1))</f>
        <v>#REF!</v>
      </c>
      <c r="AD209" s="4" t="e">
        <f>InsurerSize(#REF!)</f>
        <v>#VALUE!</v>
      </c>
      <c r="AE209" s="4" t="e">
        <f t="shared" si="15"/>
        <v>#VALUE!</v>
      </c>
    </row>
    <row r="210" spans="8:31" x14ac:dyDescent="0.2"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AC210" t="e">
        <f ca="1">RANK(AB210,OFFSET($AB$2,0,0,#REF!,1))</f>
        <v>#REF!</v>
      </c>
      <c r="AD210" s="4" t="e">
        <f>InsurerSize(#REF!)</f>
        <v>#VALUE!</v>
      </c>
      <c r="AE210" s="4" t="e">
        <f t="shared" si="15"/>
        <v>#VALUE!</v>
      </c>
    </row>
    <row r="211" spans="8:31" x14ac:dyDescent="0.2"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AC211" t="e">
        <f ca="1">RANK(AB211,OFFSET($AB$2,0,0,#REF!,1))</f>
        <v>#REF!</v>
      </c>
      <c r="AD211" s="4" t="e">
        <f>InsurerSize(#REF!)</f>
        <v>#VALUE!</v>
      </c>
      <c r="AE211" s="4" t="e">
        <f t="shared" si="15"/>
        <v>#VALUE!</v>
      </c>
    </row>
    <row r="212" spans="8:31" x14ac:dyDescent="0.2"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AC212" t="e">
        <f ca="1">RANK(AB212,OFFSET($AB$2,0,0,#REF!,1))</f>
        <v>#REF!</v>
      </c>
      <c r="AD212" s="4" t="e">
        <f>InsurerSize(#REF!)</f>
        <v>#VALUE!</v>
      </c>
      <c r="AE212" s="4" t="e">
        <f t="shared" si="15"/>
        <v>#VALUE!</v>
      </c>
    </row>
    <row r="213" spans="8:31" x14ac:dyDescent="0.2"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AC213" t="e">
        <f ca="1">RANK(AB213,OFFSET($AB$2,0,0,#REF!,1))</f>
        <v>#REF!</v>
      </c>
      <c r="AD213" s="4" t="e">
        <f>InsurerSize(#REF!)</f>
        <v>#VALUE!</v>
      </c>
      <c r="AE213" s="4" t="e">
        <f t="shared" si="15"/>
        <v>#VALUE!</v>
      </c>
    </row>
    <row r="214" spans="8:31" x14ac:dyDescent="0.2"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AC214" t="e">
        <f ca="1">RANK(AB214,OFFSET($AB$2,0,0,#REF!,1))</f>
        <v>#REF!</v>
      </c>
      <c r="AD214" s="4" t="e">
        <f>InsurerSize(#REF!)</f>
        <v>#VALUE!</v>
      </c>
      <c r="AE214" s="4" t="e">
        <f t="shared" si="15"/>
        <v>#VALUE!</v>
      </c>
    </row>
    <row r="215" spans="8:31" x14ac:dyDescent="0.2"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AC215" t="e">
        <f ca="1">RANK(AB215,OFFSET($AB$2,0,0,#REF!,1))</f>
        <v>#REF!</v>
      </c>
      <c r="AD215" s="4" t="e">
        <f>InsurerSize(#REF!)</f>
        <v>#VALUE!</v>
      </c>
      <c r="AE215" s="4" t="e">
        <f t="shared" si="15"/>
        <v>#VALUE!</v>
      </c>
    </row>
    <row r="216" spans="8:31" x14ac:dyDescent="0.2"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AC216" t="e">
        <f ca="1">RANK(AB216,OFFSET($AB$2,0,0,#REF!,1))</f>
        <v>#REF!</v>
      </c>
      <c r="AD216" s="4" t="e">
        <f>InsurerSize(#REF!)</f>
        <v>#VALUE!</v>
      </c>
      <c r="AE216" s="4" t="e">
        <f t="shared" si="15"/>
        <v>#VALUE!</v>
      </c>
    </row>
    <row r="217" spans="8:31" x14ac:dyDescent="0.2"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AC217" t="e">
        <f ca="1">RANK(AB217,OFFSET($AB$2,0,0,#REF!,1))</f>
        <v>#REF!</v>
      </c>
      <c r="AD217" s="4" t="e">
        <f>InsurerSize(#REF!)</f>
        <v>#VALUE!</v>
      </c>
      <c r="AE217" s="4" t="e">
        <f t="shared" si="15"/>
        <v>#VALUE!</v>
      </c>
    </row>
    <row r="218" spans="8:31" x14ac:dyDescent="0.2"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AC218" t="e">
        <f ca="1">RANK(AB218,OFFSET($AB$2,0,0,#REF!,1))</f>
        <v>#REF!</v>
      </c>
      <c r="AD218" s="4" t="e">
        <f>InsurerSize(#REF!)</f>
        <v>#VALUE!</v>
      </c>
      <c r="AE218" s="4" t="e">
        <f t="shared" si="15"/>
        <v>#VALUE!</v>
      </c>
    </row>
    <row r="219" spans="8:31" x14ac:dyDescent="0.2"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AC219" t="e">
        <f ca="1">RANK(AB219,OFFSET($AB$2,0,0,#REF!,1))</f>
        <v>#REF!</v>
      </c>
      <c r="AD219" s="4" t="e">
        <f>InsurerSize(#REF!)</f>
        <v>#VALUE!</v>
      </c>
      <c r="AE219" s="4" t="e">
        <f t="shared" si="15"/>
        <v>#VALUE!</v>
      </c>
    </row>
    <row r="220" spans="8:31" x14ac:dyDescent="0.2"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AC220" t="e">
        <f ca="1">RANK(AB220,OFFSET($AB$2,0,0,#REF!,1))</f>
        <v>#REF!</v>
      </c>
      <c r="AD220" s="4" t="e">
        <f>InsurerSize(#REF!)</f>
        <v>#VALUE!</v>
      </c>
      <c r="AE220" s="4" t="e">
        <f t="shared" si="15"/>
        <v>#VALUE!</v>
      </c>
    </row>
    <row r="221" spans="8:31" x14ac:dyDescent="0.2"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AC221" t="e">
        <f ca="1">RANK(AB221,OFFSET($AB$2,0,0,#REF!,1))</f>
        <v>#REF!</v>
      </c>
      <c r="AD221" s="4" t="e">
        <f>InsurerSize(#REF!)</f>
        <v>#VALUE!</v>
      </c>
      <c r="AE221" s="4" t="e">
        <f t="shared" si="15"/>
        <v>#VALUE!</v>
      </c>
    </row>
    <row r="222" spans="8:31" x14ac:dyDescent="0.2"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AC222" t="e">
        <f ca="1">RANK(AB222,OFFSET($AB$2,0,0,#REF!,1))</f>
        <v>#REF!</v>
      </c>
      <c r="AD222" s="4" t="e">
        <f>InsurerSize(#REF!)</f>
        <v>#VALUE!</v>
      </c>
      <c r="AE222" s="4" t="e">
        <f t="shared" si="15"/>
        <v>#VALUE!</v>
      </c>
    </row>
    <row r="223" spans="8:31" x14ac:dyDescent="0.2"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AC223" t="e">
        <f ca="1">RANK(AB223,OFFSET($AB$2,0,0,#REF!,1))</f>
        <v>#REF!</v>
      </c>
      <c r="AD223" s="4" t="e">
        <f>InsurerSize(#REF!)</f>
        <v>#VALUE!</v>
      </c>
      <c r="AE223" s="4" t="e">
        <f t="shared" si="15"/>
        <v>#VALUE!</v>
      </c>
    </row>
    <row r="224" spans="8:31" x14ac:dyDescent="0.2"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AC224" t="e">
        <f ca="1">RANK(AB224,OFFSET($AB$2,0,0,#REF!,1))</f>
        <v>#REF!</v>
      </c>
      <c r="AD224" s="4" t="e">
        <f>InsurerSize(#REF!)</f>
        <v>#VALUE!</v>
      </c>
      <c r="AE224" s="4" t="e">
        <f t="shared" si="15"/>
        <v>#VALUE!</v>
      </c>
    </row>
    <row r="225" spans="8:31" x14ac:dyDescent="0.2"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AC225" t="e">
        <f ca="1">RANK(AB225,OFFSET($AB$2,0,0,#REF!,1))</f>
        <v>#REF!</v>
      </c>
      <c r="AD225" s="4" t="e">
        <f>InsurerSize(#REF!)</f>
        <v>#VALUE!</v>
      </c>
      <c r="AE225" s="4" t="e">
        <f t="shared" si="15"/>
        <v>#VALUE!</v>
      </c>
    </row>
    <row r="226" spans="8:31" x14ac:dyDescent="0.2"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AC226" t="e">
        <f ca="1">RANK(AB226,OFFSET($AB$2,0,0,#REF!,1))</f>
        <v>#REF!</v>
      </c>
      <c r="AD226" s="4" t="e">
        <f>InsurerSize(#REF!)</f>
        <v>#VALUE!</v>
      </c>
      <c r="AE226" s="4" t="e">
        <f t="shared" si="15"/>
        <v>#VALUE!</v>
      </c>
    </row>
    <row r="227" spans="8:31" x14ac:dyDescent="0.2"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AC227" t="e">
        <f ca="1">RANK(AB227,OFFSET($AB$2,0,0,#REF!,1))</f>
        <v>#REF!</v>
      </c>
      <c r="AD227" s="4" t="e">
        <f>InsurerSize(#REF!)</f>
        <v>#VALUE!</v>
      </c>
      <c r="AE227" s="4" t="e">
        <f t="shared" si="15"/>
        <v>#VALUE!</v>
      </c>
    </row>
    <row r="228" spans="8:31" x14ac:dyDescent="0.2"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AC228" t="e">
        <f ca="1">RANK(AB228,OFFSET($AB$2,0,0,#REF!,1))</f>
        <v>#REF!</v>
      </c>
      <c r="AD228" s="4" t="e">
        <f>InsurerSize(#REF!)</f>
        <v>#VALUE!</v>
      </c>
      <c r="AE228" s="4" t="e">
        <f t="shared" si="15"/>
        <v>#VALUE!</v>
      </c>
    </row>
    <row r="229" spans="8:31" x14ac:dyDescent="0.2"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AC229" t="e">
        <f ca="1">RANK(AB229,OFFSET($AB$2,0,0,#REF!,1))</f>
        <v>#REF!</v>
      </c>
      <c r="AD229" s="4" t="e">
        <f>InsurerSize(#REF!)</f>
        <v>#VALUE!</v>
      </c>
      <c r="AE229" s="4" t="e">
        <f t="shared" si="15"/>
        <v>#VALUE!</v>
      </c>
    </row>
    <row r="230" spans="8:31" x14ac:dyDescent="0.2"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AC230" t="e">
        <f ca="1">RANK(AB230,OFFSET($AB$2,0,0,#REF!,1))</f>
        <v>#REF!</v>
      </c>
      <c r="AD230" s="4" t="e">
        <f>InsurerSize(#REF!)</f>
        <v>#VALUE!</v>
      </c>
      <c r="AE230" s="4" t="e">
        <f t="shared" si="15"/>
        <v>#VALUE!</v>
      </c>
    </row>
    <row r="231" spans="8:31" x14ac:dyDescent="0.2"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AC231" t="e">
        <f ca="1">RANK(AB231,OFFSET($AB$2,0,0,#REF!,1))</f>
        <v>#REF!</v>
      </c>
      <c r="AD231" s="4" t="e">
        <f>InsurerSize(#REF!)</f>
        <v>#VALUE!</v>
      </c>
      <c r="AE231" s="4" t="e">
        <f t="shared" si="15"/>
        <v>#VALUE!</v>
      </c>
    </row>
    <row r="232" spans="8:31" x14ac:dyDescent="0.2"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AC232" t="e">
        <f ca="1">RANK(AB232,OFFSET($AB$2,0,0,#REF!,1))</f>
        <v>#REF!</v>
      </c>
      <c r="AD232" s="4" t="e">
        <f>InsurerSize(#REF!)</f>
        <v>#VALUE!</v>
      </c>
      <c r="AE232" s="4" t="e">
        <f t="shared" si="15"/>
        <v>#VALUE!</v>
      </c>
    </row>
    <row r="233" spans="8:31" x14ac:dyDescent="0.2"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AC233" t="e">
        <f ca="1">RANK(AB233,OFFSET($AB$2,0,0,#REF!,1))</f>
        <v>#REF!</v>
      </c>
      <c r="AD233" s="4" t="e">
        <f>InsurerSize(#REF!)</f>
        <v>#VALUE!</v>
      </c>
      <c r="AE233" s="4" t="e">
        <f t="shared" si="15"/>
        <v>#VALUE!</v>
      </c>
    </row>
    <row r="234" spans="8:31" x14ac:dyDescent="0.2"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AC234" t="e">
        <f ca="1">RANK(AB234,OFFSET($AB$2,0,0,#REF!,1))</f>
        <v>#REF!</v>
      </c>
      <c r="AD234" s="4" t="e">
        <f>InsurerSize(#REF!)</f>
        <v>#VALUE!</v>
      </c>
      <c r="AE234" s="4" t="e">
        <f t="shared" si="15"/>
        <v>#VALUE!</v>
      </c>
    </row>
    <row r="235" spans="8:31" x14ac:dyDescent="0.2"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AC235" t="e">
        <f ca="1">RANK(AB235,OFFSET($AB$2,0,0,#REF!,1))</f>
        <v>#REF!</v>
      </c>
      <c r="AD235" s="4" t="e">
        <f>InsurerSize(#REF!)</f>
        <v>#VALUE!</v>
      </c>
      <c r="AE235" s="4" t="e">
        <f t="shared" si="15"/>
        <v>#VALUE!</v>
      </c>
    </row>
    <row r="236" spans="8:31" x14ac:dyDescent="0.2"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AC236" t="e">
        <f ca="1">RANK(AB236,OFFSET($AB$2,0,0,#REF!,1))</f>
        <v>#REF!</v>
      </c>
      <c r="AD236" s="4" t="e">
        <f>InsurerSize(#REF!)</f>
        <v>#VALUE!</v>
      </c>
      <c r="AE236" s="4" t="e">
        <f t="shared" si="15"/>
        <v>#VALUE!</v>
      </c>
    </row>
    <row r="237" spans="8:31" x14ac:dyDescent="0.2"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AC237" t="e">
        <f ca="1">RANK(AB237,OFFSET($AB$2,0,0,#REF!,1))</f>
        <v>#REF!</v>
      </c>
      <c r="AD237" s="4" t="e">
        <f>InsurerSize(#REF!)</f>
        <v>#VALUE!</v>
      </c>
      <c r="AE237" s="4" t="e">
        <f t="shared" si="15"/>
        <v>#VALUE!</v>
      </c>
    </row>
    <row r="238" spans="8:31" x14ac:dyDescent="0.2"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AC238" t="e">
        <f ca="1">RANK(AB238,OFFSET($AB$2,0,0,#REF!,1))</f>
        <v>#REF!</v>
      </c>
      <c r="AD238" s="4" t="e">
        <f>InsurerSize(#REF!)</f>
        <v>#VALUE!</v>
      </c>
      <c r="AE238" s="4" t="e">
        <f t="shared" si="15"/>
        <v>#VALUE!</v>
      </c>
    </row>
    <row r="239" spans="8:31" x14ac:dyDescent="0.2"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AC239" t="e">
        <f ca="1">RANK(AB239,OFFSET($AB$2,0,0,#REF!,1))</f>
        <v>#REF!</v>
      </c>
      <c r="AD239" s="4" t="e">
        <f>InsurerSize(#REF!)</f>
        <v>#VALUE!</v>
      </c>
      <c r="AE239" s="4" t="e">
        <f t="shared" si="15"/>
        <v>#VALUE!</v>
      </c>
    </row>
    <row r="240" spans="8:31" x14ac:dyDescent="0.2"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AC240" t="e">
        <f ca="1">RANK(AB240,OFFSET($AB$2,0,0,#REF!,1))</f>
        <v>#REF!</v>
      </c>
      <c r="AD240" s="4" t="e">
        <f>InsurerSize(#REF!)</f>
        <v>#VALUE!</v>
      </c>
      <c r="AE240" s="4" t="e">
        <f t="shared" si="15"/>
        <v>#VALUE!</v>
      </c>
    </row>
    <row r="241" spans="8:31" x14ac:dyDescent="0.2"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AC241" t="e">
        <f ca="1">RANK(AB241,OFFSET($AB$2,0,0,#REF!,1))</f>
        <v>#REF!</v>
      </c>
      <c r="AD241" s="4" t="e">
        <f>InsurerSize(#REF!)</f>
        <v>#VALUE!</v>
      </c>
      <c r="AE241" s="4" t="e">
        <f t="shared" si="15"/>
        <v>#VALUE!</v>
      </c>
    </row>
    <row r="242" spans="8:31" x14ac:dyDescent="0.2"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AC242" t="e">
        <f ca="1">RANK(AB242,OFFSET($AB$2,0,0,#REF!,1))</f>
        <v>#REF!</v>
      </c>
      <c r="AD242" s="4" t="e">
        <f>InsurerSize(#REF!)</f>
        <v>#VALUE!</v>
      </c>
      <c r="AE242" s="4" t="e">
        <f t="shared" si="15"/>
        <v>#VALUE!</v>
      </c>
    </row>
    <row r="243" spans="8:31" x14ac:dyDescent="0.2"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AC243" t="e">
        <f ca="1">RANK(AB243,OFFSET($AB$2,0,0,#REF!,1))</f>
        <v>#REF!</v>
      </c>
      <c r="AD243" s="4" t="e">
        <f>InsurerSize(#REF!)</f>
        <v>#VALUE!</v>
      </c>
      <c r="AE243" s="4" t="e">
        <f t="shared" si="15"/>
        <v>#VALUE!</v>
      </c>
    </row>
    <row r="244" spans="8:31" x14ac:dyDescent="0.2"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AC244" t="e">
        <f ca="1">RANK(AB244,OFFSET($AB$2,0,0,#REF!,1))</f>
        <v>#REF!</v>
      </c>
      <c r="AD244" s="4" t="e">
        <f>InsurerSize(#REF!)</f>
        <v>#VALUE!</v>
      </c>
      <c r="AE244" s="4" t="e">
        <f t="shared" si="15"/>
        <v>#VALUE!</v>
      </c>
    </row>
    <row r="245" spans="8:31" x14ac:dyDescent="0.2"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AC245" t="e">
        <f ca="1">RANK(AB245,OFFSET($AB$2,0,0,#REF!,1))</f>
        <v>#REF!</v>
      </c>
      <c r="AD245" s="4" t="e">
        <f>InsurerSize(#REF!)</f>
        <v>#VALUE!</v>
      </c>
      <c r="AE245" s="4" t="e">
        <f t="shared" si="15"/>
        <v>#VALUE!</v>
      </c>
    </row>
    <row r="246" spans="8:31" x14ac:dyDescent="0.2"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AC246" t="e">
        <f ca="1">RANK(AB246,OFFSET($AB$2,0,0,#REF!,1))</f>
        <v>#REF!</v>
      </c>
      <c r="AD246" s="4" t="e">
        <f>InsurerSize(#REF!)</f>
        <v>#VALUE!</v>
      </c>
      <c r="AE246" s="4" t="e">
        <f t="shared" si="15"/>
        <v>#VALUE!</v>
      </c>
    </row>
    <row r="247" spans="8:31" x14ac:dyDescent="0.2"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AC247" t="e">
        <f ca="1">RANK(AB247,OFFSET($AB$2,0,0,#REF!,1))</f>
        <v>#REF!</v>
      </c>
      <c r="AD247" s="4" t="e">
        <f>InsurerSize(#REF!)</f>
        <v>#VALUE!</v>
      </c>
      <c r="AE247" s="4" t="e">
        <f t="shared" si="15"/>
        <v>#VALUE!</v>
      </c>
    </row>
    <row r="248" spans="8:31" x14ac:dyDescent="0.2"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AC248" t="e">
        <f ca="1">RANK(AB248,OFFSET($AB$2,0,0,#REF!,1))</f>
        <v>#REF!</v>
      </c>
      <c r="AD248" s="4" t="e">
        <f>InsurerSize(#REF!)</f>
        <v>#VALUE!</v>
      </c>
      <c r="AE248" s="4" t="e">
        <f t="shared" si="15"/>
        <v>#VALUE!</v>
      </c>
    </row>
    <row r="249" spans="8:31" x14ac:dyDescent="0.2"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AC249" t="e">
        <f ca="1">RANK(AB249,OFFSET($AB$2,0,0,#REF!,1))</f>
        <v>#REF!</v>
      </c>
      <c r="AD249" s="4" t="e">
        <f>InsurerSize(#REF!)</f>
        <v>#VALUE!</v>
      </c>
      <c r="AE249" s="4" t="e">
        <f t="shared" si="15"/>
        <v>#VALUE!</v>
      </c>
    </row>
    <row r="250" spans="8:31" x14ac:dyDescent="0.2"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AC250" t="e">
        <f ca="1">RANK(AB250,OFFSET($AB$2,0,0,#REF!,1))</f>
        <v>#REF!</v>
      </c>
      <c r="AD250" s="4" t="e">
        <f>InsurerSize(#REF!)</f>
        <v>#VALUE!</v>
      </c>
      <c r="AE250" s="4" t="e">
        <f t="shared" si="15"/>
        <v>#VALUE!</v>
      </c>
    </row>
    <row r="251" spans="8:31" x14ac:dyDescent="0.2"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AC251" t="e">
        <f ca="1">RANK(AB251,OFFSET($AB$2,0,0,#REF!,1))</f>
        <v>#REF!</v>
      </c>
      <c r="AD251" s="4" t="e">
        <f>InsurerSize(#REF!)</f>
        <v>#VALUE!</v>
      </c>
      <c r="AE251" s="4" t="e">
        <f t="shared" si="15"/>
        <v>#VALUE!</v>
      </c>
    </row>
    <row r="252" spans="8:31" x14ac:dyDescent="0.2"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AC252" t="e">
        <f ca="1">RANK(AB252,OFFSET($AB$2,0,0,#REF!,1))</f>
        <v>#REF!</v>
      </c>
      <c r="AD252" s="4" t="e">
        <f>InsurerSize(#REF!)</f>
        <v>#VALUE!</v>
      </c>
      <c r="AE252" s="4" t="e">
        <f t="shared" si="15"/>
        <v>#VALUE!</v>
      </c>
    </row>
    <row r="253" spans="8:31" x14ac:dyDescent="0.2"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AC253" t="e">
        <f ca="1">RANK(AB253,OFFSET($AB$2,0,0,#REF!,1))</f>
        <v>#REF!</v>
      </c>
      <c r="AD253" s="4" t="e">
        <f>InsurerSize(#REF!)</f>
        <v>#VALUE!</v>
      </c>
      <c r="AE253" s="4" t="e">
        <f t="shared" si="15"/>
        <v>#VALUE!</v>
      </c>
    </row>
    <row r="254" spans="8:31" x14ac:dyDescent="0.2"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AC254" t="e">
        <f ca="1">RANK(AB254,OFFSET($AB$2,0,0,#REF!,1))</f>
        <v>#REF!</v>
      </c>
      <c r="AD254" s="4" t="e">
        <f>InsurerSize(#REF!)</f>
        <v>#VALUE!</v>
      </c>
      <c r="AE254" s="4" t="e">
        <f t="shared" si="15"/>
        <v>#VALUE!</v>
      </c>
    </row>
    <row r="255" spans="8:31" x14ac:dyDescent="0.2"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AC255" t="e">
        <f ca="1">RANK(AB255,OFFSET($AB$2,0,0,#REF!,1))</f>
        <v>#REF!</v>
      </c>
      <c r="AD255" s="4" t="e">
        <f>InsurerSize(#REF!)</f>
        <v>#VALUE!</v>
      </c>
      <c r="AE255" s="4" t="e">
        <f t="shared" si="15"/>
        <v>#VALUE!</v>
      </c>
    </row>
    <row r="256" spans="8:31" x14ac:dyDescent="0.2"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AC256" t="e">
        <f ca="1">RANK(AB256,OFFSET($AB$2,0,0,#REF!,1))</f>
        <v>#REF!</v>
      </c>
      <c r="AD256" s="4" t="e">
        <f>InsurerSize(#REF!)</f>
        <v>#VALUE!</v>
      </c>
      <c r="AE256" s="4" t="e">
        <f t="shared" si="15"/>
        <v>#VALUE!</v>
      </c>
    </row>
    <row r="257" spans="8:31" x14ac:dyDescent="0.2"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AC257" t="e">
        <f ca="1">RANK(AB257,OFFSET($AB$2,0,0,#REF!,1))</f>
        <v>#REF!</v>
      </c>
      <c r="AD257" s="4" t="e">
        <f>InsurerSize(#REF!)</f>
        <v>#VALUE!</v>
      </c>
      <c r="AE257" s="4" t="e">
        <f t="shared" si="15"/>
        <v>#VALUE!</v>
      </c>
    </row>
    <row r="258" spans="8:31" x14ac:dyDescent="0.2"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AC258" t="e">
        <f ca="1">RANK(AB258,OFFSET($AB$2,0,0,#REF!,1))</f>
        <v>#REF!</v>
      </c>
      <c r="AD258" s="4" t="e">
        <f>InsurerSize(#REF!)</f>
        <v>#VALUE!</v>
      </c>
      <c r="AE258" s="4" t="e">
        <f t="shared" ref="AE258:AE321" si="16">A258&amp;AD258</f>
        <v>#VALUE!</v>
      </c>
    </row>
    <row r="259" spans="8:31" x14ac:dyDescent="0.2"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AC259" t="e">
        <f ca="1">RANK(AB259,OFFSET($AB$2,0,0,#REF!,1))</f>
        <v>#REF!</v>
      </c>
      <c r="AD259" s="4" t="e">
        <f>InsurerSize(#REF!)</f>
        <v>#VALUE!</v>
      </c>
      <c r="AE259" s="4" t="e">
        <f t="shared" si="16"/>
        <v>#VALUE!</v>
      </c>
    </row>
    <row r="260" spans="8:31" x14ac:dyDescent="0.2"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AC260" t="e">
        <f ca="1">RANK(AB260,OFFSET($AB$2,0,0,#REF!,1))</f>
        <v>#REF!</v>
      </c>
      <c r="AD260" s="4" t="e">
        <f>InsurerSize(#REF!)</f>
        <v>#VALUE!</v>
      </c>
      <c r="AE260" s="4" t="e">
        <f t="shared" si="16"/>
        <v>#VALUE!</v>
      </c>
    </row>
    <row r="261" spans="8:31" x14ac:dyDescent="0.2"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AC261" t="e">
        <f ca="1">RANK(AB261,OFFSET($AB$2,0,0,#REF!,1))</f>
        <v>#REF!</v>
      </c>
      <c r="AD261" s="4" t="e">
        <f>InsurerSize(#REF!)</f>
        <v>#VALUE!</v>
      </c>
      <c r="AE261" s="4" t="e">
        <f t="shared" si="16"/>
        <v>#VALUE!</v>
      </c>
    </row>
    <row r="262" spans="8:31" x14ac:dyDescent="0.2"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AC262" t="e">
        <f ca="1">RANK(AB262,OFFSET($AB$2,0,0,#REF!,1))</f>
        <v>#REF!</v>
      </c>
      <c r="AD262" s="4" t="e">
        <f>InsurerSize(#REF!)</f>
        <v>#VALUE!</v>
      </c>
      <c r="AE262" s="4" t="e">
        <f t="shared" si="16"/>
        <v>#VALUE!</v>
      </c>
    </row>
    <row r="263" spans="8:31" x14ac:dyDescent="0.2"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AC263" t="e">
        <f ca="1">RANK(AB263,OFFSET($AB$2,0,0,#REF!,1))</f>
        <v>#REF!</v>
      </c>
      <c r="AD263" s="4" t="e">
        <f>InsurerSize(#REF!)</f>
        <v>#VALUE!</v>
      </c>
      <c r="AE263" s="4" t="e">
        <f t="shared" si="16"/>
        <v>#VALUE!</v>
      </c>
    </row>
    <row r="264" spans="8:31" x14ac:dyDescent="0.2"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AC264" t="e">
        <f ca="1">RANK(AB264,OFFSET($AB$2,0,0,#REF!,1))</f>
        <v>#REF!</v>
      </c>
      <c r="AD264" s="4" t="e">
        <f>InsurerSize(#REF!)</f>
        <v>#VALUE!</v>
      </c>
      <c r="AE264" s="4" t="e">
        <f t="shared" si="16"/>
        <v>#VALUE!</v>
      </c>
    </row>
    <row r="265" spans="8:31" x14ac:dyDescent="0.2"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AC265" t="e">
        <f ca="1">RANK(AB265,OFFSET($AB$2,0,0,#REF!,1))</f>
        <v>#REF!</v>
      </c>
      <c r="AD265" s="4" t="e">
        <f>InsurerSize(#REF!)</f>
        <v>#VALUE!</v>
      </c>
      <c r="AE265" s="4" t="e">
        <f t="shared" si="16"/>
        <v>#VALUE!</v>
      </c>
    </row>
    <row r="266" spans="8:31" x14ac:dyDescent="0.2"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AC266" t="e">
        <f ca="1">RANK(AB266,OFFSET($AB$2,0,0,#REF!,1))</f>
        <v>#REF!</v>
      </c>
      <c r="AD266" s="4" t="e">
        <f>InsurerSize(#REF!)</f>
        <v>#VALUE!</v>
      </c>
      <c r="AE266" s="4" t="e">
        <f t="shared" si="16"/>
        <v>#VALUE!</v>
      </c>
    </row>
    <row r="267" spans="8:31" x14ac:dyDescent="0.2"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AC267" t="e">
        <f ca="1">RANK(AB267,OFFSET($AB$2,0,0,#REF!,1))</f>
        <v>#REF!</v>
      </c>
      <c r="AD267" s="4" t="e">
        <f>InsurerSize(#REF!)</f>
        <v>#VALUE!</v>
      </c>
      <c r="AE267" s="4" t="e">
        <f t="shared" si="16"/>
        <v>#VALUE!</v>
      </c>
    </row>
    <row r="268" spans="8:31" x14ac:dyDescent="0.2"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AC268" t="e">
        <f ca="1">RANK(AB268,OFFSET($AB$2,0,0,#REF!,1))</f>
        <v>#REF!</v>
      </c>
      <c r="AD268" s="4" t="e">
        <f>InsurerSize(#REF!)</f>
        <v>#VALUE!</v>
      </c>
      <c r="AE268" s="4" t="e">
        <f t="shared" si="16"/>
        <v>#VALUE!</v>
      </c>
    </row>
    <row r="269" spans="8:31" x14ac:dyDescent="0.2"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AC269" t="e">
        <f ca="1">RANK(AB269,OFFSET($AB$2,0,0,#REF!,1))</f>
        <v>#REF!</v>
      </c>
      <c r="AD269" s="4" t="e">
        <f>InsurerSize(#REF!)</f>
        <v>#VALUE!</v>
      </c>
      <c r="AE269" s="4" t="e">
        <f t="shared" si="16"/>
        <v>#VALUE!</v>
      </c>
    </row>
    <row r="270" spans="8:31" x14ac:dyDescent="0.2"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AC270" t="e">
        <f ca="1">RANK(AB270,OFFSET($AB$2,0,0,#REF!,1))</f>
        <v>#REF!</v>
      </c>
      <c r="AD270" s="4" t="e">
        <f>InsurerSize(#REF!)</f>
        <v>#VALUE!</v>
      </c>
      <c r="AE270" s="4" t="e">
        <f t="shared" si="16"/>
        <v>#VALUE!</v>
      </c>
    </row>
    <row r="271" spans="8:31" x14ac:dyDescent="0.2"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AC271" t="e">
        <f ca="1">RANK(AB271,OFFSET($AB$2,0,0,#REF!,1))</f>
        <v>#REF!</v>
      </c>
      <c r="AD271" s="4" t="e">
        <f>InsurerSize(#REF!)</f>
        <v>#VALUE!</v>
      </c>
      <c r="AE271" s="4" t="e">
        <f t="shared" si="16"/>
        <v>#VALUE!</v>
      </c>
    </row>
    <row r="272" spans="8:31" x14ac:dyDescent="0.2"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AC272" t="e">
        <f ca="1">RANK(AB272,OFFSET($AB$2,0,0,#REF!,1))</f>
        <v>#REF!</v>
      </c>
      <c r="AD272" s="4" t="e">
        <f>InsurerSize(#REF!)</f>
        <v>#VALUE!</v>
      </c>
      <c r="AE272" s="4" t="e">
        <f t="shared" si="16"/>
        <v>#VALUE!</v>
      </c>
    </row>
    <row r="273" spans="8:31" x14ac:dyDescent="0.2"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AC273" t="e">
        <f ca="1">RANK(AB273,OFFSET($AB$2,0,0,#REF!,1))</f>
        <v>#REF!</v>
      </c>
      <c r="AD273" s="4" t="e">
        <f>InsurerSize(#REF!)</f>
        <v>#VALUE!</v>
      </c>
      <c r="AE273" s="4" t="e">
        <f t="shared" si="16"/>
        <v>#VALUE!</v>
      </c>
    </row>
    <row r="274" spans="8:31" x14ac:dyDescent="0.2"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AC274" t="e">
        <f ca="1">RANK(AB274,OFFSET($AB$2,0,0,#REF!,1))</f>
        <v>#REF!</v>
      </c>
      <c r="AD274" s="4" t="e">
        <f>InsurerSize(#REF!)</f>
        <v>#VALUE!</v>
      </c>
      <c r="AE274" s="4" t="e">
        <f t="shared" si="16"/>
        <v>#VALUE!</v>
      </c>
    </row>
    <row r="275" spans="8:31" x14ac:dyDescent="0.2"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AC275" t="e">
        <f ca="1">RANK(AB275,OFFSET($AB$2,0,0,#REF!,1))</f>
        <v>#REF!</v>
      </c>
      <c r="AD275" s="4" t="e">
        <f>InsurerSize(#REF!)</f>
        <v>#VALUE!</v>
      </c>
      <c r="AE275" s="4" t="e">
        <f t="shared" si="16"/>
        <v>#VALUE!</v>
      </c>
    </row>
    <row r="276" spans="8:31" x14ac:dyDescent="0.2"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AC276" t="e">
        <f ca="1">RANK(AB276,OFFSET($AB$2,0,0,#REF!,1))</f>
        <v>#REF!</v>
      </c>
      <c r="AD276" s="4" t="e">
        <f>InsurerSize(#REF!)</f>
        <v>#VALUE!</v>
      </c>
      <c r="AE276" s="4" t="e">
        <f t="shared" si="16"/>
        <v>#VALUE!</v>
      </c>
    </row>
    <row r="277" spans="8:31" x14ac:dyDescent="0.2"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AC277" t="e">
        <f ca="1">RANK(AB277,OFFSET($AB$2,0,0,#REF!,1))</f>
        <v>#REF!</v>
      </c>
      <c r="AD277" s="4" t="e">
        <f>InsurerSize(#REF!)</f>
        <v>#VALUE!</v>
      </c>
      <c r="AE277" s="4" t="e">
        <f t="shared" si="16"/>
        <v>#VALUE!</v>
      </c>
    </row>
    <row r="278" spans="8:31" x14ac:dyDescent="0.2"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AC278" t="e">
        <f ca="1">RANK(AB278,OFFSET($AB$2,0,0,#REF!,1))</f>
        <v>#REF!</v>
      </c>
      <c r="AD278" s="4" t="e">
        <f>InsurerSize(#REF!)</f>
        <v>#VALUE!</v>
      </c>
      <c r="AE278" s="4" t="e">
        <f t="shared" si="16"/>
        <v>#VALUE!</v>
      </c>
    </row>
    <row r="279" spans="8:31" x14ac:dyDescent="0.2"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AC279" t="e">
        <f ca="1">RANK(AB279,OFFSET($AB$2,0,0,#REF!,1))</f>
        <v>#REF!</v>
      </c>
      <c r="AD279" s="4" t="e">
        <f>InsurerSize(#REF!)</f>
        <v>#VALUE!</v>
      </c>
      <c r="AE279" s="4" t="e">
        <f t="shared" si="16"/>
        <v>#VALUE!</v>
      </c>
    </row>
    <row r="280" spans="8:31" x14ac:dyDescent="0.2"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AC280" t="e">
        <f ca="1">RANK(AB280,OFFSET($AB$2,0,0,#REF!,1))</f>
        <v>#REF!</v>
      </c>
      <c r="AD280" s="4" t="e">
        <f>InsurerSize(#REF!)</f>
        <v>#VALUE!</v>
      </c>
      <c r="AE280" s="4" t="e">
        <f t="shared" si="16"/>
        <v>#VALUE!</v>
      </c>
    </row>
    <row r="281" spans="8:31" x14ac:dyDescent="0.2"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AC281" t="e">
        <f ca="1">RANK(AB281,OFFSET($AB$2,0,0,#REF!,1))</f>
        <v>#REF!</v>
      </c>
      <c r="AD281" s="4" t="e">
        <f>InsurerSize(#REF!)</f>
        <v>#VALUE!</v>
      </c>
      <c r="AE281" s="4" t="e">
        <f t="shared" si="16"/>
        <v>#VALUE!</v>
      </c>
    </row>
    <row r="282" spans="8:31" x14ac:dyDescent="0.2"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AC282" t="e">
        <f ca="1">RANK(AB282,OFFSET($AB$2,0,0,#REF!,1))</f>
        <v>#REF!</v>
      </c>
      <c r="AD282" s="4" t="e">
        <f>InsurerSize(#REF!)</f>
        <v>#VALUE!</v>
      </c>
      <c r="AE282" s="4" t="e">
        <f t="shared" si="16"/>
        <v>#VALUE!</v>
      </c>
    </row>
    <row r="283" spans="8:31" x14ac:dyDescent="0.2"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AC283" t="e">
        <f ca="1">RANK(AB283,OFFSET($AB$2,0,0,#REF!,1))</f>
        <v>#REF!</v>
      </c>
      <c r="AD283" s="4" t="e">
        <f>InsurerSize(#REF!)</f>
        <v>#VALUE!</v>
      </c>
      <c r="AE283" s="4" t="e">
        <f t="shared" si="16"/>
        <v>#VALUE!</v>
      </c>
    </row>
    <row r="284" spans="8:31" x14ac:dyDescent="0.2"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AC284" t="e">
        <f ca="1">RANK(AB284,OFFSET($AB$2,0,0,#REF!,1))</f>
        <v>#REF!</v>
      </c>
      <c r="AD284" s="4" t="e">
        <f>InsurerSize(#REF!)</f>
        <v>#VALUE!</v>
      </c>
      <c r="AE284" s="4" t="e">
        <f t="shared" si="16"/>
        <v>#VALUE!</v>
      </c>
    </row>
    <row r="285" spans="8:31" x14ac:dyDescent="0.2"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AC285" t="e">
        <f ca="1">RANK(AB285,OFFSET($AB$2,0,0,#REF!,1))</f>
        <v>#REF!</v>
      </c>
      <c r="AD285" s="4" t="e">
        <f>InsurerSize(#REF!)</f>
        <v>#VALUE!</v>
      </c>
      <c r="AE285" s="4" t="e">
        <f t="shared" si="16"/>
        <v>#VALUE!</v>
      </c>
    </row>
    <row r="286" spans="8:31" x14ac:dyDescent="0.2"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AC286" t="e">
        <f ca="1">RANK(AB286,OFFSET($AB$2,0,0,#REF!,1))</f>
        <v>#REF!</v>
      </c>
      <c r="AD286" s="4" t="e">
        <f>InsurerSize(#REF!)</f>
        <v>#VALUE!</v>
      </c>
      <c r="AE286" s="4" t="e">
        <f t="shared" si="16"/>
        <v>#VALUE!</v>
      </c>
    </row>
    <row r="287" spans="8:31" x14ac:dyDescent="0.2"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AC287" t="e">
        <f ca="1">RANK(AB287,OFFSET($AB$2,0,0,#REF!,1))</f>
        <v>#REF!</v>
      </c>
      <c r="AD287" s="4" t="e">
        <f>InsurerSize(#REF!)</f>
        <v>#VALUE!</v>
      </c>
      <c r="AE287" s="4" t="e">
        <f t="shared" si="16"/>
        <v>#VALUE!</v>
      </c>
    </row>
    <row r="288" spans="8:31" x14ac:dyDescent="0.2"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AC288" t="e">
        <f ca="1">RANK(AB288,OFFSET($AB$2,0,0,#REF!,1))</f>
        <v>#REF!</v>
      </c>
      <c r="AD288" s="4" t="e">
        <f>InsurerSize(#REF!)</f>
        <v>#VALUE!</v>
      </c>
      <c r="AE288" s="4" t="e">
        <f t="shared" si="16"/>
        <v>#VALUE!</v>
      </c>
    </row>
    <row r="289" spans="8:31" x14ac:dyDescent="0.2"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AC289" t="e">
        <f ca="1">RANK(AB289,OFFSET($AB$2,0,0,#REF!,1))</f>
        <v>#REF!</v>
      </c>
      <c r="AD289" s="4" t="e">
        <f>InsurerSize(#REF!)</f>
        <v>#VALUE!</v>
      </c>
      <c r="AE289" s="4" t="e">
        <f t="shared" si="16"/>
        <v>#VALUE!</v>
      </c>
    </row>
    <row r="290" spans="8:31" x14ac:dyDescent="0.2"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AC290" t="e">
        <f ca="1">RANK(AB290,OFFSET($AB$2,0,0,#REF!,1))</f>
        <v>#REF!</v>
      </c>
      <c r="AD290" s="4" t="e">
        <f>InsurerSize(#REF!)</f>
        <v>#VALUE!</v>
      </c>
      <c r="AE290" s="4" t="e">
        <f t="shared" si="16"/>
        <v>#VALUE!</v>
      </c>
    </row>
    <row r="291" spans="8:31" x14ac:dyDescent="0.2"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AC291" t="e">
        <f ca="1">RANK(AB291,OFFSET($AB$2,0,0,#REF!,1))</f>
        <v>#REF!</v>
      </c>
      <c r="AD291" s="4" t="e">
        <f>InsurerSize(#REF!)</f>
        <v>#VALUE!</v>
      </c>
      <c r="AE291" s="4" t="e">
        <f t="shared" si="16"/>
        <v>#VALUE!</v>
      </c>
    </row>
    <row r="292" spans="8:31" x14ac:dyDescent="0.2"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AC292" t="e">
        <f ca="1">RANK(AB292,OFFSET($AB$2,0,0,#REF!,1))</f>
        <v>#REF!</v>
      </c>
      <c r="AD292" s="4" t="e">
        <f>InsurerSize(#REF!)</f>
        <v>#VALUE!</v>
      </c>
      <c r="AE292" s="4" t="e">
        <f t="shared" si="16"/>
        <v>#VALUE!</v>
      </c>
    </row>
    <row r="293" spans="8:31" x14ac:dyDescent="0.2"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AC293" t="e">
        <f ca="1">RANK(AB293,OFFSET($AB$2,0,0,#REF!,1))</f>
        <v>#REF!</v>
      </c>
      <c r="AD293" s="4" t="e">
        <f>InsurerSize(#REF!)</f>
        <v>#VALUE!</v>
      </c>
      <c r="AE293" s="4" t="e">
        <f t="shared" si="16"/>
        <v>#VALUE!</v>
      </c>
    </row>
    <row r="294" spans="8:31" x14ac:dyDescent="0.2"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AC294" t="e">
        <f ca="1">RANK(AB294,OFFSET($AB$2,0,0,#REF!,1))</f>
        <v>#REF!</v>
      </c>
      <c r="AD294" s="4" t="e">
        <f>InsurerSize(#REF!)</f>
        <v>#VALUE!</v>
      </c>
      <c r="AE294" s="4" t="e">
        <f t="shared" si="16"/>
        <v>#VALUE!</v>
      </c>
    </row>
    <row r="295" spans="8:31" x14ac:dyDescent="0.2"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AC295" t="e">
        <f ca="1">RANK(AB295,OFFSET($AB$2,0,0,#REF!,1))</f>
        <v>#REF!</v>
      </c>
      <c r="AD295" s="4" t="e">
        <f>InsurerSize(#REF!)</f>
        <v>#VALUE!</v>
      </c>
      <c r="AE295" s="4" t="e">
        <f t="shared" si="16"/>
        <v>#VALUE!</v>
      </c>
    </row>
    <row r="296" spans="8:31" x14ac:dyDescent="0.2"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AC296" t="e">
        <f ca="1">RANK(AB296,OFFSET($AB$2,0,0,#REF!,1))</f>
        <v>#REF!</v>
      </c>
      <c r="AD296" s="4" t="e">
        <f>InsurerSize(#REF!)</f>
        <v>#VALUE!</v>
      </c>
      <c r="AE296" s="4" t="e">
        <f t="shared" si="16"/>
        <v>#VALUE!</v>
      </c>
    </row>
    <row r="297" spans="8:31" x14ac:dyDescent="0.2"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AC297" t="e">
        <f ca="1">RANK(AB297,OFFSET($AB$2,0,0,#REF!,1))</f>
        <v>#REF!</v>
      </c>
      <c r="AD297" s="4" t="e">
        <f>InsurerSize(#REF!)</f>
        <v>#VALUE!</v>
      </c>
      <c r="AE297" s="4" t="e">
        <f t="shared" si="16"/>
        <v>#VALUE!</v>
      </c>
    </row>
    <row r="298" spans="8:31" x14ac:dyDescent="0.2"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AC298" t="e">
        <f ca="1">RANK(AB298,OFFSET($AB$2,0,0,#REF!,1))</f>
        <v>#REF!</v>
      </c>
      <c r="AD298" s="4" t="e">
        <f>InsurerSize(#REF!)</f>
        <v>#VALUE!</v>
      </c>
      <c r="AE298" s="4" t="e">
        <f t="shared" si="16"/>
        <v>#VALUE!</v>
      </c>
    </row>
    <row r="299" spans="8:31" x14ac:dyDescent="0.2"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AC299" t="e">
        <f ca="1">RANK(AB299,OFFSET($AB$2,0,0,#REF!,1))</f>
        <v>#REF!</v>
      </c>
      <c r="AD299" s="4" t="e">
        <f>InsurerSize(#REF!)</f>
        <v>#VALUE!</v>
      </c>
      <c r="AE299" s="4" t="e">
        <f t="shared" si="16"/>
        <v>#VALUE!</v>
      </c>
    </row>
    <row r="300" spans="8:31" x14ac:dyDescent="0.2"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AC300" t="e">
        <f ca="1">RANK(AB300,OFFSET($AB$2,0,0,#REF!,1))</f>
        <v>#REF!</v>
      </c>
      <c r="AD300" s="4" t="e">
        <f>InsurerSize(#REF!)</f>
        <v>#VALUE!</v>
      </c>
      <c r="AE300" s="4" t="e">
        <f t="shared" si="16"/>
        <v>#VALUE!</v>
      </c>
    </row>
    <row r="301" spans="8:31" x14ac:dyDescent="0.2"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AC301" t="e">
        <f ca="1">RANK(AB301,OFFSET($AB$2,0,0,#REF!,1))</f>
        <v>#REF!</v>
      </c>
      <c r="AD301" s="4" t="e">
        <f>InsurerSize(#REF!)</f>
        <v>#VALUE!</v>
      </c>
      <c r="AE301" s="4" t="e">
        <f t="shared" si="16"/>
        <v>#VALUE!</v>
      </c>
    </row>
    <row r="302" spans="8:31" x14ac:dyDescent="0.2"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AC302" t="e">
        <f ca="1">RANK(AB302,OFFSET($AB$2,0,0,#REF!,1))</f>
        <v>#REF!</v>
      </c>
      <c r="AD302" s="4" t="e">
        <f>InsurerSize(#REF!)</f>
        <v>#VALUE!</v>
      </c>
      <c r="AE302" s="4" t="e">
        <f t="shared" si="16"/>
        <v>#VALUE!</v>
      </c>
    </row>
    <row r="303" spans="8:31" x14ac:dyDescent="0.2"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AC303" t="e">
        <f ca="1">RANK(AB303,OFFSET($AB$2,0,0,#REF!,1))</f>
        <v>#REF!</v>
      </c>
      <c r="AD303" s="4" t="e">
        <f>InsurerSize(#REF!)</f>
        <v>#VALUE!</v>
      </c>
      <c r="AE303" s="4" t="e">
        <f t="shared" si="16"/>
        <v>#VALUE!</v>
      </c>
    </row>
    <row r="304" spans="8:31" x14ac:dyDescent="0.2"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AC304" t="e">
        <f ca="1">RANK(AB304,OFFSET($AB$2,0,0,#REF!,1))</f>
        <v>#REF!</v>
      </c>
      <c r="AD304" s="4" t="e">
        <f>InsurerSize(#REF!)</f>
        <v>#VALUE!</v>
      </c>
      <c r="AE304" s="4" t="e">
        <f t="shared" si="16"/>
        <v>#VALUE!</v>
      </c>
    </row>
    <row r="305" spans="8:31" x14ac:dyDescent="0.2"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AC305" t="e">
        <f ca="1">RANK(AB305,OFFSET($AB$2,0,0,#REF!,1))</f>
        <v>#REF!</v>
      </c>
      <c r="AD305" s="4" t="e">
        <f>InsurerSize(#REF!)</f>
        <v>#VALUE!</v>
      </c>
      <c r="AE305" s="4" t="e">
        <f t="shared" si="16"/>
        <v>#VALUE!</v>
      </c>
    </row>
    <row r="306" spans="8:31" x14ac:dyDescent="0.2"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AC306" t="e">
        <f ca="1">RANK(AB306,OFFSET($AB$2,0,0,#REF!,1))</f>
        <v>#REF!</v>
      </c>
      <c r="AD306" s="4" t="e">
        <f>InsurerSize(#REF!)</f>
        <v>#VALUE!</v>
      </c>
      <c r="AE306" s="4" t="e">
        <f t="shared" si="16"/>
        <v>#VALUE!</v>
      </c>
    </row>
    <row r="307" spans="8:31" x14ac:dyDescent="0.2"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AC307" t="e">
        <f ca="1">RANK(AB307,OFFSET($AB$2,0,0,#REF!,1))</f>
        <v>#REF!</v>
      </c>
      <c r="AD307" s="4" t="e">
        <f>InsurerSize(#REF!)</f>
        <v>#VALUE!</v>
      </c>
      <c r="AE307" s="4" t="e">
        <f t="shared" si="16"/>
        <v>#VALUE!</v>
      </c>
    </row>
    <row r="308" spans="8:31" x14ac:dyDescent="0.2"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AC308" t="e">
        <f ca="1">RANK(AB308,OFFSET($AB$2,0,0,#REF!,1))</f>
        <v>#REF!</v>
      </c>
      <c r="AD308" s="4" t="e">
        <f>InsurerSize(#REF!)</f>
        <v>#VALUE!</v>
      </c>
      <c r="AE308" s="4" t="e">
        <f t="shared" si="16"/>
        <v>#VALUE!</v>
      </c>
    </row>
    <row r="309" spans="8:31" x14ac:dyDescent="0.2"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AC309" t="e">
        <f ca="1">RANK(AB309,OFFSET($AB$2,0,0,#REF!,1))</f>
        <v>#REF!</v>
      </c>
      <c r="AD309" s="4" t="e">
        <f>InsurerSize(#REF!)</f>
        <v>#VALUE!</v>
      </c>
      <c r="AE309" s="4" t="e">
        <f t="shared" si="16"/>
        <v>#VALUE!</v>
      </c>
    </row>
    <row r="310" spans="8:31" x14ac:dyDescent="0.2"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AC310" t="e">
        <f ca="1">RANK(AB310,OFFSET($AB$2,0,0,#REF!,1))</f>
        <v>#REF!</v>
      </c>
      <c r="AD310" s="4" t="e">
        <f>InsurerSize(#REF!)</f>
        <v>#VALUE!</v>
      </c>
      <c r="AE310" s="4" t="e">
        <f t="shared" si="16"/>
        <v>#VALUE!</v>
      </c>
    </row>
    <row r="311" spans="8:31" x14ac:dyDescent="0.2"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AC311" t="e">
        <f ca="1">RANK(AB311,OFFSET($AB$2,0,0,#REF!,1))</f>
        <v>#REF!</v>
      </c>
      <c r="AD311" s="4" t="e">
        <f>InsurerSize(#REF!)</f>
        <v>#VALUE!</v>
      </c>
      <c r="AE311" s="4" t="e">
        <f t="shared" si="16"/>
        <v>#VALUE!</v>
      </c>
    </row>
    <row r="312" spans="8:31" x14ac:dyDescent="0.2"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AC312" t="e">
        <f ca="1">RANK(AB312,OFFSET($AB$2,0,0,#REF!,1))</f>
        <v>#REF!</v>
      </c>
      <c r="AD312" s="4" t="e">
        <f>InsurerSize(#REF!)</f>
        <v>#VALUE!</v>
      </c>
      <c r="AE312" s="4" t="e">
        <f t="shared" si="16"/>
        <v>#VALUE!</v>
      </c>
    </row>
    <row r="313" spans="8:31" x14ac:dyDescent="0.2"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AC313" t="e">
        <f ca="1">RANK(AB313,OFFSET($AB$2,0,0,#REF!,1))</f>
        <v>#REF!</v>
      </c>
      <c r="AD313" s="4" t="e">
        <f>InsurerSize(#REF!)</f>
        <v>#VALUE!</v>
      </c>
      <c r="AE313" s="4" t="e">
        <f t="shared" si="16"/>
        <v>#VALUE!</v>
      </c>
    </row>
    <row r="314" spans="8:31" x14ac:dyDescent="0.2"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AC314" t="e">
        <f ca="1">RANK(AB314,OFFSET($AB$2,0,0,#REF!,1))</f>
        <v>#REF!</v>
      </c>
      <c r="AD314" s="4" t="e">
        <f>InsurerSize(#REF!)</f>
        <v>#VALUE!</v>
      </c>
      <c r="AE314" s="4" t="e">
        <f t="shared" si="16"/>
        <v>#VALUE!</v>
      </c>
    </row>
    <row r="315" spans="8:31" x14ac:dyDescent="0.2"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AC315" t="e">
        <f ca="1">RANK(AB315,OFFSET($AB$2,0,0,#REF!,1))</f>
        <v>#REF!</v>
      </c>
      <c r="AD315" s="4" t="e">
        <f>InsurerSize(#REF!)</f>
        <v>#VALUE!</v>
      </c>
      <c r="AE315" s="4" t="e">
        <f t="shared" si="16"/>
        <v>#VALUE!</v>
      </c>
    </row>
    <row r="316" spans="8:31" x14ac:dyDescent="0.2"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AC316" t="e">
        <f ca="1">RANK(AB316,OFFSET($AB$2,0,0,#REF!,1))</f>
        <v>#REF!</v>
      </c>
      <c r="AD316" s="4" t="e">
        <f>InsurerSize(#REF!)</f>
        <v>#VALUE!</v>
      </c>
      <c r="AE316" s="4" t="e">
        <f t="shared" si="16"/>
        <v>#VALUE!</v>
      </c>
    </row>
    <row r="317" spans="8:31" x14ac:dyDescent="0.2"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AC317" t="e">
        <f ca="1">RANK(AB317,OFFSET($AB$2,0,0,#REF!,1))</f>
        <v>#REF!</v>
      </c>
      <c r="AD317" s="4" t="e">
        <f>InsurerSize(#REF!)</f>
        <v>#VALUE!</v>
      </c>
      <c r="AE317" s="4" t="e">
        <f t="shared" si="16"/>
        <v>#VALUE!</v>
      </c>
    </row>
    <row r="318" spans="8:31" x14ac:dyDescent="0.2"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AC318" t="e">
        <f ca="1">RANK(AB318,OFFSET($AB$2,0,0,#REF!,1))</f>
        <v>#REF!</v>
      </c>
      <c r="AD318" s="4" t="e">
        <f>InsurerSize(#REF!)</f>
        <v>#VALUE!</v>
      </c>
      <c r="AE318" s="4" t="e">
        <f t="shared" si="16"/>
        <v>#VALUE!</v>
      </c>
    </row>
    <row r="319" spans="8:31" x14ac:dyDescent="0.2"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AC319" t="e">
        <f ca="1">RANK(AB319,OFFSET($AB$2,0,0,#REF!,1))</f>
        <v>#REF!</v>
      </c>
      <c r="AD319" s="4" t="e">
        <f>InsurerSize(#REF!)</f>
        <v>#VALUE!</v>
      </c>
      <c r="AE319" s="4" t="e">
        <f t="shared" si="16"/>
        <v>#VALUE!</v>
      </c>
    </row>
    <row r="320" spans="8:31" x14ac:dyDescent="0.2"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AC320" t="e">
        <f ca="1">RANK(AB320,OFFSET($AB$2,0,0,#REF!,1))</f>
        <v>#REF!</v>
      </c>
      <c r="AD320" s="4" t="e">
        <f>InsurerSize(#REF!)</f>
        <v>#VALUE!</v>
      </c>
      <c r="AE320" s="4" t="e">
        <f t="shared" si="16"/>
        <v>#VALUE!</v>
      </c>
    </row>
    <row r="321" spans="8:31" x14ac:dyDescent="0.2"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AC321" t="e">
        <f ca="1">RANK(AB321,OFFSET($AB$2,0,0,#REF!,1))</f>
        <v>#REF!</v>
      </c>
      <c r="AD321" s="4" t="e">
        <f>InsurerSize(#REF!)</f>
        <v>#VALUE!</v>
      </c>
      <c r="AE321" s="4" t="e">
        <f t="shared" si="16"/>
        <v>#VALUE!</v>
      </c>
    </row>
    <row r="322" spans="8:31" x14ac:dyDescent="0.2"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AC322" t="e">
        <f ca="1">RANK(AB322,OFFSET($AB$2,0,0,#REF!,1))</f>
        <v>#REF!</v>
      </c>
      <c r="AD322" s="4" t="e">
        <f>InsurerSize(#REF!)</f>
        <v>#VALUE!</v>
      </c>
      <c r="AE322" s="4" t="e">
        <f t="shared" ref="AE322:AE385" si="17">A322&amp;AD322</f>
        <v>#VALUE!</v>
      </c>
    </row>
    <row r="323" spans="8:31" x14ac:dyDescent="0.2"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AC323" t="e">
        <f ca="1">RANK(AB323,OFFSET($AB$2,0,0,#REF!,1))</f>
        <v>#REF!</v>
      </c>
      <c r="AD323" s="4" t="e">
        <f>InsurerSize(#REF!)</f>
        <v>#VALUE!</v>
      </c>
      <c r="AE323" s="4" t="e">
        <f t="shared" si="17"/>
        <v>#VALUE!</v>
      </c>
    </row>
    <row r="324" spans="8:31" x14ac:dyDescent="0.2"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AC324" t="e">
        <f ca="1">RANK(AB324,OFFSET($AB$2,0,0,#REF!,1))</f>
        <v>#REF!</v>
      </c>
      <c r="AD324" s="4" t="e">
        <f>InsurerSize(#REF!)</f>
        <v>#VALUE!</v>
      </c>
      <c r="AE324" s="4" t="e">
        <f t="shared" si="17"/>
        <v>#VALUE!</v>
      </c>
    </row>
    <row r="325" spans="8:31" x14ac:dyDescent="0.2"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AC325" t="e">
        <f ca="1">RANK(AB325,OFFSET($AB$2,0,0,#REF!,1))</f>
        <v>#REF!</v>
      </c>
      <c r="AD325" s="4" t="e">
        <f>InsurerSize(#REF!)</f>
        <v>#VALUE!</v>
      </c>
      <c r="AE325" s="4" t="e">
        <f t="shared" si="17"/>
        <v>#VALUE!</v>
      </c>
    </row>
    <row r="326" spans="8:31" x14ac:dyDescent="0.2"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AC326" t="e">
        <f ca="1">RANK(AB326,OFFSET($AB$2,0,0,#REF!,1))</f>
        <v>#REF!</v>
      </c>
      <c r="AD326" s="4" t="e">
        <f>InsurerSize(#REF!)</f>
        <v>#VALUE!</v>
      </c>
      <c r="AE326" s="4" t="e">
        <f t="shared" si="17"/>
        <v>#VALUE!</v>
      </c>
    </row>
    <row r="327" spans="8:31" x14ac:dyDescent="0.2"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AC327" t="e">
        <f ca="1">RANK(AB327,OFFSET($AB$2,0,0,#REF!,1))</f>
        <v>#REF!</v>
      </c>
      <c r="AD327" s="4" t="e">
        <f>InsurerSize(#REF!)</f>
        <v>#VALUE!</v>
      </c>
      <c r="AE327" s="4" t="e">
        <f t="shared" si="17"/>
        <v>#VALUE!</v>
      </c>
    </row>
    <row r="328" spans="8:31" x14ac:dyDescent="0.2"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AC328" t="e">
        <f ca="1">RANK(AB328,OFFSET($AB$2,0,0,#REF!,1))</f>
        <v>#REF!</v>
      </c>
      <c r="AD328" s="4" t="e">
        <f>InsurerSize(#REF!)</f>
        <v>#VALUE!</v>
      </c>
      <c r="AE328" s="4" t="e">
        <f t="shared" si="17"/>
        <v>#VALUE!</v>
      </c>
    </row>
    <row r="329" spans="8:31" x14ac:dyDescent="0.2"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AC329" t="e">
        <f ca="1">RANK(AB329,OFFSET($AB$2,0,0,#REF!,1))</f>
        <v>#REF!</v>
      </c>
      <c r="AD329" s="4" t="e">
        <f>InsurerSize(#REF!)</f>
        <v>#VALUE!</v>
      </c>
      <c r="AE329" s="4" t="e">
        <f t="shared" si="17"/>
        <v>#VALUE!</v>
      </c>
    </row>
    <row r="330" spans="8:31" x14ac:dyDescent="0.2"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AC330" t="e">
        <f ca="1">RANK(AB330,OFFSET($AB$2,0,0,#REF!,1))</f>
        <v>#REF!</v>
      </c>
      <c r="AD330" s="4" t="e">
        <f>InsurerSize(#REF!)</f>
        <v>#VALUE!</v>
      </c>
      <c r="AE330" s="4" t="e">
        <f t="shared" si="17"/>
        <v>#VALUE!</v>
      </c>
    </row>
    <row r="331" spans="8:31" x14ac:dyDescent="0.2"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AC331" t="e">
        <f ca="1">RANK(AB331,OFFSET($AB$2,0,0,#REF!,1))</f>
        <v>#REF!</v>
      </c>
      <c r="AD331" s="4" t="e">
        <f>InsurerSize(#REF!)</f>
        <v>#VALUE!</v>
      </c>
      <c r="AE331" s="4" t="e">
        <f t="shared" si="17"/>
        <v>#VALUE!</v>
      </c>
    </row>
    <row r="332" spans="8:31" x14ac:dyDescent="0.2"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AC332" t="e">
        <f ca="1">RANK(AB332,OFFSET($AB$2,0,0,#REF!,1))</f>
        <v>#REF!</v>
      </c>
      <c r="AD332" s="4" t="e">
        <f>InsurerSize(#REF!)</f>
        <v>#VALUE!</v>
      </c>
      <c r="AE332" s="4" t="e">
        <f t="shared" si="17"/>
        <v>#VALUE!</v>
      </c>
    </row>
    <row r="333" spans="8:31" x14ac:dyDescent="0.2"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AC333" t="e">
        <f ca="1">RANK(AB333,OFFSET($AB$2,0,0,#REF!,1))</f>
        <v>#REF!</v>
      </c>
      <c r="AD333" s="4" t="e">
        <f>InsurerSize(#REF!)</f>
        <v>#VALUE!</v>
      </c>
      <c r="AE333" s="4" t="e">
        <f t="shared" si="17"/>
        <v>#VALUE!</v>
      </c>
    </row>
    <row r="334" spans="8:31" x14ac:dyDescent="0.2"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AC334" t="e">
        <f ca="1">RANK(AB334,OFFSET($AB$2,0,0,#REF!,1))</f>
        <v>#REF!</v>
      </c>
      <c r="AD334" s="4" t="e">
        <f>InsurerSize(#REF!)</f>
        <v>#VALUE!</v>
      </c>
      <c r="AE334" s="4" t="e">
        <f t="shared" si="17"/>
        <v>#VALUE!</v>
      </c>
    </row>
    <row r="335" spans="8:31" x14ac:dyDescent="0.2"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AC335" t="e">
        <f ca="1">RANK(AB335,OFFSET($AB$2,0,0,#REF!,1))</f>
        <v>#REF!</v>
      </c>
      <c r="AD335" s="4" t="e">
        <f>InsurerSize(#REF!)</f>
        <v>#VALUE!</v>
      </c>
      <c r="AE335" s="4" t="e">
        <f t="shared" si="17"/>
        <v>#VALUE!</v>
      </c>
    </row>
    <row r="336" spans="8:31" x14ac:dyDescent="0.2"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AC336" t="e">
        <f ca="1">RANK(AB336,OFFSET($AB$2,0,0,#REF!,1))</f>
        <v>#REF!</v>
      </c>
      <c r="AD336" s="4" t="e">
        <f>InsurerSize(#REF!)</f>
        <v>#VALUE!</v>
      </c>
      <c r="AE336" s="4" t="e">
        <f t="shared" si="17"/>
        <v>#VALUE!</v>
      </c>
    </row>
    <row r="337" spans="8:31" x14ac:dyDescent="0.2"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AC337" t="e">
        <f ca="1">RANK(AB337,OFFSET($AB$2,0,0,#REF!,1))</f>
        <v>#REF!</v>
      </c>
      <c r="AD337" s="4" t="e">
        <f>InsurerSize(#REF!)</f>
        <v>#VALUE!</v>
      </c>
      <c r="AE337" s="4" t="e">
        <f t="shared" si="17"/>
        <v>#VALUE!</v>
      </c>
    </row>
    <row r="338" spans="8:31" x14ac:dyDescent="0.2"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AC338" t="e">
        <f ca="1">RANK(AB338,OFFSET($AB$2,0,0,#REF!,1))</f>
        <v>#REF!</v>
      </c>
      <c r="AD338" s="4" t="e">
        <f>InsurerSize(#REF!)</f>
        <v>#VALUE!</v>
      </c>
      <c r="AE338" s="4" t="e">
        <f t="shared" si="17"/>
        <v>#VALUE!</v>
      </c>
    </row>
    <row r="339" spans="8:31" x14ac:dyDescent="0.2"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AC339" t="e">
        <f ca="1">RANK(AB339,OFFSET($AB$2,0,0,#REF!,1))</f>
        <v>#REF!</v>
      </c>
      <c r="AD339" s="4" t="e">
        <f>InsurerSize(#REF!)</f>
        <v>#VALUE!</v>
      </c>
      <c r="AE339" s="4" t="e">
        <f t="shared" si="17"/>
        <v>#VALUE!</v>
      </c>
    </row>
    <row r="340" spans="8:31" x14ac:dyDescent="0.2"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AC340" t="e">
        <f ca="1">RANK(AB340,OFFSET($AB$2,0,0,#REF!,1))</f>
        <v>#REF!</v>
      </c>
      <c r="AD340" s="4" t="e">
        <f>InsurerSize(#REF!)</f>
        <v>#VALUE!</v>
      </c>
      <c r="AE340" s="4" t="e">
        <f t="shared" si="17"/>
        <v>#VALUE!</v>
      </c>
    </row>
    <row r="341" spans="8:31" x14ac:dyDescent="0.2"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AC341" t="e">
        <f ca="1">RANK(AB341,OFFSET($AB$2,0,0,#REF!,1))</f>
        <v>#REF!</v>
      </c>
      <c r="AD341" s="4" t="e">
        <f>InsurerSize(#REF!)</f>
        <v>#VALUE!</v>
      </c>
      <c r="AE341" s="4" t="e">
        <f t="shared" si="17"/>
        <v>#VALUE!</v>
      </c>
    </row>
    <row r="342" spans="8:31" x14ac:dyDescent="0.2"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AC342" t="e">
        <f ca="1">RANK(AB342,OFFSET($AB$2,0,0,#REF!,1))</f>
        <v>#REF!</v>
      </c>
      <c r="AD342" s="4" t="e">
        <f>InsurerSize(#REF!)</f>
        <v>#VALUE!</v>
      </c>
      <c r="AE342" s="4" t="e">
        <f t="shared" si="17"/>
        <v>#VALUE!</v>
      </c>
    </row>
    <row r="343" spans="8:31" x14ac:dyDescent="0.2"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AC343" t="e">
        <f ca="1">RANK(AB343,OFFSET($AB$2,0,0,#REF!,1))</f>
        <v>#REF!</v>
      </c>
      <c r="AD343" s="4" t="e">
        <f>InsurerSize(#REF!)</f>
        <v>#VALUE!</v>
      </c>
      <c r="AE343" s="4" t="e">
        <f t="shared" si="17"/>
        <v>#VALUE!</v>
      </c>
    </row>
    <row r="344" spans="8:31" x14ac:dyDescent="0.2"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AC344" t="e">
        <f ca="1">RANK(AB344,OFFSET($AB$2,0,0,#REF!,1))</f>
        <v>#REF!</v>
      </c>
      <c r="AD344" s="4" t="e">
        <f>InsurerSize(#REF!)</f>
        <v>#VALUE!</v>
      </c>
      <c r="AE344" s="4" t="e">
        <f t="shared" si="17"/>
        <v>#VALUE!</v>
      </c>
    </row>
    <row r="345" spans="8:31" x14ac:dyDescent="0.2"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AC345" t="e">
        <f ca="1">RANK(AB345,OFFSET($AB$2,0,0,#REF!,1))</f>
        <v>#REF!</v>
      </c>
      <c r="AD345" s="4" t="e">
        <f>InsurerSize(#REF!)</f>
        <v>#VALUE!</v>
      </c>
      <c r="AE345" s="4" t="e">
        <f t="shared" si="17"/>
        <v>#VALUE!</v>
      </c>
    </row>
    <row r="346" spans="8:31" x14ac:dyDescent="0.2"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AC346" t="e">
        <f ca="1">RANK(AB346,OFFSET($AB$2,0,0,#REF!,1))</f>
        <v>#REF!</v>
      </c>
      <c r="AD346" s="4" t="e">
        <f>InsurerSize(#REF!)</f>
        <v>#VALUE!</v>
      </c>
      <c r="AE346" s="4" t="e">
        <f t="shared" si="17"/>
        <v>#VALUE!</v>
      </c>
    </row>
    <row r="347" spans="8:31" x14ac:dyDescent="0.2"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AC347" t="e">
        <f ca="1">RANK(AB347,OFFSET($AB$2,0,0,#REF!,1))</f>
        <v>#REF!</v>
      </c>
      <c r="AD347" s="4" t="e">
        <f>InsurerSize(#REF!)</f>
        <v>#VALUE!</v>
      </c>
      <c r="AE347" s="4" t="e">
        <f t="shared" si="17"/>
        <v>#VALUE!</v>
      </c>
    </row>
    <row r="348" spans="8:31" x14ac:dyDescent="0.2"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AC348" t="e">
        <f ca="1">RANK(AB348,OFFSET($AB$2,0,0,#REF!,1))</f>
        <v>#REF!</v>
      </c>
      <c r="AD348" s="4" t="e">
        <f>InsurerSize(#REF!)</f>
        <v>#VALUE!</v>
      </c>
      <c r="AE348" s="4" t="e">
        <f t="shared" si="17"/>
        <v>#VALUE!</v>
      </c>
    </row>
    <row r="349" spans="8:31" x14ac:dyDescent="0.2"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AC349" t="e">
        <f ca="1">RANK(AB349,OFFSET($AB$2,0,0,#REF!,1))</f>
        <v>#REF!</v>
      </c>
      <c r="AD349" s="4" t="e">
        <f>InsurerSize(#REF!)</f>
        <v>#VALUE!</v>
      </c>
      <c r="AE349" s="4" t="e">
        <f t="shared" si="17"/>
        <v>#VALUE!</v>
      </c>
    </row>
    <row r="350" spans="8:31" x14ac:dyDescent="0.2"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AC350" t="e">
        <f ca="1">RANK(AB350,OFFSET($AB$2,0,0,#REF!,1))</f>
        <v>#REF!</v>
      </c>
      <c r="AD350" s="4" t="e">
        <f>InsurerSize(#REF!)</f>
        <v>#VALUE!</v>
      </c>
      <c r="AE350" s="4" t="e">
        <f t="shared" si="17"/>
        <v>#VALUE!</v>
      </c>
    </row>
    <row r="351" spans="8:31" x14ac:dyDescent="0.2"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AC351" t="e">
        <f ca="1">RANK(AB351,OFFSET($AB$2,0,0,#REF!,1))</f>
        <v>#REF!</v>
      </c>
      <c r="AD351" s="4" t="e">
        <f>InsurerSize(#REF!)</f>
        <v>#VALUE!</v>
      </c>
      <c r="AE351" s="4" t="e">
        <f t="shared" si="17"/>
        <v>#VALUE!</v>
      </c>
    </row>
    <row r="352" spans="8:31" x14ac:dyDescent="0.2"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AC352" t="e">
        <f ca="1">RANK(AB352,OFFSET($AB$2,0,0,#REF!,1))</f>
        <v>#REF!</v>
      </c>
      <c r="AD352" s="4" t="e">
        <f>InsurerSize(#REF!)</f>
        <v>#VALUE!</v>
      </c>
      <c r="AE352" s="4" t="e">
        <f t="shared" si="17"/>
        <v>#VALUE!</v>
      </c>
    </row>
    <row r="353" spans="8:31" x14ac:dyDescent="0.2"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AC353" t="e">
        <f ca="1">RANK(AB353,OFFSET($AB$2,0,0,#REF!,1))</f>
        <v>#REF!</v>
      </c>
      <c r="AD353" s="4" t="e">
        <f>InsurerSize(#REF!)</f>
        <v>#VALUE!</v>
      </c>
      <c r="AE353" s="4" t="e">
        <f t="shared" si="17"/>
        <v>#VALUE!</v>
      </c>
    </row>
    <row r="354" spans="8:31" x14ac:dyDescent="0.2"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AC354" t="e">
        <f ca="1">RANK(AB354,OFFSET($AB$2,0,0,#REF!,1))</f>
        <v>#REF!</v>
      </c>
      <c r="AD354" s="4" t="e">
        <f>InsurerSize(#REF!)</f>
        <v>#VALUE!</v>
      </c>
      <c r="AE354" s="4" t="e">
        <f t="shared" si="17"/>
        <v>#VALUE!</v>
      </c>
    </row>
    <row r="355" spans="8:31" x14ac:dyDescent="0.2"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AC355" t="e">
        <f ca="1">RANK(AB355,OFFSET($AB$2,0,0,#REF!,1))</f>
        <v>#REF!</v>
      </c>
      <c r="AD355" s="4" t="e">
        <f>InsurerSize(#REF!)</f>
        <v>#VALUE!</v>
      </c>
      <c r="AE355" s="4" t="e">
        <f t="shared" si="17"/>
        <v>#VALUE!</v>
      </c>
    </row>
    <row r="356" spans="8:31" x14ac:dyDescent="0.2"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AC356" t="e">
        <f ca="1">RANK(AB356,OFFSET($AB$2,0,0,#REF!,1))</f>
        <v>#REF!</v>
      </c>
      <c r="AD356" s="4" t="e">
        <f>InsurerSize(#REF!)</f>
        <v>#VALUE!</v>
      </c>
      <c r="AE356" s="4" t="e">
        <f t="shared" si="17"/>
        <v>#VALUE!</v>
      </c>
    </row>
    <row r="357" spans="8:31" x14ac:dyDescent="0.2"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AC357" t="e">
        <f ca="1">RANK(AB357,OFFSET($AB$2,0,0,#REF!,1))</f>
        <v>#REF!</v>
      </c>
      <c r="AD357" s="4" t="e">
        <f>InsurerSize(#REF!)</f>
        <v>#VALUE!</v>
      </c>
      <c r="AE357" s="4" t="e">
        <f t="shared" si="17"/>
        <v>#VALUE!</v>
      </c>
    </row>
    <row r="358" spans="8:31" x14ac:dyDescent="0.2"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AC358" t="e">
        <f ca="1">RANK(AB358,OFFSET($AB$2,0,0,#REF!,1))</f>
        <v>#REF!</v>
      </c>
      <c r="AD358" s="4" t="e">
        <f>InsurerSize(#REF!)</f>
        <v>#VALUE!</v>
      </c>
      <c r="AE358" s="4" t="e">
        <f t="shared" si="17"/>
        <v>#VALUE!</v>
      </c>
    </row>
    <row r="359" spans="8:31" x14ac:dyDescent="0.2"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AC359" t="e">
        <f ca="1">RANK(AB359,OFFSET($AB$2,0,0,#REF!,1))</f>
        <v>#REF!</v>
      </c>
      <c r="AD359" s="4" t="e">
        <f>InsurerSize(#REF!)</f>
        <v>#VALUE!</v>
      </c>
      <c r="AE359" s="4" t="e">
        <f t="shared" si="17"/>
        <v>#VALUE!</v>
      </c>
    </row>
    <row r="360" spans="8:31" x14ac:dyDescent="0.2"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AC360" t="e">
        <f ca="1">RANK(AB360,OFFSET($AB$2,0,0,#REF!,1))</f>
        <v>#REF!</v>
      </c>
      <c r="AD360" s="4" t="e">
        <f>InsurerSize(#REF!)</f>
        <v>#VALUE!</v>
      </c>
      <c r="AE360" s="4" t="e">
        <f t="shared" si="17"/>
        <v>#VALUE!</v>
      </c>
    </row>
    <row r="361" spans="8:31" x14ac:dyDescent="0.2"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AC361" t="e">
        <f ca="1">RANK(AB361,OFFSET($AB$2,0,0,#REF!,1))</f>
        <v>#REF!</v>
      </c>
      <c r="AD361" s="4" t="e">
        <f>InsurerSize(#REF!)</f>
        <v>#VALUE!</v>
      </c>
      <c r="AE361" s="4" t="e">
        <f t="shared" si="17"/>
        <v>#VALUE!</v>
      </c>
    </row>
    <row r="362" spans="8:31" x14ac:dyDescent="0.2"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AC362" t="e">
        <f ca="1">RANK(AB362,OFFSET($AB$2,0,0,#REF!,1))</f>
        <v>#REF!</v>
      </c>
      <c r="AD362" s="4" t="e">
        <f>InsurerSize(#REF!)</f>
        <v>#VALUE!</v>
      </c>
      <c r="AE362" s="4" t="e">
        <f t="shared" si="17"/>
        <v>#VALUE!</v>
      </c>
    </row>
    <row r="363" spans="8:31" x14ac:dyDescent="0.2"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AC363" t="e">
        <f ca="1">RANK(AB363,OFFSET($AB$2,0,0,#REF!,1))</f>
        <v>#REF!</v>
      </c>
      <c r="AD363" s="4" t="e">
        <f>InsurerSize(#REF!)</f>
        <v>#VALUE!</v>
      </c>
      <c r="AE363" s="4" t="e">
        <f t="shared" si="17"/>
        <v>#VALUE!</v>
      </c>
    </row>
    <row r="364" spans="8:31" x14ac:dyDescent="0.2"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AC364" t="e">
        <f ca="1">RANK(AB364,OFFSET($AB$2,0,0,#REF!,1))</f>
        <v>#REF!</v>
      </c>
      <c r="AD364" s="4" t="e">
        <f>InsurerSize(#REF!)</f>
        <v>#VALUE!</v>
      </c>
      <c r="AE364" s="4" t="e">
        <f t="shared" si="17"/>
        <v>#VALUE!</v>
      </c>
    </row>
    <row r="365" spans="8:31" x14ac:dyDescent="0.2"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AC365" t="e">
        <f ca="1">RANK(AB365,OFFSET($AB$2,0,0,#REF!,1))</f>
        <v>#REF!</v>
      </c>
      <c r="AD365" s="4" t="e">
        <f>InsurerSize(#REF!)</f>
        <v>#VALUE!</v>
      </c>
      <c r="AE365" s="4" t="e">
        <f t="shared" si="17"/>
        <v>#VALUE!</v>
      </c>
    </row>
    <row r="366" spans="8:31" x14ac:dyDescent="0.2"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AC366" t="e">
        <f ca="1">RANK(AB366,OFFSET($AB$2,0,0,#REF!,1))</f>
        <v>#REF!</v>
      </c>
      <c r="AD366" s="4" t="e">
        <f>InsurerSize(#REF!)</f>
        <v>#VALUE!</v>
      </c>
      <c r="AE366" s="4" t="e">
        <f t="shared" si="17"/>
        <v>#VALUE!</v>
      </c>
    </row>
    <row r="367" spans="8:31" x14ac:dyDescent="0.2"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AC367" t="e">
        <f ca="1">RANK(AB367,OFFSET($AB$2,0,0,#REF!,1))</f>
        <v>#REF!</v>
      </c>
      <c r="AD367" s="4" t="e">
        <f>InsurerSize(#REF!)</f>
        <v>#VALUE!</v>
      </c>
      <c r="AE367" s="4" t="e">
        <f t="shared" si="17"/>
        <v>#VALUE!</v>
      </c>
    </row>
    <row r="368" spans="8:31" x14ac:dyDescent="0.2"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AC368" t="e">
        <f ca="1">RANK(AB368,OFFSET($AB$2,0,0,#REF!,1))</f>
        <v>#REF!</v>
      </c>
      <c r="AD368" s="4" t="e">
        <f>InsurerSize(#REF!)</f>
        <v>#VALUE!</v>
      </c>
      <c r="AE368" s="4" t="e">
        <f t="shared" si="17"/>
        <v>#VALUE!</v>
      </c>
    </row>
    <row r="369" spans="8:31" x14ac:dyDescent="0.2"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AC369" t="e">
        <f ca="1">RANK(AB369,OFFSET($AB$2,0,0,#REF!,1))</f>
        <v>#REF!</v>
      </c>
      <c r="AD369" s="4" t="e">
        <f>InsurerSize(#REF!)</f>
        <v>#VALUE!</v>
      </c>
      <c r="AE369" s="4" t="e">
        <f t="shared" si="17"/>
        <v>#VALUE!</v>
      </c>
    </row>
    <row r="370" spans="8:31" x14ac:dyDescent="0.2"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AC370" t="e">
        <f ca="1">RANK(AB370,OFFSET($AB$2,0,0,#REF!,1))</f>
        <v>#REF!</v>
      </c>
      <c r="AD370" s="4" t="e">
        <f>InsurerSize(#REF!)</f>
        <v>#VALUE!</v>
      </c>
      <c r="AE370" s="4" t="e">
        <f t="shared" si="17"/>
        <v>#VALUE!</v>
      </c>
    </row>
    <row r="371" spans="8:31" x14ac:dyDescent="0.2"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AC371" t="e">
        <f ca="1">RANK(AB371,OFFSET($AB$2,0,0,#REF!,1))</f>
        <v>#REF!</v>
      </c>
      <c r="AD371" s="4" t="e">
        <f>InsurerSize(#REF!)</f>
        <v>#VALUE!</v>
      </c>
      <c r="AE371" s="4" t="e">
        <f t="shared" si="17"/>
        <v>#VALUE!</v>
      </c>
    </row>
    <row r="372" spans="8:31" x14ac:dyDescent="0.2"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AC372" t="e">
        <f ca="1">RANK(AB372,OFFSET($AB$2,0,0,#REF!,1))</f>
        <v>#REF!</v>
      </c>
      <c r="AD372" s="4" t="e">
        <f>InsurerSize(#REF!)</f>
        <v>#VALUE!</v>
      </c>
      <c r="AE372" s="4" t="e">
        <f t="shared" si="17"/>
        <v>#VALUE!</v>
      </c>
    </row>
    <row r="373" spans="8:31" x14ac:dyDescent="0.2"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AC373" t="e">
        <f ca="1">RANK(AB373,OFFSET($AB$2,0,0,#REF!,1))</f>
        <v>#REF!</v>
      </c>
      <c r="AD373" s="4" t="e">
        <f>InsurerSize(#REF!)</f>
        <v>#VALUE!</v>
      </c>
      <c r="AE373" s="4" t="e">
        <f t="shared" si="17"/>
        <v>#VALUE!</v>
      </c>
    </row>
    <row r="374" spans="8:31" x14ac:dyDescent="0.2"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AC374" t="e">
        <f ca="1">RANK(AB374,OFFSET($AB$2,0,0,#REF!,1))</f>
        <v>#REF!</v>
      </c>
      <c r="AD374" s="4" t="e">
        <f>InsurerSize(#REF!)</f>
        <v>#VALUE!</v>
      </c>
      <c r="AE374" s="4" t="e">
        <f t="shared" si="17"/>
        <v>#VALUE!</v>
      </c>
    </row>
    <row r="375" spans="8:31" x14ac:dyDescent="0.2"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AC375" t="e">
        <f ca="1">RANK(AB375,OFFSET($AB$2,0,0,#REF!,1))</f>
        <v>#REF!</v>
      </c>
      <c r="AD375" s="4" t="e">
        <f>InsurerSize(#REF!)</f>
        <v>#VALUE!</v>
      </c>
      <c r="AE375" s="4" t="e">
        <f t="shared" si="17"/>
        <v>#VALUE!</v>
      </c>
    </row>
    <row r="376" spans="8:31" x14ac:dyDescent="0.2"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AC376" t="e">
        <f ca="1">RANK(AB376,OFFSET($AB$2,0,0,#REF!,1))</f>
        <v>#REF!</v>
      </c>
      <c r="AD376" s="4" t="e">
        <f>InsurerSize(#REF!)</f>
        <v>#VALUE!</v>
      </c>
      <c r="AE376" s="4" t="e">
        <f t="shared" si="17"/>
        <v>#VALUE!</v>
      </c>
    </row>
    <row r="377" spans="8:31" x14ac:dyDescent="0.2"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AC377" t="e">
        <f ca="1">RANK(AB377,OFFSET($AB$2,0,0,#REF!,1))</f>
        <v>#REF!</v>
      </c>
      <c r="AD377" s="4" t="e">
        <f>InsurerSize(#REF!)</f>
        <v>#VALUE!</v>
      </c>
      <c r="AE377" s="4" t="e">
        <f t="shared" si="17"/>
        <v>#VALUE!</v>
      </c>
    </row>
    <row r="378" spans="8:31" x14ac:dyDescent="0.2"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AC378" t="e">
        <f ca="1">RANK(AB378,OFFSET($AB$2,0,0,#REF!,1))</f>
        <v>#REF!</v>
      </c>
      <c r="AD378" s="4" t="e">
        <f>InsurerSize(#REF!)</f>
        <v>#VALUE!</v>
      </c>
      <c r="AE378" s="4" t="e">
        <f t="shared" si="17"/>
        <v>#VALUE!</v>
      </c>
    </row>
    <row r="379" spans="8:31" x14ac:dyDescent="0.2"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AC379" t="e">
        <f ca="1">RANK(AB379,OFFSET($AB$2,0,0,#REF!,1))</f>
        <v>#REF!</v>
      </c>
      <c r="AD379" s="4" t="e">
        <f>InsurerSize(#REF!)</f>
        <v>#VALUE!</v>
      </c>
      <c r="AE379" s="4" t="e">
        <f t="shared" si="17"/>
        <v>#VALUE!</v>
      </c>
    </row>
    <row r="380" spans="8:31" x14ac:dyDescent="0.2"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AC380" t="e">
        <f ca="1">RANK(AB380,OFFSET($AB$2,0,0,#REF!,1))</f>
        <v>#REF!</v>
      </c>
      <c r="AD380" s="4" t="e">
        <f>InsurerSize(#REF!)</f>
        <v>#VALUE!</v>
      </c>
      <c r="AE380" s="4" t="e">
        <f t="shared" si="17"/>
        <v>#VALUE!</v>
      </c>
    </row>
    <row r="381" spans="8:31" x14ac:dyDescent="0.2"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AC381" t="e">
        <f ca="1">RANK(AB381,OFFSET($AB$2,0,0,#REF!,1))</f>
        <v>#REF!</v>
      </c>
      <c r="AD381" s="4" t="e">
        <f>InsurerSize(#REF!)</f>
        <v>#VALUE!</v>
      </c>
      <c r="AE381" s="4" t="e">
        <f t="shared" si="17"/>
        <v>#VALUE!</v>
      </c>
    </row>
    <row r="382" spans="8:31" x14ac:dyDescent="0.2"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AC382" t="e">
        <f ca="1">RANK(AB382,OFFSET($AB$2,0,0,#REF!,1))</f>
        <v>#REF!</v>
      </c>
      <c r="AD382" s="4" t="e">
        <f>InsurerSize(#REF!)</f>
        <v>#VALUE!</v>
      </c>
      <c r="AE382" s="4" t="e">
        <f t="shared" si="17"/>
        <v>#VALUE!</v>
      </c>
    </row>
    <row r="383" spans="8:31" x14ac:dyDescent="0.2"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AC383" t="e">
        <f ca="1">RANK(AB383,OFFSET($AB$2,0,0,#REF!,1))</f>
        <v>#REF!</v>
      </c>
      <c r="AD383" s="4" t="e">
        <f>InsurerSize(#REF!)</f>
        <v>#VALUE!</v>
      </c>
      <c r="AE383" s="4" t="e">
        <f t="shared" si="17"/>
        <v>#VALUE!</v>
      </c>
    </row>
    <row r="384" spans="8:31" x14ac:dyDescent="0.2"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AC384" t="e">
        <f ca="1">RANK(AB384,OFFSET($AB$2,0,0,#REF!,1))</f>
        <v>#REF!</v>
      </c>
      <c r="AD384" s="4" t="e">
        <f>InsurerSize(#REF!)</f>
        <v>#VALUE!</v>
      </c>
      <c r="AE384" s="4" t="e">
        <f t="shared" si="17"/>
        <v>#VALUE!</v>
      </c>
    </row>
    <row r="385" spans="8:31" x14ac:dyDescent="0.2"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AC385" t="e">
        <f ca="1">RANK(AB385,OFFSET($AB$2,0,0,#REF!,1))</f>
        <v>#REF!</v>
      </c>
      <c r="AD385" s="4" t="e">
        <f>InsurerSize(#REF!)</f>
        <v>#VALUE!</v>
      </c>
      <c r="AE385" s="4" t="e">
        <f t="shared" si="17"/>
        <v>#VALUE!</v>
      </c>
    </row>
    <row r="386" spans="8:31" x14ac:dyDescent="0.2"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AC386" t="e">
        <f ca="1">RANK(AB386,OFFSET($AB$2,0,0,#REF!,1))</f>
        <v>#REF!</v>
      </c>
      <c r="AD386" s="4" t="e">
        <f>InsurerSize(#REF!)</f>
        <v>#VALUE!</v>
      </c>
      <c r="AE386" s="4" t="e">
        <f t="shared" ref="AE386:AE449" si="18">A386&amp;AD386</f>
        <v>#VALUE!</v>
      </c>
    </row>
    <row r="387" spans="8:31" x14ac:dyDescent="0.2"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AC387" t="e">
        <f ca="1">RANK(AB387,OFFSET($AB$2,0,0,#REF!,1))</f>
        <v>#REF!</v>
      </c>
      <c r="AD387" s="4" t="e">
        <f>InsurerSize(#REF!)</f>
        <v>#VALUE!</v>
      </c>
      <c r="AE387" s="4" t="e">
        <f t="shared" si="18"/>
        <v>#VALUE!</v>
      </c>
    </row>
    <row r="388" spans="8:31" x14ac:dyDescent="0.2"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AC388" t="e">
        <f ca="1">RANK(AB388,OFFSET($AB$2,0,0,#REF!,1))</f>
        <v>#REF!</v>
      </c>
      <c r="AD388" s="4" t="e">
        <f>InsurerSize(#REF!)</f>
        <v>#VALUE!</v>
      </c>
      <c r="AE388" s="4" t="e">
        <f t="shared" si="18"/>
        <v>#VALUE!</v>
      </c>
    </row>
    <row r="389" spans="8:31" x14ac:dyDescent="0.2"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AC389" t="e">
        <f ca="1">RANK(AB389,OFFSET($AB$2,0,0,#REF!,1))</f>
        <v>#REF!</v>
      </c>
      <c r="AD389" s="4" t="e">
        <f>InsurerSize(#REF!)</f>
        <v>#VALUE!</v>
      </c>
      <c r="AE389" s="4" t="e">
        <f t="shared" si="18"/>
        <v>#VALUE!</v>
      </c>
    </row>
    <row r="390" spans="8:31" x14ac:dyDescent="0.2"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AC390" t="e">
        <f ca="1">RANK(AB390,OFFSET($AB$2,0,0,#REF!,1))</f>
        <v>#REF!</v>
      </c>
      <c r="AD390" s="4" t="e">
        <f>InsurerSize(#REF!)</f>
        <v>#VALUE!</v>
      </c>
      <c r="AE390" s="4" t="e">
        <f t="shared" si="18"/>
        <v>#VALUE!</v>
      </c>
    </row>
    <row r="391" spans="8:31" x14ac:dyDescent="0.2"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AC391" t="e">
        <f ca="1">RANK(AB391,OFFSET($AB$2,0,0,#REF!,1))</f>
        <v>#REF!</v>
      </c>
      <c r="AD391" s="4" t="e">
        <f>InsurerSize(#REF!)</f>
        <v>#VALUE!</v>
      </c>
      <c r="AE391" s="4" t="e">
        <f t="shared" si="18"/>
        <v>#VALUE!</v>
      </c>
    </row>
    <row r="392" spans="8:31" x14ac:dyDescent="0.2"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AC392" t="e">
        <f ca="1">RANK(AB392,OFFSET($AB$2,0,0,#REF!,1))</f>
        <v>#REF!</v>
      </c>
      <c r="AD392" s="4" t="e">
        <f>InsurerSize(#REF!)</f>
        <v>#VALUE!</v>
      </c>
      <c r="AE392" s="4" t="e">
        <f t="shared" si="18"/>
        <v>#VALUE!</v>
      </c>
    </row>
    <row r="393" spans="8:31" x14ac:dyDescent="0.2"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AC393" t="e">
        <f ca="1">RANK(AB393,OFFSET($AB$2,0,0,#REF!,1))</f>
        <v>#REF!</v>
      </c>
      <c r="AD393" s="4" t="e">
        <f>InsurerSize(#REF!)</f>
        <v>#VALUE!</v>
      </c>
      <c r="AE393" s="4" t="e">
        <f t="shared" si="18"/>
        <v>#VALUE!</v>
      </c>
    </row>
    <row r="394" spans="8:31" x14ac:dyDescent="0.2"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AC394" t="e">
        <f ca="1">RANK(AB394,OFFSET($AB$2,0,0,#REF!,1))</f>
        <v>#REF!</v>
      </c>
      <c r="AD394" s="4" t="e">
        <f>InsurerSize(#REF!)</f>
        <v>#VALUE!</v>
      </c>
      <c r="AE394" s="4" t="e">
        <f t="shared" si="18"/>
        <v>#VALUE!</v>
      </c>
    </row>
    <row r="395" spans="8:31" x14ac:dyDescent="0.2"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AC395" t="e">
        <f ca="1">RANK(AB395,OFFSET($AB$2,0,0,#REF!,1))</f>
        <v>#REF!</v>
      </c>
      <c r="AD395" s="4" t="e">
        <f>InsurerSize(#REF!)</f>
        <v>#VALUE!</v>
      </c>
      <c r="AE395" s="4" t="e">
        <f t="shared" si="18"/>
        <v>#VALUE!</v>
      </c>
    </row>
    <row r="396" spans="8:31" x14ac:dyDescent="0.2"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AC396" t="e">
        <f ca="1">RANK(AB396,OFFSET($AB$2,0,0,#REF!,1))</f>
        <v>#REF!</v>
      </c>
      <c r="AD396" s="4" t="e">
        <f>InsurerSize(#REF!)</f>
        <v>#VALUE!</v>
      </c>
      <c r="AE396" s="4" t="e">
        <f t="shared" si="18"/>
        <v>#VALUE!</v>
      </c>
    </row>
    <row r="397" spans="8:31" x14ac:dyDescent="0.2"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AC397" t="e">
        <f ca="1">RANK(AB397,OFFSET($AB$2,0,0,#REF!,1))</f>
        <v>#REF!</v>
      </c>
      <c r="AD397" s="4" t="e">
        <f>InsurerSize(#REF!)</f>
        <v>#VALUE!</v>
      </c>
      <c r="AE397" s="4" t="e">
        <f t="shared" si="18"/>
        <v>#VALUE!</v>
      </c>
    </row>
    <row r="398" spans="8:31" x14ac:dyDescent="0.2"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AC398" t="e">
        <f ca="1">RANK(AB398,OFFSET($AB$2,0,0,#REF!,1))</f>
        <v>#REF!</v>
      </c>
      <c r="AD398" s="4" t="e">
        <f>InsurerSize(#REF!)</f>
        <v>#VALUE!</v>
      </c>
      <c r="AE398" s="4" t="e">
        <f t="shared" si="18"/>
        <v>#VALUE!</v>
      </c>
    </row>
    <row r="399" spans="8:31" x14ac:dyDescent="0.2"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AC399" t="e">
        <f ca="1">RANK(AB399,OFFSET($AB$2,0,0,#REF!,1))</f>
        <v>#REF!</v>
      </c>
      <c r="AD399" s="4" t="e">
        <f>InsurerSize(#REF!)</f>
        <v>#VALUE!</v>
      </c>
      <c r="AE399" s="4" t="e">
        <f t="shared" si="18"/>
        <v>#VALUE!</v>
      </c>
    </row>
    <row r="400" spans="8:31" x14ac:dyDescent="0.2"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AC400" t="e">
        <f ca="1">RANK(AB400,OFFSET($AB$2,0,0,#REF!,1))</f>
        <v>#REF!</v>
      </c>
      <c r="AD400" s="4" t="e">
        <f>InsurerSize(#REF!)</f>
        <v>#VALUE!</v>
      </c>
      <c r="AE400" s="4" t="e">
        <f t="shared" si="18"/>
        <v>#VALUE!</v>
      </c>
    </row>
    <row r="401" spans="8:31" x14ac:dyDescent="0.2"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AC401" t="e">
        <f ca="1">RANK(AB401,OFFSET($AB$2,0,0,#REF!,1))</f>
        <v>#REF!</v>
      </c>
      <c r="AD401" s="4" t="e">
        <f>InsurerSize(#REF!)</f>
        <v>#VALUE!</v>
      </c>
      <c r="AE401" s="4" t="e">
        <f t="shared" si="18"/>
        <v>#VALUE!</v>
      </c>
    </row>
    <row r="402" spans="8:31" x14ac:dyDescent="0.2"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AC402" t="e">
        <f ca="1">RANK(AB402,OFFSET($AB$2,0,0,#REF!,1))</f>
        <v>#REF!</v>
      </c>
      <c r="AD402" s="4" t="e">
        <f>InsurerSize(#REF!)</f>
        <v>#VALUE!</v>
      </c>
      <c r="AE402" s="4" t="e">
        <f t="shared" si="18"/>
        <v>#VALUE!</v>
      </c>
    </row>
    <row r="403" spans="8:31" x14ac:dyDescent="0.2"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AC403" t="e">
        <f ca="1">RANK(AB403,OFFSET($AB$2,0,0,#REF!,1))</f>
        <v>#REF!</v>
      </c>
      <c r="AD403" s="4" t="e">
        <f>InsurerSize(#REF!)</f>
        <v>#VALUE!</v>
      </c>
      <c r="AE403" s="4" t="e">
        <f t="shared" si="18"/>
        <v>#VALUE!</v>
      </c>
    </row>
    <row r="404" spans="8:31" x14ac:dyDescent="0.2"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AC404" t="e">
        <f ca="1">RANK(AB404,OFFSET($AB$2,0,0,#REF!,1))</f>
        <v>#REF!</v>
      </c>
      <c r="AD404" s="4" t="e">
        <f>InsurerSize(#REF!)</f>
        <v>#VALUE!</v>
      </c>
      <c r="AE404" s="4" t="e">
        <f t="shared" si="18"/>
        <v>#VALUE!</v>
      </c>
    </row>
    <row r="405" spans="8:31" x14ac:dyDescent="0.2"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AC405" t="e">
        <f ca="1">RANK(AB405,OFFSET($AB$2,0,0,#REF!,1))</f>
        <v>#REF!</v>
      </c>
      <c r="AD405" s="4" t="e">
        <f>InsurerSize(#REF!)</f>
        <v>#VALUE!</v>
      </c>
      <c r="AE405" s="4" t="e">
        <f t="shared" si="18"/>
        <v>#VALUE!</v>
      </c>
    </row>
    <row r="406" spans="8:31" x14ac:dyDescent="0.2"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AC406" t="e">
        <f ca="1">RANK(AB406,OFFSET($AB$2,0,0,#REF!,1))</f>
        <v>#REF!</v>
      </c>
      <c r="AD406" s="4" t="e">
        <f>InsurerSize(#REF!)</f>
        <v>#VALUE!</v>
      </c>
      <c r="AE406" s="4" t="e">
        <f t="shared" si="18"/>
        <v>#VALUE!</v>
      </c>
    </row>
    <row r="407" spans="8:31" x14ac:dyDescent="0.2"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AC407" t="e">
        <f ca="1">RANK(AB407,OFFSET($AB$2,0,0,#REF!,1))</f>
        <v>#REF!</v>
      </c>
      <c r="AD407" s="4" t="e">
        <f>InsurerSize(#REF!)</f>
        <v>#VALUE!</v>
      </c>
      <c r="AE407" s="4" t="e">
        <f t="shared" si="18"/>
        <v>#VALUE!</v>
      </c>
    </row>
    <row r="408" spans="8:31" x14ac:dyDescent="0.2"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AC408" t="e">
        <f ca="1">RANK(AB408,OFFSET($AB$2,0,0,#REF!,1))</f>
        <v>#REF!</v>
      </c>
      <c r="AD408" s="4" t="e">
        <f>InsurerSize(#REF!)</f>
        <v>#VALUE!</v>
      </c>
      <c r="AE408" s="4" t="e">
        <f t="shared" si="18"/>
        <v>#VALUE!</v>
      </c>
    </row>
    <row r="409" spans="8:31" x14ac:dyDescent="0.2"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AC409" t="e">
        <f ca="1">RANK(AB409,OFFSET($AB$2,0,0,#REF!,1))</f>
        <v>#REF!</v>
      </c>
      <c r="AD409" s="4" t="e">
        <f>InsurerSize(#REF!)</f>
        <v>#VALUE!</v>
      </c>
      <c r="AE409" s="4" t="e">
        <f t="shared" si="18"/>
        <v>#VALUE!</v>
      </c>
    </row>
    <row r="410" spans="8:31" x14ac:dyDescent="0.2"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AC410" t="e">
        <f ca="1">RANK(AB410,OFFSET($AB$2,0,0,#REF!,1))</f>
        <v>#REF!</v>
      </c>
      <c r="AD410" s="4" t="e">
        <f>InsurerSize(#REF!)</f>
        <v>#VALUE!</v>
      </c>
      <c r="AE410" s="4" t="e">
        <f t="shared" si="18"/>
        <v>#VALUE!</v>
      </c>
    </row>
    <row r="411" spans="8:31" x14ac:dyDescent="0.2"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AC411" t="e">
        <f ca="1">RANK(AB411,OFFSET($AB$2,0,0,#REF!,1))</f>
        <v>#REF!</v>
      </c>
      <c r="AD411" s="4" t="e">
        <f>InsurerSize(#REF!)</f>
        <v>#VALUE!</v>
      </c>
      <c r="AE411" s="4" t="e">
        <f t="shared" si="18"/>
        <v>#VALUE!</v>
      </c>
    </row>
    <row r="412" spans="8:31" x14ac:dyDescent="0.2"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AC412" t="e">
        <f ca="1">RANK(AB412,OFFSET($AB$2,0,0,#REF!,1))</f>
        <v>#REF!</v>
      </c>
      <c r="AD412" s="4" t="e">
        <f>InsurerSize(#REF!)</f>
        <v>#VALUE!</v>
      </c>
      <c r="AE412" s="4" t="e">
        <f t="shared" si="18"/>
        <v>#VALUE!</v>
      </c>
    </row>
    <row r="413" spans="8:31" x14ac:dyDescent="0.2"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AC413" t="e">
        <f ca="1">RANK(AB413,OFFSET($AB$2,0,0,#REF!,1))</f>
        <v>#REF!</v>
      </c>
      <c r="AD413" s="4" t="e">
        <f>InsurerSize(#REF!)</f>
        <v>#VALUE!</v>
      </c>
      <c r="AE413" s="4" t="e">
        <f t="shared" si="18"/>
        <v>#VALUE!</v>
      </c>
    </row>
    <row r="414" spans="8:31" x14ac:dyDescent="0.2"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AC414" t="e">
        <f ca="1">RANK(AB414,OFFSET($AB$2,0,0,#REF!,1))</f>
        <v>#REF!</v>
      </c>
      <c r="AD414" s="4" t="e">
        <f>InsurerSize(#REF!)</f>
        <v>#VALUE!</v>
      </c>
      <c r="AE414" s="4" t="e">
        <f t="shared" si="18"/>
        <v>#VALUE!</v>
      </c>
    </row>
    <row r="415" spans="8:31" x14ac:dyDescent="0.2"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AC415" t="e">
        <f ca="1">RANK(AB415,OFFSET($AB$2,0,0,#REF!,1))</f>
        <v>#REF!</v>
      </c>
      <c r="AD415" s="4" t="e">
        <f>InsurerSize(#REF!)</f>
        <v>#VALUE!</v>
      </c>
      <c r="AE415" s="4" t="e">
        <f t="shared" si="18"/>
        <v>#VALUE!</v>
      </c>
    </row>
    <row r="416" spans="8:31" x14ac:dyDescent="0.2"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AC416" t="e">
        <f ca="1">RANK(AB416,OFFSET($AB$2,0,0,#REF!,1))</f>
        <v>#REF!</v>
      </c>
      <c r="AD416" s="4" t="e">
        <f>InsurerSize(#REF!)</f>
        <v>#VALUE!</v>
      </c>
      <c r="AE416" s="4" t="e">
        <f t="shared" si="18"/>
        <v>#VALUE!</v>
      </c>
    </row>
    <row r="417" spans="8:31" x14ac:dyDescent="0.2"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AC417" t="e">
        <f ca="1">RANK(AB417,OFFSET($AB$2,0,0,#REF!,1))</f>
        <v>#REF!</v>
      </c>
      <c r="AD417" s="4" t="e">
        <f>InsurerSize(#REF!)</f>
        <v>#VALUE!</v>
      </c>
      <c r="AE417" s="4" t="e">
        <f t="shared" si="18"/>
        <v>#VALUE!</v>
      </c>
    </row>
    <row r="418" spans="8:31" x14ac:dyDescent="0.2"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AC418" t="e">
        <f ca="1">RANK(AB418,OFFSET($AB$2,0,0,#REF!,1))</f>
        <v>#REF!</v>
      </c>
      <c r="AD418" s="4" t="e">
        <f>InsurerSize(#REF!)</f>
        <v>#VALUE!</v>
      </c>
      <c r="AE418" s="4" t="e">
        <f t="shared" si="18"/>
        <v>#VALUE!</v>
      </c>
    </row>
    <row r="419" spans="8:31" x14ac:dyDescent="0.2"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AC419" t="e">
        <f ca="1">RANK(AB419,OFFSET($AB$2,0,0,#REF!,1))</f>
        <v>#REF!</v>
      </c>
      <c r="AD419" s="4" t="e">
        <f>InsurerSize(#REF!)</f>
        <v>#VALUE!</v>
      </c>
      <c r="AE419" s="4" t="e">
        <f t="shared" si="18"/>
        <v>#VALUE!</v>
      </c>
    </row>
    <row r="420" spans="8:31" x14ac:dyDescent="0.2"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AC420" t="e">
        <f ca="1">RANK(AB420,OFFSET($AB$2,0,0,#REF!,1))</f>
        <v>#REF!</v>
      </c>
      <c r="AD420" s="4" t="e">
        <f>InsurerSize(#REF!)</f>
        <v>#VALUE!</v>
      </c>
      <c r="AE420" s="4" t="e">
        <f t="shared" si="18"/>
        <v>#VALUE!</v>
      </c>
    </row>
    <row r="421" spans="8:31" x14ac:dyDescent="0.2"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AC421" t="e">
        <f ca="1">RANK(AB421,OFFSET($AB$2,0,0,#REF!,1))</f>
        <v>#REF!</v>
      </c>
      <c r="AD421" s="4" t="e">
        <f>InsurerSize(#REF!)</f>
        <v>#VALUE!</v>
      </c>
      <c r="AE421" s="4" t="e">
        <f t="shared" si="18"/>
        <v>#VALUE!</v>
      </c>
    </row>
    <row r="422" spans="8:31" x14ac:dyDescent="0.2"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AC422" t="e">
        <f ca="1">RANK(AB422,OFFSET($AB$2,0,0,#REF!,1))</f>
        <v>#REF!</v>
      </c>
      <c r="AD422" s="4" t="e">
        <f>InsurerSize(#REF!)</f>
        <v>#VALUE!</v>
      </c>
      <c r="AE422" s="4" t="e">
        <f t="shared" si="18"/>
        <v>#VALUE!</v>
      </c>
    </row>
    <row r="423" spans="8:31" x14ac:dyDescent="0.2"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AC423" t="e">
        <f ca="1">RANK(AB423,OFFSET($AB$2,0,0,#REF!,1))</f>
        <v>#REF!</v>
      </c>
      <c r="AD423" s="4" t="e">
        <f>InsurerSize(#REF!)</f>
        <v>#VALUE!</v>
      </c>
      <c r="AE423" s="4" t="e">
        <f t="shared" si="18"/>
        <v>#VALUE!</v>
      </c>
    </row>
    <row r="424" spans="8:31" x14ac:dyDescent="0.2"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AC424" t="e">
        <f ca="1">RANK(AB424,OFFSET($AB$2,0,0,#REF!,1))</f>
        <v>#REF!</v>
      </c>
      <c r="AD424" s="4" t="e">
        <f>InsurerSize(#REF!)</f>
        <v>#VALUE!</v>
      </c>
      <c r="AE424" s="4" t="e">
        <f t="shared" si="18"/>
        <v>#VALUE!</v>
      </c>
    </row>
    <row r="425" spans="8:31" x14ac:dyDescent="0.2"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AC425" t="e">
        <f ca="1">RANK(AB425,OFFSET($AB$2,0,0,#REF!,1))</f>
        <v>#REF!</v>
      </c>
      <c r="AD425" s="4" t="e">
        <f>InsurerSize(#REF!)</f>
        <v>#VALUE!</v>
      </c>
      <c r="AE425" s="4" t="e">
        <f t="shared" si="18"/>
        <v>#VALUE!</v>
      </c>
    </row>
    <row r="426" spans="8:31" x14ac:dyDescent="0.2"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AC426" t="e">
        <f ca="1">RANK(AB426,OFFSET($AB$2,0,0,#REF!,1))</f>
        <v>#REF!</v>
      </c>
      <c r="AD426" s="4" t="e">
        <f>InsurerSize(#REF!)</f>
        <v>#VALUE!</v>
      </c>
      <c r="AE426" s="4" t="e">
        <f t="shared" si="18"/>
        <v>#VALUE!</v>
      </c>
    </row>
    <row r="427" spans="8:31" x14ac:dyDescent="0.2"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AC427" t="e">
        <f ca="1">RANK(AB427,OFFSET($AB$2,0,0,#REF!,1))</f>
        <v>#REF!</v>
      </c>
      <c r="AD427" s="4" t="e">
        <f>InsurerSize(#REF!)</f>
        <v>#VALUE!</v>
      </c>
      <c r="AE427" s="4" t="e">
        <f t="shared" si="18"/>
        <v>#VALUE!</v>
      </c>
    </row>
    <row r="428" spans="8:31" x14ac:dyDescent="0.2"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AC428" t="e">
        <f ca="1">RANK(AB428,OFFSET($AB$2,0,0,#REF!,1))</f>
        <v>#REF!</v>
      </c>
      <c r="AD428" s="4" t="e">
        <f>InsurerSize(#REF!)</f>
        <v>#VALUE!</v>
      </c>
      <c r="AE428" s="4" t="e">
        <f t="shared" si="18"/>
        <v>#VALUE!</v>
      </c>
    </row>
    <row r="429" spans="8:31" x14ac:dyDescent="0.2"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AC429" t="e">
        <f ca="1">RANK(AB429,OFFSET($AB$2,0,0,#REF!,1))</f>
        <v>#REF!</v>
      </c>
      <c r="AD429" s="4" t="e">
        <f>InsurerSize(#REF!)</f>
        <v>#VALUE!</v>
      </c>
      <c r="AE429" s="4" t="e">
        <f t="shared" si="18"/>
        <v>#VALUE!</v>
      </c>
    </row>
    <row r="430" spans="8:31" x14ac:dyDescent="0.2"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AC430" t="e">
        <f ca="1">RANK(AB430,OFFSET($AB$2,0,0,#REF!,1))</f>
        <v>#REF!</v>
      </c>
      <c r="AD430" s="4" t="e">
        <f>InsurerSize(#REF!)</f>
        <v>#VALUE!</v>
      </c>
      <c r="AE430" s="4" t="e">
        <f t="shared" si="18"/>
        <v>#VALUE!</v>
      </c>
    </row>
    <row r="431" spans="8:31" x14ac:dyDescent="0.2"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AC431" t="e">
        <f ca="1">RANK(AB431,OFFSET($AB$2,0,0,#REF!,1))</f>
        <v>#REF!</v>
      </c>
      <c r="AD431" s="4" t="e">
        <f>InsurerSize(#REF!)</f>
        <v>#VALUE!</v>
      </c>
      <c r="AE431" s="4" t="e">
        <f t="shared" si="18"/>
        <v>#VALUE!</v>
      </c>
    </row>
    <row r="432" spans="8:31" x14ac:dyDescent="0.2"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AC432" t="e">
        <f ca="1">RANK(AB432,OFFSET($AB$2,0,0,#REF!,1))</f>
        <v>#REF!</v>
      </c>
      <c r="AD432" s="4" t="e">
        <f>InsurerSize(#REF!)</f>
        <v>#VALUE!</v>
      </c>
      <c r="AE432" s="4" t="e">
        <f t="shared" si="18"/>
        <v>#VALUE!</v>
      </c>
    </row>
    <row r="433" spans="8:31" x14ac:dyDescent="0.2"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AC433" t="e">
        <f ca="1">RANK(AB433,OFFSET($AB$2,0,0,#REF!,1))</f>
        <v>#REF!</v>
      </c>
      <c r="AD433" s="4" t="e">
        <f>InsurerSize(#REF!)</f>
        <v>#VALUE!</v>
      </c>
      <c r="AE433" s="4" t="e">
        <f t="shared" si="18"/>
        <v>#VALUE!</v>
      </c>
    </row>
    <row r="434" spans="8:31" x14ac:dyDescent="0.2"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AC434" t="e">
        <f ca="1">RANK(AB434,OFFSET($AB$2,0,0,#REF!,1))</f>
        <v>#REF!</v>
      </c>
      <c r="AD434" s="4" t="e">
        <f>InsurerSize(#REF!)</f>
        <v>#VALUE!</v>
      </c>
      <c r="AE434" s="4" t="e">
        <f t="shared" si="18"/>
        <v>#VALUE!</v>
      </c>
    </row>
    <row r="435" spans="8:31" x14ac:dyDescent="0.2"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AC435" t="e">
        <f ca="1">RANK(AB435,OFFSET($AB$2,0,0,#REF!,1))</f>
        <v>#REF!</v>
      </c>
      <c r="AD435" s="4" t="e">
        <f>InsurerSize(#REF!)</f>
        <v>#VALUE!</v>
      </c>
      <c r="AE435" s="4" t="e">
        <f t="shared" si="18"/>
        <v>#VALUE!</v>
      </c>
    </row>
    <row r="436" spans="8:31" x14ac:dyDescent="0.2"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AC436" t="e">
        <f ca="1">RANK(AB436,OFFSET($AB$2,0,0,#REF!,1))</f>
        <v>#REF!</v>
      </c>
      <c r="AD436" s="4" t="e">
        <f>InsurerSize(#REF!)</f>
        <v>#VALUE!</v>
      </c>
      <c r="AE436" s="4" t="e">
        <f t="shared" si="18"/>
        <v>#VALUE!</v>
      </c>
    </row>
    <row r="437" spans="8:31" x14ac:dyDescent="0.2"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AC437" t="e">
        <f ca="1">RANK(AB437,OFFSET($AB$2,0,0,#REF!,1))</f>
        <v>#REF!</v>
      </c>
      <c r="AD437" s="4" t="e">
        <f>InsurerSize(#REF!)</f>
        <v>#VALUE!</v>
      </c>
      <c r="AE437" s="4" t="e">
        <f t="shared" si="18"/>
        <v>#VALUE!</v>
      </c>
    </row>
    <row r="438" spans="8:31" x14ac:dyDescent="0.2"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AC438" t="e">
        <f ca="1">RANK(AB438,OFFSET($AB$2,0,0,#REF!,1))</f>
        <v>#REF!</v>
      </c>
      <c r="AD438" s="4" t="e">
        <f>InsurerSize(#REF!)</f>
        <v>#VALUE!</v>
      </c>
      <c r="AE438" s="4" t="e">
        <f t="shared" si="18"/>
        <v>#VALUE!</v>
      </c>
    </row>
    <row r="439" spans="8:31" x14ac:dyDescent="0.2"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AC439" t="e">
        <f ca="1">RANK(AB439,OFFSET($AB$2,0,0,#REF!,1))</f>
        <v>#REF!</v>
      </c>
      <c r="AD439" s="4" t="e">
        <f>InsurerSize(#REF!)</f>
        <v>#VALUE!</v>
      </c>
      <c r="AE439" s="4" t="e">
        <f t="shared" si="18"/>
        <v>#VALUE!</v>
      </c>
    </row>
    <row r="440" spans="8:31" x14ac:dyDescent="0.2"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AC440" t="e">
        <f ca="1">RANK(AB440,OFFSET($AB$2,0,0,#REF!,1))</f>
        <v>#REF!</v>
      </c>
      <c r="AD440" s="4" t="e">
        <f>InsurerSize(#REF!)</f>
        <v>#VALUE!</v>
      </c>
      <c r="AE440" s="4" t="e">
        <f t="shared" si="18"/>
        <v>#VALUE!</v>
      </c>
    </row>
    <row r="441" spans="8:31" x14ac:dyDescent="0.2"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AC441" t="e">
        <f ca="1">RANK(AB441,OFFSET($AB$2,0,0,#REF!,1))</f>
        <v>#REF!</v>
      </c>
      <c r="AD441" s="4" t="e">
        <f>InsurerSize(#REF!)</f>
        <v>#VALUE!</v>
      </c>
      <c r="AE441" s="4" t="e">
        <f t="shared" si="18"/>
        <v>#VALUE!</v>
      </c>
    </row>
    <row r="442" spans="8:31" x14ac:dyDescent="0.2"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AC442" t="e">
        <f ca="1">RANK(AB442,OFFSET($AB$2,0,0,#REF!,1))</f>
        <v>#REF!</v>
      </c>
      <c r="AD442" s="4" t="e">
        <f>InsurerSize(#REF!)</f>
        <v>#VALUE!</v>
      </c>
      <c r="AE442" s="4" t="e">
        <f t="shared" si="18"/>
        <v>#VALUE!</v>
      </c>
    </row>
    <row r="443" spans="8:31" x14ac:dyDescent="0.2"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AC443" t="e">
        <f ca="1">RANK(AB443,OFFSET($AB$2,0,0,#REF!,1))</f>
        <v>#REF!</v>
      </c>
      <c r="AD443" s="4" t="e">
        <f>InsurerSize(#REF!)</f>
        <v>#VALUE!</v>
      </c>
      <c r="AE443" s="4" t="e">
        <f t="shared" si="18"/>
        <v>#VALUE!</v>
      </c>
    </row>
    <row r="444" spans="8:31" x14ac:dyDescent="0.2"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AC444" t="e">
        <f ca="1">RANK(AB444,OFFSET($AB$2,0,0,#REF!,1))</f>
        <v>#REF!</v>
      </c>
      <c r="AD444" s="4" t="e">
        <f>InsurerSize(#REF!)</f>
        <v>#VALUE!</v>
      </c>
      <c r="AE444" s="4" t="e">
        <f t="shared" si="18"/>
        <v>#VALUE!</v>
      </c>
    </row>
    <row r="445" spans="8:31" x14ac:dyDescent="0.2"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AC445" t="e">
        <f ca="1">RANK(AB445,OFFSET($AB$2,0,0,#REF!,1))</f>
        <v>#REF!</v>
      </c>
      <c r="AD445" s="4" t="e">
        <f>InsurerSize(#REF!)</f>
        <v>#VALUE!</v>
      </c>
      <c r="AE445" s="4" t="e">
        <f t="shared" si="18"/>
        <v>#VALUE!</v>
      </c>
    </row>
    <row r="446" spans="8:31" x14ac:dyDescent="0.2"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AC446" t="e">
        <f ca="1">RANK(AB446,OFFSET($AB$2,0,0,#REF!,1))</f>
        <v>#REF!</v>
      </c>
      <c r="AD446" s="4" t="e">
        <f>InsurerSize(#REF!)</f>
        <v>#VALUE!</v>
      </c>
      <c r="AE446" s="4" t="e">
        <f t="shared" si="18"/>
        <v>#VALUE!</v>
      </c>
    </row>
    <row r="447" spans="8:31" x14ac:dyDescent="0.2"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AC447" t="e">
        <f ca="1">RANK(AB447,OFFSET($AB$2,0,0,#REF!,1))</f>
        <v>#REF!</v>
      </c>
      <c r="AD447" s="4" t="e">
        <f>InsurerSize(#REF!)</f>
        <v>#VALUE!</v>
      </c>
      <c r="AE447" s="4" t="e">
        <f t="shared" si="18"/>
        <v>#VALUE!</v>
      </c>
    </row>
    <row r="448" spans="8:31" x14ac:dyDescent="0.2"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AC448" t="e">
        <f ca="1">RANK(AB448,OFFSET($AB$2,0,0,#REF!,1))</f>
        <v>#REF!</v>
      </c>
      <c r="AD448" s="4" t="e">
        <f>InsurerSize(#REF!)</f>
        <v>#VALUE!</v>
      </c>
      <c r="AE448" s="4" t="e">
        <f t="shared" si="18"/>
        <v>#VALUE!</v>
      </c>
    </row>
    <row r="449" spans="8:31" x14ac:dyDescent="0.2"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AC449" t="e">
        <f ca="1">RANK(AB449,OFFSET($AB$2,0,0,#REF!,1))</f>
        <v>#REF!</v>
      </c>
      <c r="AD449" s="4" t="e">
        <f>InsurerSize(#REF!)</f>
        <v>#VALUE!</v>
      </c>
      <c r="AE449" s="4" t="e">
        <f t="shared" si="18"/>
        <v>#VALUE!</v>
      </c>
    </row>
    <row r="450" spans="8:31" x14ac:dyDescent="0.2"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AC450" t="e">
        <f ca="1">RANK(AB450,OFFSET($AB$2,0,0,#REF!,1))</f>
        <v>#REF!</v>
      </c>
      <c r="AD450" s="4" t="e">
        <f>InsurerSize(#REF!)</f>
        <v>#VALUE!</v>
      </c>
      <c r="AE450" s="4" t="e">
        <f t="shared" ref="AE450:AE513" si="19">A450&amp;AD450</f>
        <v>#VALUE!</v>
      </c>
    </row>
    <row r="451" spans="8:31" x14ac:dyDescent="0.2"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AC451" t="e">
        <f ca="1">RANK(AB451,OFFSET($AB$2,0,0,#REF!,1))</f>
        <v>#REF!</v>
      </c>
      <c r="AD451" s="4" t="e">
        <f>InsurerSize(#REF!)</f>
        <v>#VALUE!</v>
      </c>
      <c r="AE451" s="4" t="e">
        <f t="shared" si="19"/>
        <v>#VALUE!</v>
      </c>
    </row>
    <row r="452" spans="8:31" x14ac:dyDescent="0.2"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AC452" t="e">
        <f ca="1">RANK(AB452,OFFSET($AB$2,0,0,#REF!,1))</f>
        <v>#REF!</v>
      </c>
      <c r="AD452" s="4" t="e">
        <f>InsurerSize(#REF!)</f>
        <v>#VALUE!</v>
      </c>
      <c r="AE452" s="4" t="e">
        <f t="shared" si="19"/>
        <v>#VALUE!</v>
      </c>
    </row>
    <row r="453" spans="8:31" x14ac:dyDescent="0.2"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AC453" t="e">
        <f ca="1">RANK(AB453,OFFSET($AB$2,0,0,#REF!,1))</f>
        <v>#REF!</v>
      </c>
      <c r="AD453" s="4" t="e">
        <f>InsurerSize(#REF!)</f>
        <v>#VALUE!</v>
      </c>
      <c r="AE453" s="4" t="e">
        <f t="shared" si="19"/>
        <v>#VALUE!</v>
      </c>
    </row>
    <row r="454" spans="8:31" x14ac:dyDescent="0.2"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AC454" t="e">
        <f ca="1">RANK(AB454,OFFSET($AB$2,0,0,#REF!,1))</f>
        <v>#REF!</v>
      </c>
      <c r="AD454" s="4" t="e">
        <f>InsurerSize(#REF!)</f>
        <v>#VALUE!</v>
      </c>
      <c r="AE454" s="4" t="e">
        <f t="shared" si="19"/>
        <v>#VALUE!</v>
      </c>
    </row>
    <row r="455" spans="8:31" x14ac:dyDescent="0.2"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AC455" t="e">
        <f ca="1">RANK(AB455,OFFSET($AB$2,0,0,#REF!,1))</f>
        <v>#REF!</v>
      </c>
      <c r="AD455" s="4" t="e">
        <f>InsurerSize(#REF!)</f>
        <v>#VALUE!</v>
      </c>
      <c r="AE455" s="4" t="e">
        <f t="shared" si="19"/>
        <v>#VALUE!</v>
      </c>
    </row>
    <row r="456" spans="8:31" x14ac:dyDescent="0.2"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AC456" t="e">
        <f ca="1">RANK(AB456,OFFSET($AB$2,0,0,#REF!,1))</f>
        <v>#REF!</v>
      </c>
      <c r="AD456" s="4" t="e">
        <f>InsurerSize(#REF!)</f>
        <v>#VALUE!</v>
      </c>
      <c r="AE456" s="4" t="e">
        <f t="shared" si="19"/>
        <v>#VALUE!</v>
      </c>
    </row>
    <row r="457" spans="8:31" x14ac:dyDescent="0.2"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AC457" t="e">
        <f ca="1">RANK(AB457,OFFSET($AB$2,0,0,#REF!,1))</f>
        <v>#REF!</v>
      </c>
      <c r="AD457" s="4" t="e">
        <f>InsurerSize(#REF!)</f>
        <v>#VALUE!</v>
      </c>
      <c r="AE457" s="4" t="e">
        <f t="shared" si="19"/>
        <v>#VALUE!</v>
      </c>
    </row>
    <row r="458" spans="8:31" x14ac:dyDescent="0.2"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AC458" t="e">
        <f ca="1">RANK(AB458,OFFSET($AB$2,0,0,#REF!,1))</f>
        <v>#REF!</v>
      </c>
      <c r="AD458" s="4" t="e">
        <f>InsurerSize(#REF!)</f>
        <v>#VALUE!</v>
      </c>
      <c r="AE458" s="4" t="e">
        <f t="shared" si="19"/>
        <v>#VALUE!</v>
      </c>
    </row>
    <row r="459" spans="8:31" x14ac:dyDescent="0.2"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AC459" t="e">
        <f ca="1">RANK(AB459,OFFSET($AB$2,0,0,#REF!,1))</f>
        <v>#REF!</v>
      </c>
      <c r="AD459" s="4" t="e">
        <f>InsurerSize(#REF!)</f>
        <v>#VALUE!</v>
      </c>
      <c r="AE459" s="4" t="e">
        <f t="shared" si="19"/>
        <v>#VALUE!</v>
      </c>
    </row>
    <row r="460" spans="8:31" x14ac:dyDescent="0.2"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AC460" t="e">
        <f ca="1">RANK(AB460,OFFSET($AB$2,0,0,#REF!,1))</f>
        <v>#REF!</v>
      </c>
      <c r="AD460" s="4" t="e">
        <f>InsurerSize(#REF!)</f>
        <v>#VALUE!</v>
      </c>
      <c r="AE460" s="4" t="e">
        <f t="shared" si="19"/>
        <v>#VALUE!</v>
      </c>
    </row>
    <row r="461" spans="8:31" x14ac:dyDescent="0.2"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AC461" t="e">
        <f ca="1">RANK(AB461,OFFSET($AB$2,0,0,#REF!,1))</f>
        <v>#REF!</v>
      </c>
      <c r="AD461" s="4" t="e">
        <f>InsurerSize(#REF!)</f>
        <v>#VALUE!</v>
      </c>
      <c r="AE461" s="4" t="e">
        <f t="shared" si="19"/>
        <v>#VALUE!</v>
      </c>
    </row>
    <row r="462" spans="8:31" x14ac:dyDescent="0.2"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AC462" t="e">
        <f ca="1">RANK(AB462,OFFSET($AB$2,0,0,#REF!,1))</f>
        <v>#REF!</v>
      </c>
      <c r="AD462" s="4" t="e">
        <f>InsurerSize(#REF!)</f>
        <v>#VALUE!</v>
      </c>
      <c r="AE462" s="4" t="e">
        <f t="shared" si="19"/>
        <v>#VALUE!</v>
      </c>
    </row>
    <row r="463" spans="8:31" x14ac:dyDescent="0.2"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AC463" t="e">
        <f ca="1">RANK(AB463,OFFSET($AB$2,0,0,#REF!,1))</f>
        <v>#REF!</v>
      </c>
      <c r="AD463" s="4" t="e">
        <f>InsurerSize(#REF!)</f>
        <v>#VALUE!</v>
      </c>
      <c r="AE463" s="4" t="e">
        <f t="shared" si="19"/>
        <v>#VALUE!</v>
      </c>
    </row>
    <row r="464" spans="8:31" x14ac:dyDescent="0.2"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AC464" t="e">
        <f ca="1">RANK(AB464,OFFSET($AB$2,0,0,#REF!,1))</f>
        <v>#REF!</v>
      </c>
      <c r="AD464" s="4" t="e">
        <f>InsurerSize(#REF!)</f>
        <v>#VALUE!</v>
      </c>
      <c r="AE464" s="4" t="e">
        <f t="shared" si="19"/>
        <v>#VALUE!</v>
      </c>
    </row>
    <row r="465" spans="8:31" x14ac:dyDescent="0.2"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AC465" t="e">
        <f ca="1">RANK(AB465,OFFSET($AB$2,0,0,#REF!,1))</f>
        <v>#REF!</v>
      </c>
      <c r="AD465" s="4" t="e">
        <f>InsurerSize(#REF!)</f>
        <v>#VALUE!</v>
      </c>
      <c r="AE465" s="4" t="e">
        <f t="shared" si="19"/>
        <v>#VALUE!</v>
      </c>
    </row>
    <row r="466" spans="8:31" x14ac:dyDescent="0.2"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AC466" t="e">
        <f ca="1">RANK(AB466,OFFSET($AB$2,0,0,#REF!,1))</f>
        <v>#REF!</v>
      </c>
      <c r="AD466" s="4" t="e">
        <f>InsurerSize(#REF!)</f>
        <v>#VALUE!</v>
      </c>
      <c r="AE466" s="4" t="e">
        <f t="shared" si="19"/>
        <v>#VALUE!</v>
      </c>
    </row>
    <row r="467" spans="8:31" x14ac:dyDescent="0.2"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AC467" t="e">
        <f ca="1">RANK(AB467,OFFSET($AB$2,0,0,#REF!,1))</f>
        <v>#REF!</v>
      </c>
      <c r="AD467" s="4" t="e">
        <f>InsurerSize(#REF!)</f>
        <v>#VALUE!</v>
      </c>
      <c r="AE467" s="4" t="e">
        <f t="shared" si="19"/>
        <v>#VALUE!</v>
      </c>
    </row>
    <row r="468" spans="8:31" x14ac:dyDescent="0.2"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AC468" t="e">
        <f ca="1">RANK(AB468,OFFSET($AB$2,0,0,#REF!,1))</f>
        <v>#REF!</v>
      </c>
      <c r="AD468" s="4" t="e">
        <f>InsurerSize(#REF!)</f>
        <v>#VALUE!</v>
      </c>
      <c r="AE468" s="4" t="e">
        <f t="shared" si="19"/>
        <v>#VALUE!</v>
      </c>
    </row>
    <row r="469" spans="8:31" x14ac:dyDescent="0.2"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AC469" t="e">
        <f ca="1">RANK(AB469,OFFSET($AB$2,0,0,#REF!,1))</f>
        <v>#REF!</v>
      </c>
      <c r="AD469" s="4" t="e">
        <f>InsurerSize(#REF!)</f>
        <v>#VALUE!</v>
      </c>
      <c r="AE469" s="4" t="e">
        <f t="shared" si="19"/>
        <v>#VALUE!</v>
      </c>
    </row>
    <row r="470" spans="8:31" x14ac:dyDescent="0.2"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AC470" t="e">
        <f ca="1">RANK(AB470,OFFSET($AB$2,0,0,#REF!,1))</f>
        <v>#REF!</v>
      </c>
      <c r="AD470" s="4" t="e">
        <f>InsurerSize(#REF!)</f>
        <v>#VALUE!</v>
      </c>
      <c r="AE470" s="4" t="e">
        <f t="shared" si="19"/>
        <v>#VALUE!</v>
      </c>
    </row>
    <row r="471" spans="8:31" x14ac:dyDescent="0.2"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AC471" t="e">
        <f ca="1">RANK(AB471,OFFSET($AB$2,0,0,#REF!,1))</f>
        <v>#REF!</v>
      </c>
      <c r="AD471" s="4" t="e">
        <f>InsurerSize(#REF!)</f>
        <v>#VALUE!</v>
      </c>
      <c r="AE471" s="4" t="e">
        <f t="shared" si="19"/>
        <v>#VALUE!</v>
      </c>
    </row>
    <row r="472" spans="8:31" x14ac:dyDescent="0.2"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AC472" t="e">
        <f ca="1">RANK(AB472,OFFSET($AB$2,0,0,#REF!,1))</f>
        <v>#REF!</v>
      </c>
      <c r="AD472" s="4" t="e">
        <f>InsurerSize(#REF!)</f>
        <v>#VALUE!</v>
      </c>
      <c r="AE472" s="4" t="e">
        <f t="shared" si="19"/>
        <v>#VALUE!</v>
      </c>
    </row>
    <row r="473" spans="8:31" x14ac:dyDescent="0.2"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AC473" t="e">
        <f ca="1">RANK(AB473,OFFSET($AB$2,0,0,#REF!,1))</f>
        <v>#REF!</v>
      </c>
      <c r="AD473" s="4" t="e">
        <f>InsurerSize(#REF!)</f>
        <v>#VALUE!</v>
      </c>
      <c r="AE473" s="4" t="e">
        <f t="shared" si="19"/>
        <v>#VALUE!</v>
      </c>
    </row>
    <row r="474" spans="8:31" x14ac:dyDescent="0.2"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AC474" t="e">
        <f ca="1">RANK(AB474,OFFSET($AB$2,0,0,#REF!,1))</f>
        <v>#REF!</v>
      </c>
      <c r="AD474" s="4" t="e">
        <f>InsurerSize(#REF!)</f>
        <v>#VALUE!</v>
      </c>
      <c r="AE474" s="4" t="e">
        <f t="shared" si="19"/>
        <v>#VALUE!</v>
      </c>
    </row>
    <row r="475" spans="8:31" x14ac:dyDescent="0.2"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AC475" t="e">
        <f ca="1">RANK(AB475,OFFSET($AB$2,0,0,#REF!,1))</f>
        <v>#REF!</v>
      </c>
      <c r="AD475" s="4" t="e">
        <f>InsurerSize(#REF!)</f>
        <v>#VALUE!</v>
      </c>
      <c r="AE475" s="4" t="e">
        <f t="shared" si="19"/>
        <v>#VALUE!</v>
      </c>
    </row>
    <row r="476" spans="8:31" x14ac:dyDescent="0.2"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AC476" t="e">
        <f ca="1">RANK(AB476,OFFSET($AB$2,0,0,#REF!,1))</f>
        <v>#REF!</v>
      </c>
      <c r="AD476" s="4" t="e">
        <f>InsurerSize(#REF!)</f>
        <v>#VALUE!</v>
      </c>
      <c r="AE476" s="4" t="e">
        <f t="shared" si="19"/>
        <v>#VALUE!</v>
      </c>
    </row>
    <row r="477" spans="8:31" x14ac:dyDescent="0.2"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AC477" t="e">
        <f ca="1">RANK(AB477,OFFSET($AB$2,0,0,#REF!,1))</f>
        <v>#REF!</v>
      </c>
      <c r="AD477" s="4" t="e">
        <f>InsurerSize(#REF!)</f>
        <v>#VALUE!</v>
      </c>
      <c r="AE477" s="4" t="e">
        <f t="shared" si="19"/>
        <v>#VALUE!</v>
      </c>
    </row>
    <row r="478" spans="8:31" x14ac:dyDescent="0.2"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AC478" t="e">
        <f ca="1">RANK(AB478,OFFSET($AB$2,0,0,#REF!,1))</f>
        <v>#REF!</v>
      </c>
      <c r="AD478" s="4" t="e">
        <f>InsurerSize(#REF!)</f>
        <v>#VALUE!</v>
      </c>
      <c r="AE478" s="4" t="e">
        <f t="shared" si="19"/>
        <v>#VALUE!</v>
      </c>
    </row>
    <row r="479" spans="8:31" x14ac:dyDescent="0.2"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AC479" t="e">
        <f ca="1">RANK(AB479,OFFSET($AB$2,0,0,#REF!,1))</f>
        <v>#REF!</v>
      </c>
      <c r="AD479" s="4" t="e">
        <f>InsurerSize(#REF!)</f>
        <v>#VALUE!</v>
      </c>
      <c r="AE479" s="4" t="e">
        <f t="shared" si="19"/>
        <v>#VALUE!</v>
      </c>
    </row>
    <row r="480" spans="8:31" x14ac:dyDescent="0.2"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AC480" t="e">
        <f ca="1">RANK(AB480,OFFSET($AB$2,0,0,#REF!,1))</f>
        <v>#REF!</v>
      </c>
      <c r="AD480" s="4" t="e">
        <f>InsurerSize(#REF!)</f>
        <v>#VALUE!</v>
      </c>
      <c r="AE480" s="4" t="e">
        <f t="shared" si="19"/>
        <v>#VALUE!</v>
      </c>
    </row>
    <row r="481" spans="8:31" x14ac:dyDescent="0.2"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AC481" t="e">
        <f ca="1">RANK(AB481,OFFSET($AB$2,0,0,#REF!,1))</f>
        <v>#REF!</v>
      </c>
      <c r="AD481" s="4" t="e">
        <f>InsurerSize(#REF!)</f>
        <v>#VALUE!</v>
      </c>
      <c r="AE481" s="4" t="e">
        <f t="shared" si="19"/>
        <v>#VALUE!</v>
      </c>
    </row>
    <row r="482" spans="8:31" x14ac:dyDescent="0.2"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AC482" t="e">
        <f ca="1">RANK(AB482,OFFSET($AB$2,0,0,#REF!,1))</f>
        <v>#REF!</v>
      </c>
      <c r="AD482" s="4" t="e">
        <f>InsurerSize(#REF!)</f>
        <v>#VALUE!</v>
      </c>
      <c r="AE482" s="4" t="e">
        <f t="shared" si="19"/>
        <v>#VALUE!</v>
      </c>
    </row>
    <row r="483" spans="8:31" x14ac:dyDescent="0.2"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AC483" t="e">
        <f ca="1">RANK(AB483,OFFSET($AB$2,0,0,#REF!,1))</f>
        <v>#REF!</v>
      </c>
      <c r="AD483" s="4" t="e">
        <f>InsurerSize(#REF!)</f>
        <v>#VALUE!</v>
      </c>
      <c r="AE483" s="4" t="e">
        <f t="shared" si="19"/>
        <v>#VALUE!</v>
      </c>
    </row>
    <row r="484" spans="8:31" x14ac:dyDescent="0.2"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AC484" t="e">
        <f ca="1">RANK(AB484,OFFSET($AB$2,0,0,#REF!,1))</f>
        <v>#REF!</v>
      </c>
      <c r="AD484" s="4" t="e">
        <f>InsurerSize(#REF!)</f>
        <v>#VALUE!</v>
      </c>
      <c r="AE484" s="4" t="e">
        <f t="shared" si="19"/>
        <v>#VALUE!</v>
      </c>
    </row>
    <row r="485" spans="8:31" x14ac:dyDescent="0.2"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AC485" t="e">
        <f ca="1">RANK(AB485,OFFSET($AB$2,0,0,#REF!,1))</f>
        <v>#REF!</v>
      </c>
      <c r="AD485" s="4" t="e">
        <f>InsurerSize(#REF!)</f>
        <v>#VALUE!</v>
      </c>
      <c r="AE485" s="4" t="e">
        <f t="shared" si="19"/>
        <v>#VALUE!</v>
      </c>
    </row>
    <row r="486" spans="8:31" x14ac:dyDescent="0.2"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AC486" t="e">
        <f ca="1">RANK(AB486,OFFSET($AB$2,0,0,#REF!,1))</f>
        <v>#REF!</v>
      </c>
      <c r="AD486" s="4" t="e">
        <f>InsurerSize(#REF!)</f>
        <v>#VALUE!</v>
      </c>
      <c r="AE486" s="4" t="e">
        <f t="shared" si="19"/>
        <v>#VALUE!</v>
      </c>
    </row>
    <row r="487" spans="8:31" x14ac:dyDescent="0.2"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AC487" t="e">
        <f ca="1">RANK(AB487,OFFSET($AB$2,0,0,#REF!,1))</f>
        <v>#REF!</v>
      </c>
      <c r="AD487" s="4" t="e">
        <f>InsurerSize(#REF!)</f>
        <v>#VALUE!</v>
      </c>
      <c r="AE487" s="4" t="e">
        <f t="shared" si="19"/>
        <v>#VALUE!</v>
      </c>
    </row>
    <row r="488" spans="8:31" x14ac:dyDescent="0.2"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AC488" t="e">
        <f ca="1">RANK(AB488,OFFSET($AB$2,0,0,#REF!,1))</f>
        <v>#REF!</v>
      </c>
      <c r="AD488" s="4" t="e">
        <f>InsurerSize(#REF!)</f>
        <v>#VALUE!</v>
      </c>
      <c r="AE488" s="4" t="e">
        <f t="shared" si="19"/>
        <v>#VALUE!</v>
      </c>
    </row>
    <row r="489" spans="8:31" x14ac:dyDescent="0.2"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AC489" t="e">
        <f ca="1">RANK(AB489,OFFSET($AB$2,0,0,#REF!,1))</f>
        <v>#REF!</v>
      </c>
      <c r="AD489" s="4" t="e">
        <f>InsurerSize(#REF!)</f>
        <v>#VALUE!</v>
      </c>
      <c r="AE489" s="4" t="e">
        <f t="shared" si="19"/>
        <v>#VALUE!</v>
      </c>
    </row>
    <row r="490" spans="8:31" x14ac:dyDescent="0.2"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AC490" t="e">
        <f ca="1">RANK(AB490,OFFSET($AB$2,0,0,#REF!,1))</f>
        <v>#REF!</v>
      </c>
      <c r="AD490" s="4" t="e">
        <f>InsurerSize(#REF!)</f>
        <v>#VALUE!</v>
      </c>
      <c r="AE490" s="4" t="e">
        <f t="shared" si="19"/>
        <v>#VALUE!</v>
      </c>
    </row>
    <row r="491" spans="8:31" x14ac:dyDescent="0.2"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AC491" t="e">
        <f ca="1">RANK(AB491,OFFSET($AB$2,0,0,#REF!,1))</f>
        <v>#REF!</v>
      </c>
      <c r="AD491" s="4" t="e">
        <f>InsurerSize(#REF!)</f>
        <v>#VALUE!</v>
      </c>
      <c r="AE491" s="4" t="e">
        <f t="shared" si="19"/>
        <v>#VALUE!</v>
      </c>
    </row>
    <row r="492" spans="8:31" x14ac:dyDescent="0.2"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AC492" t="e">
        <f ca="1">RANK(AB492,OFFSET($AB$2,0,0,#REF!,1))</f>
        <v>#REF!</v>
      </c>
      <c r="AD492" s="4" t="e">
        <f>InsurerSize(#REF!)</f>
        <v>#VALUE!</v>
      </c>
      <c r="AE492" s="4" t="e">
        <f t="shared" si="19"/>
        <v>#VALUE!</v>
      </c>
    </row>
    <row r="493" spans="8:31" x14ac:dyDescent="0.2"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AC493" t="e">
        <f ca="1">RANK(AB493,OFFSET($AB$2,0,0,#REF!,1))</f>
        <v>#REF!</v>
      </c>
      <c r="AD493" s="4" t="e">
        <f>InsurerSize(#REF!)</f>
        <v>#VALUE!</v>
      </c>
      <c r="AE493" s="4" t="e">
        <f t="shared" si="19"/>
        <v>#VALUE!</v>
      </c>
    </row>
    <row r="494" spans="8:31" x14ac:dyDescent="0.2"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AC494" t="e">
        <f ca="1">RANK(AB494,OFFSET($AB$2,0,0,#REF!,1))</f>
        <v>#REF!</v>
      </c>
      <c r="AD494" s="4" t="e">
        <f>InsurerSize(#REF!)</f>
        <v>#VALUE!</v>
      </c>
      <c r="AE494" s="4" t="e">
        <f t="shared" si="19"/>
        <v>#VALUE!</v>
      </c>
    </row>
    <row r="495" spans="8:31" x14ac:dyDescent="0.2"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AC495" t="e">
        <f ca="1">RANK(AB495,OFFSET($AB$2,0,0,#REF!,1))</f>
        <v>#REF!</v>
      </c>
      <c r="AD495" s="4" t="e">
        <f>InsurerSize(#REF!)</f>
        <v>#VALUE!</v>
      </c>
      <c r="AE495" s="4" t="e">
        <f t="shared" si="19"/>
        <v>#VALUE!</v>
      </c>
    </row>
    <row r="496" spans="8:31" x14ac:dyDescent="0.2"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AC496" t="e">
        <f ca="1">RANK(AB496,OFFSET($AB$2,0,0,#REF!,1))</f>
        <v>#REF!</v>
      </c>
      <c r="AD496" s="4" t="e">
        <f>InsurerSize(#REF!)</f>
        <v>#VALUE!</v>
      </c>
      <c r="AE496" s="4" t="e">
        <f t="shared" si="19"/>
        <v>#VALUE!</v>
      </c>
    </row>
    <row r="497" spans="8:31" x14ac:dyDescent="0.2"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AC497" t="e">
        <f ca="1">RANK(AB497,OFFSET($AB$2,0,0,#REF!,1))</f>
        <v>#REF!</v>
      </c>
      <c r="AD497" s="4" t="e">
        <f>InsurerSize(#REF!)</f>
        <v>#VALUE!</v>
      </c>
      <c r="AE497" s="4" t="e">
        <f t="shared" si="19"/>
        <v>#VALUE!</v>
      </c>
    </row>
    <row r="498" spans="8:31" x14ac:dyDescent="0.2"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AC498" t="e">
        <f ca="1">RANK(AB498,OFFSET($AB$2,0,0,#REF!,1))</f>
        <v>#REF!</v>
      </c>
      <c r="AD498" s="4" t="e">
        <f>InsurerSize(#REF!)</f>
        <v>#VALUE!</v>
      </c>
      <c r="AE498" s="4" t="e">
        <f t="shared" si="19"/>
        <v>#VALUE!</v>
      </c>
    </row>
    <row r="499" spans="8:31" x14ac:dyDescent="0.2"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AC499" t="e">
        <f ca="1">RANK(AB499,OFFSET($AB$2,0,0,#REF!,1))</f>
        <v>#REF!</v>
      </c>
      <c r="AD499" s="4" t="e">
        <f>InsurerSize(#REF!)</f>
        <v>#VALUE!</v>
      </c>
      <c r="AE499" s="4" t="e">
        <f t="shared" si="19"/>
        <v>#VALUE!</v>
      </c>
    </row>
    <row r="500" spans="8:31" x14ac:dyDescent="0.2"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AC500" t="e">
        <f ca="1">RANK(AB500,OFFSET($AB$2,0,0,#REF!,1))</f>
        <v>#REF!</v>
      </c>
      <c r="AD500" s="4" t="e">
        <f>InsurerSize(#REF!)</f>
        <v>#VALUE!</v>
      </c>
      <c r="AE500" s="4" t="e">
        <f t="shared" si="19"/>
        <v>#VALUE!</v>
      </c>
    </row>
    <row r="501" spans="8:31" x14ac:dyDescent="0.2"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AC501" t="e">
        <f ca="1">RANK(AB501,OFFSET($AB$2,0,0,#REF!,1))</f>
        <v>#REF!</v>
      </c>
      <c r="AD501" s="4" t="e">
        <f>InsurerSize(#REF!)</f>
        <v>#VALUE!</v>
      </c>
      <c r="AE501" s="4" t="e">
        <f t="shared" si="19"/>
        <v>#VALUE!</v>
      </c>
    </row>
    <row r="502" spans="8:31" x14ac:dyDescent="0.2"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AC502" t="e">
        <f ca="1">RANK(AB502,OFFSET($AB$2,0,0,#REF!,1))</f>
        <v>#REF!</v>
      </c>
      <c r="AD502" s="4" t="e">
        <f>InsurerSize(#REF!)</f>
        <v>#VALUE!</v>
      </c>
      <c r="AE502" s="4" t="e">
        <f t="shared" si="19"/>
        <v>#VALUE!</v>
      </c>
    </row>
    <row r="503" spans="8:31" x14ac:dyDescent="0.2"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AC503" t="e">
        <f ca="1">RANK(AB503,OFFSET($AB$2,0,0,#REF!,1))</f>
        <v>#REF!</v>
      </c>
      <c r="AD503" s="4" t="e">
        <f>InsurerSize(#REF!)</f>
        <v>#VALUE!</v>
      </c>
      <c r="AE503" s="4" t="e">
        <f t="shared" si="19"/>
        <v>#VALUE!</v>
      </c>
    </row>
    <row r="504" spans="8:31" x14ac:dyDescent="0.2"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AC504" t="e">
        <f ca="1">RANK(AB504,OFFSET($AB$2,0,0,#REF!,1))</f>
        <v>#REF!</v>
      </c>
      <c r="AD504" s="4" t="e">
        <f>InsurerSize(#REF!)</f>
        <v>#VALUE!</v>
      </c>
      <c r="AE504" s="4" t="e">
        <f t="shared" si="19"/>
        <v>#VALUE!</v>
      </c>
    </row>
    <row r="505" spans="8:31" x14ac:dyDescent="0.2"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AC505" t="e">
        <f ca="1">RANK(AB505,OFFSET($AB$2,0,0,#REF!,1))</f>
        <v>#REF!</v>
      </c>
      <c r="AD505" s="4" t="e">
        <f>InsurerSize(#REF!)</f>
        <v>#VALUE!</v>
      </c>
      <c r="AE505" s="4" t="e">
        <f t="shared" si="19"/>
        <v>#VALUE!</v>
      </c>
    </row>
    <row r="506" spans="8:31" x14ac:dyDescent="0.2"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AC506" t="e">
        <f ca="1">RANK(AB506,OFFSET($AB$2,0,0,#REF!,1))</f>
        <v>#REF!</v>
      </c>
      <c r="AD506" s="4" t="e">
        <f>InsurerSize(#REF!)</f>
        <v>#VALUE!</v>
      </c>
      <c r="AE506" s="4" t="e">
        <f t="shared" si="19"/>
        <v>#VALUE!</v>
      </c>
    </row>
    <row r="507" spans="8:31" x14ac:dyDescent="0.2"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AC507" t="e">
        <f ca="1">RANK(AB507,OFFSET($AB$2,0,0,#REF!,1))</f>
        <v>#REF!</v>
      </c>
      <c r="AD507" s="4" t="e">
        <f>InsurerSize(#REF!)</f>
        <v>#VALUE!</v>
      </c>
      <c r="AE507" s="4" t="e">
        <f t="shared" si="19"/>
        <v>#VALUE!</v>
      </c>
    </row>
    <row r="508" spans="8:31" x14ac:dyDescent="0.2"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AC508" t="e">
        <f ca="1">RANK(AB508,OFFSET($AB$2,0,0,#REF!,1))</f>
        <v>#REF!</v>
      </c>
      <c r="AD508" s="4" t="e">
        <f>InsurerSize(#REF!)</f>
        <v>#VALUE!</v>
      </c>
      <c r="AE508" s="4" t="e">
        <f t="shared" si="19"/>
        <v>#VALUE!</v>
      </c>
    </row>
    <row r="509" spans="8:31" x14ac:dyDescent="0.2"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AC509" t="e">
        <f ca="1">RANK(AB509,OFFSET($AB$2,0,0,#REF!,1))</f>
        <v>#REF!</v>
      </c>
      <c r="AD509" s="4" t="e">
        <f>InsurerSize(#REF!)</f>
        <v>#VALUE!</v>
      </c>
      <c r="AE509" s="4" t="e">
        <f t="shared" si="19"/>
        <v>#VALUE!</v>
      </c>
    </row>
    <row r="510" spans="8:31" x14ac:dyDescent="0.2"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AC510" t="e">
        <f ca="1">RANK(AB510,OFFSET($AB$2,0,0,#REF!,1))</f>
        <v>#REF!</v>
      </c>
      <c r="AD510" s="4" t="e">
        <f>InsurerSize(#REF!)</f>
        <v>#VALUE!</v>
      </c>
      <c r="AE510" s="4" t="e">
        <f t="shared" si="19"/>
        <v>#VALUE!</v>
      </c>
    </row>
    <row r="511" spans="8:31" x14ac:dyDescent="0.2"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AC511" t="e">
        <f ca="1">RANK(AB511,OFFSET($AB$2,0,0,#REF!,1))</f>
        <v>#REF!</v>
      </c>
      <c r="AD511" s="4" t="e">
        <f>InsurerSize(#REF!)</f>
        <v>#VALUE!</v>
      </c>
      <c r="AE511" s="4" t="e">
        <f t="shared" si="19"/>
        <v>#VALUE!</v>
      </c>
    </row>
    <row r="512" spans="8:31" x14ac:dyDescent="0.2"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AC512" t="e">
        <f ca="1">RANK(AB512,OFFSET($AB$2,0,0,#REF!,1))</f>
        <v>#REF!</v>
      </c>
      <c r="AD512" s="4" t="e">
        <f>InsurerSize(#REF!)</f>
        <v>#VALUE!</v>
      </c>
      <c r="AE512" s="4" t="e">
        <f t="shared" si="19"/>
        <v>#VALUE!</v>
      </c>
    </row>
    <row r="513" spans="8:31" x14ac:dyDescent="0.2"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AC513" t="e">
        <f ca="1">RANK(AB513,OFFSET($AB$2,0,0,#REF!,1))</f>
        <v>#REF!</v>
      </c>
      <c r="AD513" s="4" t="e">
        <f>InsurerSize(#REF!)</f>
        <v>#VALUE!</v>
      </c>
      <c r="AE513" s="4" t="e">
        <f t="shared" si="19"/>
        <v>#VALUE!</v>
      </c>
    </row>
    <row r="514" spans="8:31" x14ac:dyDescent="0.2"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AC514" t="e">
        <f ca="1">RANK(AB514,OFFSET($AB$2,0,0,#REF!,1))</f>
        <v>#REF!</v>
      </c>
      <c r="AD514" s="4" t="e">
        <f>InsurerSize(#REF!)</f>
        <v>#VALUE!</v>
      </c>
      <c r="AE514" s="4" t="e">
        <f t="shared" ref="AE514:AE577" si="20">A514&amp;AD514</f>
        <v>#VALUE!</v>
      </c>
    </row>
    <row r="515" spans="8:31" x14ac:dyDescent="0.2"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AC515" t="e">
        <f ca="1">RANK(AB515,OFFSET($AB$2,0,0,#REF!,1))</f>
        <v>#REF!</v>
      </c>
      <c r="AD515" s="4" t="e">
        <f>InsurerSize(#REF!)</f>
        <v>#VALUE!</v>
      </c>
      <c r="AE515" s="4" t="e">
        <f t="shared" si="20"/>
        <v>#VALUE!</v>
      </c>
    </row>
    <row r="516" spans="8:31" x14ac:dyDescent="0.2"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AC516" t="e">
        <f ca="1">RANK(AB516,OFFSET($AB$2,0,0,#REF!,1))</f>
        <v>#REF!</v>
      </c>
      <c r="AD516" s="4" t="e">
        <f>InsurerSize(#REF!)</f>
        <v>#VALUE!</v>
      </c>
      <c r="AE516" s="4" t="e">
        <f t="shared" si="20"/>
        <v>#VALUE!</v>
      </c>
    </row>
    <row r="517" spans="8:31" x14ac:dyDescent="0.2"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AC517" t="e">
        <f ca="1">RANK(AB517,OFFSET($AB$2,0,0,#REF!,1))</f>
        <v>#REF!</v>
      </c>
      <c r="AD517" s="4" t="e">
        <f>InsurerSize(#REF!)</f>
        <v>#VALUE!</v>
      </c>
      <c r="AE517" s="4" t="e">
        <f t="shared" si="20"/>
        <v>#VALUE!</v>
      </c>
    </row>
    <row r="518" spans="8:31" x14ac:dyDescent="0.2"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AC518" t="e">
        <f ca="1">RANK(AB518,OFFSET($AB$2,0,0,#REF!,1))</f>
        <v>#REF!</v>
      </c>
      <c r="AD518" s="4" t="e">
        <f>InsurerSize(#REF!)</f>
        <v>#VALUE!</v>
      </c>
      <c r="AE518" s="4" t="e">
        <f t="shared" si="20"/>
        <v>#VALUE!</v>
      </c>
    </row>
    <row r="519" spans="8:31" x14ac:dyDescent="0.2"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AC519" t="e">
        <f ca="1">RANK(AB519,OFFSET($AB$2,0,0,#REF!,1))</f>
        <v>#REF!</v>
      </c>
      <c r="AD519" s="4" t="e">
        <f>InsurerSize(#REF!)</f>
        <v>#VALUE!</v>
      </c>
      <c r="AE519" s="4" t="e">
        <f t="shared" si="20"/>
        <v>#VALUE!</v>
      </c>
    </row>
    <row r="520" spans="8:31" x14ac:dyDescent="0.2"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AC520" t="e">
        <f ca="1">RANK(AB520,OFFSET($AB$2,0,0,#REF!,1))</f>
        <v>#REF!</v>
      </c>
      <c r="AD520" s="4" t="e">
        <f>InsurerSize(#REF!)</f>
        <v>#VALUE!</v>
      </c>
      <c r="AE520" s="4" t="e">
        <f t="shared" si="20"/>
        <v>#VALUE!</v>
      </c>
    </row>
    <row r="521" spans="8:31" x14ac:dyDescent="0.2"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AC521" t="e">
        <f ca="1">RANK(AB521,OFFSET($AB$2,0,0,#REF!,1))</f>
        <v>#REF!</v>
      </c>
      <c r="AD521" s="4" t="e">
        <f>InsurerSize(#REF!)</f>
        <v>#VALUE!</v>
      </c>
      <c r="AE521" s="4" t="e">
        <f t="shared" si="20"/>
        <v>#VALUE!</v>
      </c>
    </row>
    <row r="522" spans="8:31" x14ac:dyDescent="0.2"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AC522" t="e">
        <f ca="1">RANK(AB522,OFFSET($AB$2,0,0,#REF!,1))</f>
        <v>#REF!</v>
      </c>
      <c r="AD522" s="4" t="e">
        <f>InsurerSize(#REF!)</f>
        <v>#VALUE!</v>
      </c>
      <c r="AE522" s="4" t="e">
        <f t="shared" si="20"/>
        <v>#VALUE!</v>
      </c>
    </row>
    <row r="523" spans="8:31" x14ac:dyDescent="0.2"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AC523" t="e">
        <f ca="1">RANK(AB523,OFFSET($AB$2,0,0,#REF!,1))</f>
        <v>#REF!</v>
      </c>
      <c r="AD523" s="4" t="e">
        <f>InsurerSize(#REF!)</f>
        <v>#VALUE!</v>
      </c>
      <c r="AE523" s="4" t="e">
        <f t="shared" si="20"/>
        <v>#VALUE!</v>
      </c>
    </row>
    <row r="524" spans="8:31" x14ac:dyDescent="0.2"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AC524" t="e">
        <f ca="1">RANK(AB524,OFFSET($AB$2,0,0,#REF!,1))</f>
        <v>#REF!</v>
      </c>
      <c r="AD524" s="4" t="e">
        <f>InsurerSize(#REF!)</f>
        <v>#VALUE!</v>
      </c>
      <c r="AE524" s="4" t="e">
        <f t="shared" si="20"/>
        <v>#VALUE!</v>
      </c>
    </row>
    <row r="525" spans="8:31" x14ac:dyDescent="0.2"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AC525" t="e">
        <f ca="1">RANK(AB525,OFFSET($AB$2,0,0,#REF!,1))</f>
        <v>#REF!</v>
      </c>
      <c r="AD525" s="4" t="e">
        <f>InsurerSize(#REF!)</f>
        <v>#VALUE!</v>
      </c>
      <c r="AE525" s="4" t="e">
        <f t="shared" si="20"/>
        <v>#VALUE!</v>
      </c>
    </row>
    <row r="526" spans="8:31" x14ac:dyDescent="0.2"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AC526" t="e">
        <f ca="1">RANK(AB526,OFFSET($AB$2,0,0,#REF!,1))</f>
        <v>#REF!</v>
      </c>
      <c r="AD526" s="4" t="e">
        <f>InsurerSize(#REF!)</f>
        <v>#VALUE!</v>
      </c>
      <c r="AE526" s="4" t="e">
        <f t="shared" si="20"/>
        <v>#VALUE!</v>
      </c>
    </row>
    <row r="527" spans="8:31" x14ac:dyDescent="0.2"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AC527" t="e">
        <f ca="1">RANK(AB527,OFFSET($AB$2,0,0,#REF!,1))</f>
        <v>#REF!</v>
      </c>
      <c r="AD527" s="4" t="e">
        <f>InsurerSize(#REF!)</f>
        <v>#VALUE!</v>
      </c>
      <c r="AE527" s="4" t="e">
        <f t="shared" si="20"/>
        <v>#VALUE!</v>
      </c>
    </row>
    <row r="528" spans="8:31" x14ac:dyDescent="0.2"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AC528" t="e">
        <f ca="1">RANK(AB528,OFFSET($AB$2,0,0,#REF!,1))</f>
        <v>#REF!</v>
      </c>
      <c r="AD528" s="4" t="e">
        <f>InsurerSize(#REF!)</f>
        <v>#VALUE!</v>
      </c>
      <c r="AE528" s="4" t="e">
        <f t="shared" si="20"/>
        <v>#VALUE!</v>
      </c>
    </row>
    <row r="529" spans="8:31" x14ac:dyDescent="0.2"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AC529" t="e">
        <f ca="1">RANK(AB529,OFFSET($AB$2,0,0,#REF!,1))</f>
        <v>#REF!</v>
      </c>
      <c r="AD529" s="4" t="e">
        <f>InsurerSize(#REF!)</f>
        <v>#VALUE!</v>
      </c>
      <c r="AE529" s="4" t="e">
        <f t="shared" si="20"/>
        <v>#VALUE!</v>
      </c>
    </row>
    <row r="530" spans="8:31" x14ac:dyDescent="0.2"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AC530" t="e">
        <f ca="1">RANK(AB530,OFFSET($AB$2,0,0,#REF!,1))</f>
        <v>#REF!</v>
      </c>
      <c r="AD530" s="4" t="e">
        <f>InsurerSize(#REF!)</f>
        <v>#VALUE!</v>
      </c>
      <c r="AE530" s="4" t="e">
        <f t="shared" si="20"/>
        <v>#VALUE!</v>
      </c>
    </row>
    <row r="531" spans="8:31" x14ac:dyDescent="0.2"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AC531" t="e">
        <f ca="1">RANK(AB531,OFFSET($AB$2,0,0,#REF!,1))</f>
        <v>#REF!</v>
      </c>
      <c r="AD531" s="4" t="e">
        <f>InsurerSize(#REF!)</f>
        <v>#VALUE!</v>
      </c>
      <c r="AE531" s="4" t="e">
        <f t="shared" si="20"/>
        <v>#VALUE!</v>
      </c>
    </row>
    <row r="532" spans="8:31" x14ac:dyDescent="0.2"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AC532" t="e">
        <f ca="1">RANK(AB532,OFFSET($AB$2,0,0,#REF!,1))</f>
        <v>#REF!</v>
      </c>
      <c r="AD532" s="4" t="e">
        <f>InsurerSize(#REF!)</f>
        <v>#VALUE!</v>
      </c>
      <c r="AE532" s="4" t="e">
        <f t="shared" si="20"/>
        <v>#VALUE!</v>
      </c>
    </row>
    <row r="533" spans="8:31" x14ac:dyDescent="0.2"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AC533" t="e">
        <f ca="1">RANK(AB533,OFFSET($AB$2,0,0,#REF!,1))</f>
        <v>#REF!</v>
      </c>
      <c r="AD533" s="4" t="e">
        <f>InsurerSize(#REF!)</f>
        <v>#VALUE!</v>
      </c>
      <c r="AE533" s="4" t="e">
        <f t="shared" si="20"/>
        <v>#VALUE!</v>
      </c>
    </row>
    <row r="534" spans="8:31" x14ac:dyDescent="0.2"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AC534" t="e">
        <f ca="1">RANK(AB534,OFFSET($AB$2,0,0,#REF!,1))</f>
        <v>#REF!</v>
      </c>
      <c r="AD534" s="4" t="e">
        <f>InsurerSize(#REF!)</f>
        <v>#VALUE!</v>
      </c>
      <c r="AE534" s="4" t="e">
        <f t="shared" si="20"/>
        <v>#VALUE!</v>
      </c>
    </row>
    <row r="535" spans="8:31" x14ac:dyDescent="0.2"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AC535" t="e">
        <f ca="1">RANK(AB535,OFFSET($AB$2,0,0,#REF!,1))</f>
        <v>#REF!</v>
      </c>
      <c r="AD535" s="4" t="e">
        <f>InsurerSize(#REF!)</f>
        <v>#VALUE!</v>
      </c>
      <c r="AE535" s="4" t="e">
        <f t="shared" si="20"/>
        <v>#VALUE!</v>
      </c>
    </row>
    <row r="536" spans="8:31" x14ac:dyDescent="0.2"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AC536" t="e">
        <f ca="1">RANK(AB536,OFFSET($AB$2,0,0,#REF!,1))</f>
        <v>#REF!</v>
      </c>
      <c r="AD536" s="4" t="e">
        <f>InsurerSize(#REF!)</f>
        <v>#VALUE!</v>
      </c>
      <c r="AE536" s="4" t="e">
        <f t="shared" si="20"/>
        <v>#VALUE!</v>
      </c>
    </row>
    <row r="537" spans="8:31" x14ac:dyDescent="0.2"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AC537" t="e">
        <f ca="1">RANK(AB537,OFFSET($AB$2,0,0,#REF!,1))</f>
        <v>#REF!</v>
      </c>
      <c r="AD537" s="4" t="e">
        <f>InsurerSize(#REF!)</f>
        <v>#VALUE!</v>
      </c>
      <c r="AE537" s="4" t="e">
        <f t="shared" si="20"/>
        <v>#VALUE!</v>
      </c>
    </row>
    <row r="538" spans="8:31" x14ac:dyDescent="0.2"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AC538" t="e">
        <f ca="1">RANK(AB538,OFFSET($AB$2,0,0,#REF!,1))</f>
        <v>#REF!</v>
      </c>
      <c r="AD538" s="4" t="e">
        <f>InsurerSize(#REF!)</f>
        <v>#VALUE!</v>
      </c>
      <c r="AE538" s="4" t="e">
        <f t="shared" si="20"/>
        <v>#VALUE!</v>
      </c>
    </row>
    <row r="539" spans="8:31" x14ac:dyDescent="0.2"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AC539" t="e">
        <f ca="1">RANK(AB539,OFFSET($AB$2,0,0,#REF!,1))</f>
        <v>#REF!</v>
      </c>
      <c r="AD539" s="4" t="e">
        <f>InsurerSize(#REF!)</f>
        <v>#VALUE!</v>
      </c>
      <c r="AE539" s="4" t="e">
        <f t="shared" si="20"/>
        <v>#VALUE!</v>
      </c>
    </row>
    <row r="540" spans="8:31" x14ac:dyDescent="0.2"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AC540" t="e">
        <f ca="1">RANK(AB540,OFFSET($AB$2,0,0,#REF!,1))</f>
        <v>#REF!</v>
      </c>
      <c r="AD540" s="4" t="e">
        <f>InsurerSize(#REF!)</f>
        <v>#VALUE!</v>
      </c>
      <c r="AE540" s="4" t="e">
        <f t="shared" si="20"/>
        <v>#VALUE!</v>
      </c>
    </row>
    <row r="541" spans="8:31" x14ac:dyDescent="0.2"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AC541" t="e">
        <f ca="1">RANK(AB541,OFFSET($AB$2,0,0,#REF!,1))</f>
        <v>#REF!</v>
      </c>
      <c r="AD541" s="4" t="e">
        <f>InsurerSize(#REF!)</f>
        <v>#VALUE!</v>
      </c>
      <c r="AE541" s="4" t="e">
        <f t="shared" si="20"/>
        <v>#VALUE!</v>
      </c>
    </row>
    <row r="542" spans="8:31" x14ac:dyDescent="0.2"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AC542" t="e">
        <f ca="1">RANK(AB542,OFFSET($AB$2,0,0,#REF!,1))</f>
        <v>#REF!</v>
      </c>
      <c r="AD542" s="4" t="e">
        <f>InsurerSize(#REF!)</f>
        <v>#VALUE!</v>
      </c>
      <c r="AE542" s="4" t="e">
        <f t="shared" si="20"/>
        <v>#VALUE!</v>
      </c>
    </row>
    <row r="543" spans="8:31" x14ac:dyDescent="0.2"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AC543" t="e">
        <f ca="1">RANK(AB543,OFFSET($AB$2,0,0,#REF!,1))</f>
        <v>#REF!</v>
      </c>
      <c r="AD543" s="4" t="e">
        <f>InsurerSize(#REF!)</f>
        <v>#VALUE!</v>
      </c>
      <c r="AE543" s="4" t="e">
        <f t="shared" si="20"/>
        <v>#VALUE!</v>
      </c>
    </row>
    <row r="544" spans="8:31" x14ac:dyDescent="0.2"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AC544" t="e">
        <f ca="1">RANK(AB544,OFFSET($AB$2,0,0,#REF!,1))</f>
        <v>#REF!</v>
      </c>
      <c r="AD544" s="4" t="e">
        <f>InsurerSize(#REF!)</f>
        <v>#VALUE!</v>
      </c>
      <c r="AE544" s="4" t="e">
        <f t="shared" si="20"/>
        <v>#VALUE!</v>
      </c>
    </row>
    <row r="545" spans="8:31" x14ac:dyDescent="0.2"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AC545" t="e">
        <f ca="1">RANK(AB545,OFFSET($AB$2,0,0,#REF!,1))</f>
        <v>#REF!</v>
      </c>
      <c r="AD545" s="4" t="e">
        <f>InsurerSize(#REF!)</f>
        <v>#VALUE!</v>
      </c>
      <c r="AE545" s="4" t="e">
        <f t="shared" si="20"/>
        <v>#VALUE!</v>
      </c>
    </row>
    <row r="546" spans="8:31" x14ac:dyDescent="0.2"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AC546" t="e">
        <f ca="1">RANK(AB546,OFFSET($AB$2,0,0,#REF!,1))</f>
        <v>#REF!</v>
      </c>
      <c r="AD546" s="4" t="e">
        <f>InsurerSize(#REF!)</f>
        <v>#VALUE!</v>
      </c>
      <c r="AE546" s="4" t="e">
        <f t="shared" si="20"/>
        <v>#VALUE!</v>
      </c>
    </row>
    <row r="547" spans="8:31" x14ac:dyDescent="0.2"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AC547" t="e">
        <f ca="1">RANK(AB547,OFFSET($AB$2,0,0,#REF!,1))</f>
        <v>#REF!</v>
      </c>
      <c r="AD547" s="4" t="e">
        <f>InsurerSize(#REF!)</f>
        <v>#VALUE!</v>
      </c>
      <c r="AE547" s="4" t="e">
        <f t="shared" si="20"/>
        <v>#VALUE!</v>
      </c>
    </row>
    <row r="548" spans="8:31" x14ac:dyDescent="0.2"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AC548" t="e">
        <f ca="1">RANK(AB548,OFFSET($AB$2,0,0,#REF!,1))</f>
        <v>#REF!</v>
      </c>
      <c r="AD548" s="4" t="e">
        <f>InsurerSize(#REF!)</f>
        <v>#VALUE!</v>
      </c>
      <c r="AE548" s="4" t="e">
        <f t="shared" si="20"/>
        <v>#VALUE!</v>
      </c>
    </row>
    <row r="549" spans="8:31" x14ac:dyDescent="0.2"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AC549" t="e">
        <f ca="1">RANK(AB549,OFFSET($AB$2,0,0,#REF!,1))</f>
        <v>#REF!</v>
      </c>
      <c r="AD549" s="4" t="e">
        <f>InsurerSize(#REF!)</f>
        <v>#VALUE!</v>
      </c>
      <c r="AE549" s="4" t="e">
        <f t="shared" si="20"/>
        <v>#VALUE!</v>
      </c>
    </row>
    <row r="550" spans="8:31" x14ac:dyDescent="0.2"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AC550" t="e">
        <f ca="1">RANK(AB550,OFFSET($AB$2,0,0,#REF!,1))</f>
        <v>#REF!</v>
      </c>
      <c r="AD550" s="4" t="e">
        <f>InsurerSize(#REF!)</f>
        <v>#VALUE!</v>
      </c>
      <c r="AE550" s="4" t="e">
        <f t="shared" si="20"/>
        <v>#VALUE!</v>
      </c>
    </row>
    <row r="551" spans="8:31" x14ac:dyDescent="0.2"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AC551" t="e">
        <f ca="1">RANK(AB551,OFFSET($AB$2,0,0,#REF!,1))</f>
        <v>#REF!</v>
      </c>
      <c r="AD551" s="4" t="e">
        <f>InsurerSize(#REF!)</f>
        <v>#VALUE!</v>
      </c>
      <c r="AE551" s="4" t="e">
        <f t="shared" si="20"/>
        <v>#VALUE!</v>
      </c>
    </row>
    <row r="552" spans="8:31" x14ac:dyDescent="0.2"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AC552" t="e">
        <f ca="1">RANK(AB552,OFFSET($AB$2,0,0,#REF!,1))</f>
        <v>#REF!</v>
      </c>
      <c r="AD552" s="4" t="e">
        <f>InsurerSize(#REF!)</f>
        <v>#VALUE!</v>
      </c>
      <c r="AE552" s="4" t="e">
        <f t="shared" si="20"/>
        <v>#VALUE!</v>
      </c>
    </row>
    <row r="553" spans="8:31" x14ac:dyDescent="0.2"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AC553" t="e">
        <f ca="1">RANK(AB553,OFFSET($AB$2,0,0,#REF!,1))</f>
        <v>#REF!</v>
      </c>
      <c r="AD553" s="4" t="e">
        <f>InsurerSize(#REF!)</f>
        <v>#VALUE!</v>
      </c>
      <c r="AE553" s="4" t="e">
        <f t="shared" si="20"/>
        <v>#VALUE!</v>
      </c>
    </row>
    <row r="554" spans="8:31" x14ac:dyDescent="0.2"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AC554" t="e">
        <f ca="1">RANK(AB554,OFFSET($AB$2,0,0,#REF!,1))</f>
        <v>#REF!</v>
      </c>
      <c r="AD554" s="4" t="e">
        <f>InsurerSize(#REF!)</f>
        <v>#VALUE!</v>
      </c>
      <c r="AE554" s="4" t="e">
        <f t="shared" si="20"/>
        <v>#VALUE!</v>
      </c>
    </row>
    <row r="555" spans="8:31" x14ac:dyDescent="0.2"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AC555" t="e">
        <f ca="1">RANK(AB555,OFFSET($AB$2,0,0,#REF!,1))</f>
        <v>#REF!</v>
      </c>
      <c r="AD555" s="4" t="e">
        <f>InsurerSize(#REF!)</f>
        <v>#VALUE!</v>
      </c>
      <c r="AE555" s="4" t="e">
        <f t="shared" si="20"/>
        <v>#VALUE!</v>
      </c>
    </row>
    <row r="556" spans="8:31" x14ac:dyDescent="0.2"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AC556" t="e">
        <f ca="1">RANK(AB556,OFFSET($AB$2,0,0,#REF!,1))</f>
        <v>#REF!</v>
      </c>
      <c r="AD556" s="4" t="e">
        <f>InsurerSize(#REF!)</f>
        <v>#VALUE!</v>
      </c>
      <c r="AE556" s="4" t="e">
        <f t="shared" si="20"/>
        <v>#VALUE!</v>
      </c>
    </row>
    <row r="557" spans="8:31" x14ac:dyDescent="0.2"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AC557" t="e">
        <f ca="1">RANK(AB557,OFFSET($AB$2,0,0,#REF!,1))</f>
        <v>#REF!</v>
      </c>
      <c r="AD557" s="4" t="e">
        <f>InsurerSize(#REF!)</f>
        <v>#VALUE!</v>
      </c>
      <c r="AE557" s="4" t="e">
        <f t="shared" si="20"/>
        <v>#VALUE!</v>
      </c>
    </row>
    <row r="558" spans="8:31" x14ac:dyDescent="0.2"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AC558" t="e">
        <f ca="1">RANK(AB558,OFFSET($AB$2,0,0,#REF!,1))</f>
        <v>#REF!</v>
      </c>
      <c r="AD558" s="4" t="e">
        <f>InsurerSize(#REF!)</f>
        <v>#VALUE!</v>
      </c>
      <c r="AE558" s="4" t="e">
        <f t="shared" si="20"/>
        <v>#VALUE!</v>
      </c>
    </row>
    <row r="559" spans="8:31" x14ac:dyDescent="0.2"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AC559" t="e">
        <f ca="1">RANK(AB559,OFFSET($AB$2,0,0,#REF!,1))</f>
        <v>#REF!</v>
      </c>
      <c r="AD559" s="4" t="e">
        <f>InsurerSize(#REF!)</f>
        <v>#VALUE!</v>
      </c>
      <c r="AE559" s="4" t="e">
        <f t="shared" si="20"/>
        <v>#VALUE!</v>
      </c>
    </row>
    <row r="560" spans="8:31" x14ac:dyDescent="0.2"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AC560" t="e">
        <f ca="1">RANK(AB560,OFFSET($AB$2,0,0,#REF!,1))</f>
        <v>#REF!</v>
      </c>
      <c r="AD560" s="4" t="e">
        <f>InsurerSize(#REF!)</f>
        <v>#VALUE!</v>
      </c>
      <c r="AE560" s="4" t="e">
        <f t="shared" si="20"/>
        <v>#VALUE!</v>
      </c>
    </row>
    <row r="561" spans="8:31" x14ac:dyDescent="0.2"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AC561" t="e">
        <f ca="1">RANK(AB561,OFFSET($AB$2,0,0,#REF!,1))</f>
        <v>#REF!</v>
      </c>
      <c r="AD561" s="4" t="e">
        <f>InsurerSize(#REF!)</f>
        <v>#VALUE!</v>
      </c>
      <c r="AE561" s="4" t="e">
        <f t="shared" si="20"/>
        <v>#VALUE!</v>
      </c>
    </row>
    <row r="562" spans="8:31" x14ac:dyDescent="0.2"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AC562" t="e">
        <f ca="1">RANK(AB562,OFFSET($AB$2,0,0,#REF!,1))</f>
        <v>#REF!</v>
      </c>
      <c r="AD562" s="4" t="e">
        <f>InsurerSize(#REF!)</f>
        <v>#VALUE!</v>
      </c>
      <c r="AE562" s="4" t="e">
        <f t="shared" si="20"/>
        <v>#VALUE!</v>
      </c>
    </row>
    <row r="563" spans="8:31" x14ac:dyDescent="0.2"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AC563" t="e">
        <f ca="1">RANK(AB563,OFFSET($AB$2,0,0,#REF!,1))</f>
        <v>#REF!</v>
      </c>
      <c r="AD563" s="4" t="e">
        <f>InsurerSize(#REF!)</f>
        <v>#VALUE!</v>
      </c>
      <c r="AE563" s="4" t="e">
        <f t="shared" si="20"/>
        <v>#VALUE!</v>
      </c>
    </row>
    <row r="564" spans="8:31" x14ac:dyDescent="0.2"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AC564" t="e">
        <f ca="1">RANK(AB564,OFFSET($AB$2,0,0,#REF!,1))</f>
        <v>#REF!</v>
      </c>
      <c r="AD564" s="4" t="e">
        <f>InsurerSize(#REF!)</f>
        <v>#VALUE!</v>
      </c>
      <c r="AE564" s="4" t="e">
        <f t="shared" si="20"/>
        <v>#VALUE!</v>
      </c>
    </row>
    <row r="565" spans="8:31" x14ac:dyDescent="0.2"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AC565" t="e">
        <f ca="1">RANK(AB565,OFFSET($AB$2,0,0,#REF!,1))</f>
        <v>#REF!</v>
      </c>
      <c r="AD565" s="4" t="e">
        <f>InsurerSize(#REF!)</f>
        <v>#VALUE!</v>
      </c>
      <c r="AE565" s="4" t="e">
        <f t="shared" si="20"/>
        <v>#VALUE!</v>
      </c>
    </row>
    <row r="566" spans="8:31" x14ac:dyDescent="0.2"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AC566" t="e">
        <f ca="1">RANK(AB566,OFFSET($AB$2,0,0,#REF!,1))</f>
        <v>#REF!</v>
      </c>
      <c r="AD566" s="4" t="e">
        <f>InsurerSize(#REF!)</f>
        <v>#VALUE!</v>
      </c>
      <c r="AE566" s="4" t="e">
        <f t="shared" si="20"/>
        <v>#VALUE!</v>
      </c>
    </row>
    <row r="567" spans="8:31" x14ac:dyDescent="0.2"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AC567" t="e">
        <f ca="1">RANK(AB567,OFFSET($AB$2,0,0,#REF!,1))</f>
        <v>#REF!</v>
      </c>
      <c r="AD567" s="4" t="e">
        <f>InsurerSize(#REF!)</f>
        <v>#VALUE!</v>
      </c>
      <c r="AE567" s="4" t="e">
        <f t="shared" si="20"/>
        <v>#VALUE!</v>
      </c>
    </row>
    <row r="568" spans="8:31" x14ac:dyDescent="0.2"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AC568" t="e">
        <f ca="1">RANK(AB568,OFFSET($AB$2,0,0,#REF!,1))</f>
        <v>#REF!</v>
      </c>
      <c r="AD568" s="4" t="e">
        <f>InsurerSize(#REF!)</f>
        <v>#VALUE!</v>
      </c>
      <c r="AE568" s="4" t="e">
        <f t="shared" si="20"/>
        <v>#VALUE!</v>
      </c>
    </row>
    <row r="569" spans="8:31" x14ac:dyDescent="0.2"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AC569" t="e">
        <f ca="1">RANK(AB569,OFFSET($AB$2,0,0,#REF!,1))</f>
        <v>#REF!</v>
      </c>
      <c r="AD569" s="4" t="e">
        <f>InsurerSize(#REF!)</f>
        <v>#VALUE!</v>
      </c>
      <c r="AE569" s="4" t="e">
        <f t="shared" si="20"/>
        <v>#VALUE!</v>
      </c>
    </row>
    <row r="570" spans="8:31" x14ac:dyDescent="0.2"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AC570" t="e">
        <f ca="1">RANK(AB570,OFFSET($AB$2,0,0,#REF!,1))</f>
        <v>#REF!</v>
      </c>
      <c r="AD570" s="4" t="e">
        <f>InsurerSize(#REF!)</f>
        <v>#VALUE!</v>
      </c>
      <c r="AE570" s="4" t="e">
        <f t="shared" si="20"/>
        <v>#VALUE!</v>
      </c>
    </row>
    <row r="571" spans="8:31" x14ac:dyDescent="0.2"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AC571" t="e">
        <f ca="1">RANK(AB571,OFFSET($AB$2,0,0,#REF!,1))</f>
        <v>#REF!</v>
      </c>
      <c r="AD571" s="4" t="e">
        <f>InsurerSize(#REF!)</f>
        <v>#VALUE!</v>
      </c>
      <c r="AE571" s="4" t="e">
        <f t="shared" si="20"/>
        <v>#VALUE!</v>
      </c>
    </row>
    <row r="572" spans="8:31" x14ac:dyDescent="0.2"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AC572" t="e">
        <f ca="1">RANK(AB572,OFFSET($AB$2,0,0,#REF!,1))</f>
        <v>#REF!</v>
      </c>
      <c r="AD572" s="4" t="e">
        <f>InsurerSize(#REF!)</f>
        <v>#VALUE!</v>
      </c>
      <c r="AE572" s="4" t="e">
        <f t="shared" si="20"/>
        <v>#VALUE!</v>
      </c>
    </row>
    <row r="573" spans="8:31" x14ac:dyDescent="0.2"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AC573" t="e">
        <f ca="1">RANK(AB573,OFFSET($AB$2,0,0,#REF!,1))</f>
        <v>#REF!</v>
      </c>
      <c r="AD573" s="4" t="e">
        <f>InsurerSize(#REF!)</f>
        <v>#VALUE!</v>
      </c>
      <c r="AE573" s="4" t="e">
        <f t="shared" si="20"/>
        <v>#VALUE!</v>
      </c>
    </row>
    <row r="574" spans="8:31" x14ac:dyDescent="0.2"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AC574" t="e">
        <f ca="1">RANK(AB574,OFFSET($AB$2,0,0,#REF!,1))</f>
        <v>#REF!</v>
      </c>
      <c r="AD574" s="4" t="e">
        <f>InsurerSize(#REF!)</f>
        <v>#VALUE!</v>
      </c>
      <c r="AE574" s="4" t="e">
        <f t="shared" si="20"/>
        <v>#VALUE!</v>
      </c>
    </row>
    <row r="575" spans="8:31" x14ac:dyDescent="0.2"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AC575" t="e">
        <f ca="1">RANK(AB575,OFFSET($AB$2,0,0,#REF!,1))</f>
        <v>#REF!</v>
      </c>
      <c r="AD575" s="4" t="e">
        <f>InsurerSize(#REF!)</f>
        <v>#VALUE!</v>
      </c>
      <c r="AE575" s="4" t="e">
        <f t="shared" si="20"/>
        <v>#VALUE!</v>
      </c>
    </row>
    <row r="576" spans="8:31" x14ac:dyDescent="0.2"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AC576" t="e">
        <f ca="1">RANK(AB576,OFFSET($AB$2,0,0,#REF!,1))</f>
        <v>#REF!</v>
      </c>
      <c r="AD576" s="4" t="e">
        <f>InsurerSize(#REF!)</f>
        <v>#VALUE!</v>
      </c>
      <c r="AE576" s="4" t="e">
        <f t="shared" si="20"/>
        <v>#VALUE!</v>
      </c>
    </row>
    <row r="577" spans="8:31" x14ac:dyDescent="0.2"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AC577" t="e">
        <f ca="1">RANK(AB577,OFFSET($AB$2,0,0,#REF!,1))</f>
        <v>#REF!</v>
      </c>
      <c r="AD577" s="4" t="e">
        <f>InsurerSize(#REF!)</f>
        <v>#VALUE!</v>
      </c>
      <c r="AE577" s="4" t="e">
        <f t="shared" si="20"/>
        <v>#VALUE!</v>
      </c>
    </row>
    <row r="578" spans="8:31" x14ac:dyDescent="0.2"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AC578" t="e">
        <f ca="1">RANK(AB578,OFFSET($AB$2,0,0,#REF!,1))</f>
        <v>#REF!</v>
      </c>
      <c r="AD578" s="4" t="e">
        <f>InsurerSize(#REF!)</f>
        <v>#VALUE!</v>
      </c>
      <c r="AE578" s="4" t="e">
        <f t="shared" ref="AE578:AE641" si="21">A578&amp;AD578</f>
        <v>#VALUE!</v>
      </c>
    </row>
    <row r="579" spans="8:31" x14ac:dyDescent="0.2"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AC579" t="e">
        <f ca="1">RANK(AB579,OFFSET($AB$2,0,0,#REF!,1))</f>
        <v>#REF!</v>
      </c>
      <c r="AD579" s="4" t="e">
        <f>InsurerSize(#REF!)</f>
        <v>#VALUE!</v>
      </c>
      <c r="AE579" s="4" t="e">
        <f t="shared" si="21"/>
        <v>#VALUE!</v>
      </c>
    </row>
    <row r="580" spans="8:31" x14ac:dyDescent="0.2"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AC580" t="e">
        <f ca="1">RANK(AB580,OFFSET($AB$2,0,0,#REF!,1))</f>
        <v>#REF!</v>
      </c>
      <c r="AD580" s="4" t="e">
        <f>InsurerSize(#REF!)</f>
        <v>#VALUE!</v>
      </c>
      <c r="AE580" s="4" t="e">
        <f t="shared" si="21"/>
        <v>#VALUE!</v>
      </c>
    </row>
    <row r="581" spans="8:31" x14ac:dyDescent="0.2"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AC581" t="e">
        <f ca="1">RANK(AB581,OFFSET($AB$2,0,0,#REF!,1))</f>
        <v>#REF!</v>
      </c>
      <c r="AD581" s="4" t="e">
        <f>InsurerSize(#REF!)</f>
        <v>#VALUE!</v>
      </c>
      <c r="AE581" s="4" t="e">
        <f t="shared" si="21"/>
        <v>#VALUE!</v>
      </c>
    </row>
    <row r="582" spans="8:31" x14ac:dyDescent="0.2"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AC582" t="e">
        <f ca="1">RANK(AB582,OFFSET($AB$2,0,0,#REF!,1))</f>
        <v>#REF!</v>
      </c>
      <c r="AD582" s="4" t="e">
        <f>InsurerSize(#REF!)</f>
        <v>#VALUE!</v>
      </c>
      <c r="AE582" s="4" t="e">
        <f t="shared" si="21"/>
        <v>#VALUE!</v>
      </c>
    </row>
    <row r="583" spans="8:31" x14ac:dyDescent="0.2"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AC583" t="e">
        <f ca="1">RANK(AB583,OFFSET($AB$2,0,0,#REF!,1))</f>
        <v>#REF!</v>
      </c>
      <c r="AD583" s="4" t="e">
        <f>InsurerSize(#REF!)</f>
        <v>#VALUE!</v>
      </c>
      <c r="AE583" s="4" t="e">
        <f t="shared" si="21"/>
        <v>#VALUE!</v>
      </c>
    </row>
    <row r="584" spans="8:31" x14ac:dyDescent="0.2"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AC584" t="e">
        <f ca="1">RANK(AB584,OFFSET($AB$2,0,0,#REF!,1))</f>
        <v>#REF!</v>
      </c>
      <c r="AD584" s="4" t="e">
        <f>InsurerSize(#REF!)</f>
        <v>#VALUE!</v>
      </c>
      <c r="AE584" s="4" t="e">
        <f t="shared" si="21"/>
        <v>#VALUE!</v>
      </c>
    </row>
    <row r="585" spans="8:31" x14ac:dyDescent="0.2"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AC585" t="e">
        <f ca="1">RANK(AB585,OFFSET($AB$2,0,0,#REF!,1))</f>
        <v>#REF!</v>
      </c>
      <c r="AD585" s="4" t="e">
        <f>InsurerSize(#REF!)</f>
        <v>#VALUE!</v>
      </c>
      <c r="AE585" s="4" t="e">
        <f t="shared" si="21"/>
        <v>#VALUE!</v>
      </c>
    </row>
    <row r="586" spans="8:31" x14ac:dyDescent="0.2"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AC586" t="e">
        <f ca="1">RANK(AB586,OFFSET($AB$2,0,0,#REF!,1))</f>
        <v>#REF!</v>
      </c>
      <c r="AD586" s="4" t="e">
        <f>InsurerSize(#REF!)</f>
        <v>#VALUE!</v>
      </c>
      <c r="AE586" s="4" t="e">
        <f t="shared" si="21"/>
        <v>#VALUE!</v>
      </c>
    </row>
    <row r="587" spans="8:31" x14ac:dyDescent="0.2"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AC587" t="e">
        <f ca="1">RANK(AB587,OFFSET($AB$2,0,0,#REF!,1))</f>
        <v>#REF!</v>
      </c>
      <c r="AD587" s="4" t="e">
        <f>InsurerSize(#REF!)</f>
        <v>#VALUE!</v>
      </c>
      <c r="AE587" s="4" t="e">
        <f t="shared" si="21"/>
        <v>#VALUE!</v>
      </c>
    </row>
    <row r="588" spans="8:31" x14ac:dyDescent="0.2"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AC588" t="e">
        <f ca="1">RANK(AB588,OFFSET($AB$2,0,0,#REF!,1))</f>
        <v>#REF!</v>
      </c>
      <c r="AD588" s="4" t="e">
        <f>InsurerSize(#REF!)</f>
        <v>#VALUE!</v>
      </c>
      <c r="AE588" s="4" t="e">
        <f t="shared" si="21"/>
        <v>#VALUE!</v>
      </c>
    </row>
    <row r="589" spans="8:31" x14ac:dyDescent="0.2"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AC589" t="e">
        <f ca="1">RANK(AB589,OFFSET($AB$2,0,0,#REF!,1))</f>
        <v>#REF!</v>
      </c>
      <c r="AD589" s="4" t="e">
        <f>InsurerSize(#REF!)</f>
        <v>#VALUE!</v>
      </c>
      <c r="AE589" s="4" t="e">
        <f t="shared" si="21"/>
        <v>#VALUE!</v>
      </c>
    </row>
    <row r="590" spans="8:31" x14ac:dyDescent="0.2"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AC590" t="e">
        <f ca="1">RANK(AB590,OFFSET($AB$2,0,0,#REF!,1))</f>
        <v>#REF!</v>
      </c>
      <c r="AD590" s="4" t="e">
        <f>InsurerSize(#REF!)</f>
        <v>#VALUE!</v>
      </c>
      <c r="AE590" s="4" t="e">
        <f t="shared" si="21"/>
        <v>#VALUE!</v>
      </c>
    </row>
    <row r="591" spans="8:31" x14ac:dyDescent="0.2"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AC591" t="e">
        <f ca="1">RANK(AB591,OFFSET($AB$2,0,0,#REF!,1))</f>
        <v>#REF!</v>
      </c>
      <c r="AD591" s="4" t="e">
        <f>InsurerSize(#REF!)</f>
        <v>#VALUE!</v>
      </c>
      <c r="AE591" s="4" t="e">
        <f t="shared" si="21"/>
        <v>#VALUE!</v>
      </c>
    </row>
    <row r="592" spans="8:31" x14ac:dyDescent="0.2"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AC592" t="e">
        <f ca="1">RANK(AB592,OFFSET($AB$2,0,0,#REF!,1))</f>
        <v>#REF!</v>
      </c>
      <c r="AD592" s="4" t="e">
        <f>InsurerSize(#REF!)</f>
        <v>#VALUE!</v>
      </c>
      <c r="AE592" s="4" t="e">
        <f t="shared" si="21"/>
        <v>#VALUE!</v>
      </c>
    </row>
    <row r="593" spans="8:31" x14ac:dyDescent="0.2"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AC593" t="e">
        <f ca="1">RANK(AB593,OFFSET($AB$2,0,0,#REF!,1))</f>
        <v>#REF!</v>
      </c>
      <c r="AD593" s="4" t="e">
        <f>InsurerSize(#REF!)</f>
        <v>#VALUE!</v>
      </c>
      <c r="AE593" s="4" t="e">
        <f t="shared" si="21"/>
        <v>#VALUE!</v>
      </c>
    </row>
    <row r="594" spans="8:31" x14ac:dyDescent="0.2"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AC594" t="e">
        <f ca="1">RANK(AB594,OFFSET($AB$2,0,0,#REF!,1))</f>
        <v>#REF!</v>
      </c>
      <c r="AD594" s="4" t="e">
        <f>InsurerSize(#REF!)</f>
        <v>#VALUE!</v>
      </c>
      <c r="AE594" s="4" t="e">
        <f t="shared" si="21"/>
        <v>#VALUE!</v>
      </c>
    </row>
    <row r="595" spans="8:31" x14ac:dyDescent="0.2"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AC595" t="e">
        <f ca="1">RANK(AB595,OFFSET($AB$2,0,0,#REF!,1))</f>
        <v>#REF!</v>
      </c>
      <c r="AD595" s="4" t="e">
        <f>InsurerSize(#REF!)</f>
        <v>#VALUE!</v>
      </c>
      <c r="AE595" s="4" t="e">
        <f t="shared" si="21"/>
        <v>#VALUE!</v>
      </c>
    </row>
    <row r="596" spans="8:31" x14ac:dyDescent="0.2"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AC596" t="e">
        <f ca="1">RANK(AB596,OFFSET($AB$2,0,0,#REF!,1))</f>
        <v>#REF!</v>
      </c>
      <c r="AD596" s="4" t="e">
        <f>InsurerSize(#REF!)</f>
        <v>#VALUE!</v>
      </c>
      <c r="AE596" s="4" t="e">
        <f t="shared" si="21"/>
        <v>#VALUE!</v>
      </c>
    </row>
    <row r="597" spans="8:31" x14ac:dyDescent="0.2"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AC597" t="e">
        <f ca="1">RANK(AB597,OFFSET($AB$2,0,0,#REF!,1))</f>
        <v>#REF!</v>
      </c>
      <c r="AD597" s="4" t="e">
        <f>InsurerSize(#REF!)</f>
        <v>#VALUE!</v>
      </c>
      <c r="AE597" s="4" t="e">
        <f t="shared" si="21"/>
        <v>#VALUE!</v>
      </c>
    </row>
    <row r="598" spans="8:31" x14ac:dyDescent="0.2"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AC598" t="e">
        <f ca="1">RANK(AB598,OFFSET($AB$2,0,0,#REF!,1))</f>
        <v>#REF!</v>
      </c>
      <c r="AD598" s="4" t="e">
        <f>InsurerSize(#REF!)</f>
        <v>#VALUE!</v>
      </c>
      <c r="AE598" s="4" t="e">
        <f t="shared" si="21"/>
        <v>#VALUE!</v>
      </c>
    </row>
    <row r="599" spans="8:31" x14ac:dyDescent="0.2"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AC599" t="e">
        <f ca="1">RANK(AB599,OFFSET($AB$2,0,0,#REF!,1))</f>
        <v>#REF!</v>
      </c>
      <c r="AD599" s="4" t="e">
        <f>InsurerSize(#REF!)</f>
        <v>#VALUE!</v>
      </c>
      <c r="AE599" s="4" t="e">
        <f t="shared" si="21"/>
        <v>#VALUE!</v>
      </c>
    </row>
    <row r="600" spans="8:31" x14ac:dyDescent="0.2"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AC600" t="e">
        <f ca="1">RANK(AB600,OFFSET($AB$2,0,0,#REF!,1))</f>
        <v>#REF!</v>
      </c>
      <c r="AD600" s="4" t="e">
        <f>InsurerSize(#REF!)</f>
        <v>#VALUE!</v>
      </c>
      <c r="AE600" s="4" t="e">
        <f t="shared" si="21"/>
        <v>#VALUE!</v>
      </c>
    </row>
    <row r="601" spans="8:31" x14ac:dyDescent="0.2"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AC601" t="e">
        <f ca="1">RANK(AB601,OFFSET($AB$2,0,0,#REF!,1))</f>
        <v>#REF!</v>
      </c>
      <c r="AD601" s="4" t="e">
        <f>InsurerSize(#REF!)</f>
        <v>#VALUE!</v>
      </c>
      <c r="AE601" s="4" t="e">
        <f t="shared" si="21"/>
        <v>#VALUE!</v>
      </c>
    </row>
    <row r="602" spans="8:31" x14ac:dyDescent="0.2"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AC602" t="e">
        <f ca="1">RANK(AB602,OFFSET($AB$2,0,0,#REF!,1))</f>
        <v>#REF!</v>
      </c>
      <c r="AD602" s="4" t="e">
        <f>InsurerSize(#REF!)</f>
        <v>#VALUE!</v>
      </c>
      <c r="AE602" s="4" t="e">
        <f t="shared" si="21"/>
        <v>#VALUE!</v>
      </c>
    </row>
    <row r="603" spans="8:31" x14ac:dyDescent="0.2"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AC603" t="e">
        <f ca="1">RANK(AB603,OFFSET($AB$2,0,0,#REF!,1))</f>
        <v>#REF!</v>
      </c>
      <c r="AD603" s="4" t="e">
        <f>InsurerSize(#REF!)</f>
        <v>#VALUE!</v>
      </c>
      <c r="AE603" s="4" t="e">
        <f t="shared" si="21"/>
        <v>#VALUE!</v>
      </c>
    </row>
    <row r="604" spans="8:31" x14ac:dyDescent="0.2"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AC604" t="e">
        <f ca="1">RANK(AB604,OFFSET($AB$2,0,0,#REF!,1))</f>
        <v>#REF!</v>
      </c>
      <c r="AD604" s="4" t="e">
        <f>InsurerSize(#REF!)</f>
        <v>#VALUE!</v>
      </c>
      <c r="AE604" s="4" t="e">
        <f t="shared" si="21"/>
        <v>#VALUE!</v>
      </c>
    </row>
    <row r="605" spans="8:31" x14ac:dyDescent="0.2"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AC605" t="e">
        <f ca="1">RANK(AB605,OFFSET($AB$2,0,0,#REF!,1))</f>
        <v>#REF!</v>
      </c>
      <c r="AD605" s="4" t="e">
        <f>InsurerSize(#REF!)</f>
        <v>#VALUE!</v>
      </c>
      <c r="AE605" s="4" t="e">
        <f t="shared" si="21"/>
        <v>#VALUE!</v>
      </c>
    </row>
    <row r="606" spans="8:31" x14ac:dyDescent="0.2"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AC606" t="e">
        <f ca="1">RANK(AB606,OFFSET($AB$2,0,0,#REF!,1))</f>
        <v>#REF!</v>
      </c>
      <c r="AD606" s="4" t="e">
        <f>InsurerSize(#REF!)</f>
        <v>#VALUE!</v>
      </c>
      <c r="AE606" s="4" t="e">
        <f t="shared" si="21"/>
        <v>#VALUE!</v>
      </c>
    </row>
    <row r="607" spans="8:31" x14ac:dyDescent="0.2"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AC607" t="e">
        <f ca="1">RANK(AB607,OFFSET($AB$2,0,0,#REF!,1))</f>
        <v>#REF!</v>
      </c>
      <c r="AD607" s="4" t="e">
        <f>InsurerSize(#REF!)</f>
        <v>#VALUE!</v>
      </c>
      <c r="AE607" s="4" t="e">
        <f t="shared" si="21"/>
        <v>#VALUE!</v>
      </c>
    </row>
    <row r="608" spans="8:31" x14ac:dyDescent="0.2"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AC608" t="e">
        <f ca="1">RANK(AB608,OFFSET($AB$2,0,0,#REF!,1))</f>
        <v>#REF!</v>
      </c>
      <c r="AD608" s="4" t="e">
        <f>InsurerSize(#REF!)</f>
        <v>#VALUE!</v>
      </c>
      <c r="AE608" s="4" t="e">
        <f t="shared" si="21"/>
        <v>#VALUE!</v>
      </c>
    </row>
    <row r="609" spans="8:31" x14ac:dyDescent="0.2"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AC609" t="e">
        <f ca="1">RANK(AB609,OFFSET($AB$2,0,0,#REF!,1))</f>
        <v>#REF!</v>
      </c>
      <c r="AD609" s="4" t="e">
        <f>InsurerSize(#REF!)</f>
        <v>#VALUE!</v>
      </c>
      <c r="AE609" s="4" t="e">
        <f t="shared" si="21"/>
        <v>#VALUE!</v>
      </c>
    </row>
    <row r="610" spans="8:31" x14ac:dyDescent="0.2"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AC610" t="e">
        <f ca="1">RANK(AB610,OFFSET($AB$2,0,0,#REF!,1))</f>
        <v>#REF!</v>
      </c>
      <c r="AD610" s="4" t="e">
        <f>InsurerSize(#REF!)</f>
        <v>#VALUE!</v>
      </c>
      <c r="AE610" s="4" t="e">
        <f t="shared" si="21"/>
        <v>#VALUE!</v>
      </c>
    </row>
    <row r="611" spans="8:31" x14ac:dyDescent="0.2"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AC611" t="e">
        <f ca="1">RANK(AB611,OFFSET($AB$2,0,0,#REF!,1))</f>
        <v>#REF!</v>
      </c>
      <c r="AD611" s="4" t="e">
        <f>InsurerSize(#REF!)</f>
        <v>#VALUE!</v>
      </c>
      <c r="AE611" s="4" t="e">
        <f t="shared" si="21"/>
        <v>#VALUE!</v>
      </c>
    </row>
    <row r="612" spans="8:31" x14ac:dyDescent="0.2"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AC612" t="e">
        <f ca="1">RANK(AB612,OFFSET($AB$2,0,0,#REF!,1))</f>
        <v>#REF!</v>
      </c>
      <c r="AD612" s="4" t="e">
        <f>InsurerSize(#REF!)</f>
        <v>#VALUE!</v>
      </c>
      <c r="AE612" s="4" t="e">
        <f t="shared" si="21"/>
        <v>#VALUE!</v>
      </c>
    </row>
    <row r="613" spans="8:31" x14ac:dyDescent="0.2"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AC613" t="e">
        <f ca="1">RANK(AB613,OFFSET($AB$2,0,0,#REF!,1))</f>
        <v>#REF!</v>
      </c>
      <c r="AD613" s="4" t="e">
        <f>InsurerSize(#REF!)</f>
        <v>#VALUE!</v>
      </c>
      <c r="AE613" s="4" t="e">
        <f t="shared" si="21"/>
        <v>#VALUE!</v>
      </c>
    </row>
    <row r="614" spans="8:31" x14ac:dyDescent="0.2"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AC614" t="e">
        <f ca="1">RANK(AB614,OFFSET($AB$2,0,0,#REF!,1))</f>
        <v>#REF!</v>
      </c>
      <c r="AD614" s="4" t="e">
        <f>InsurerSize(#REF!)</f>
        <v>#VALUE!</v>
      </c>
      <c r="AE614" s="4" t="e">
        <f t="shared" si="21"/>
        <v>#VALUE!</v>
      </c>
    </row>
    <row r="615" spans="8:31" x14ac:dyDescent="0.2"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AC615" t="e">
        <f ca="1">RANK(AB615,OFFSET($AB$2,0,0,#REF!,1))</f>
        <v>#REF!</v>
      </c>
      <c r="AD615" s="4" t="e">
        <f>InsurerSize(#REF!)</f>
        <v>#VALUE!</v>
      </c>
      <c r="AE615" s="4" t="e">
        <f t="shared" si="21"/>
        <v>#VALUE!</v>
      </c>
    </row>
    <row r="616" spans="8:31" x14ac:dyDescent="0.2"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AC616" t="e">
        <f ca="1">RANK(AB616,OFFSET($AB$2,0,0,#REF!,1))</f>
        <v>#REF!</v>
      </c>
      <c r="AD616" s="4" t="e">
        <f>InsurerSize(#REF!)</f>
        <v>#VALUE!</v>
      </c>
      <c r="AE616" s="4" t="e">
        <f t="shared" si="21"/>
        <v>#VALUE!</v>
      </c>
    </row>
    <row r="617" spans="8:31" x14ac:dyDescent="0.2"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AC617" t="e">
        <f ca="1">RANK(AB617,OFFSET($AB$2,0,0,#REF!,1))</f>
        <v>#REF!</v>
      </c>
      <c r="AD617" s="4" t="e">
        <f>InsurerSize(#REF!)</f>
        <v>#VALUE!</v>
      </c>
      <c r="AE617" s="4" t="e">
        <f t="shared" si="21"/>
        <v>#VALUE!</v>
      </c>
    </row>
    <row r="618" spans="8:31" x14ac:dyDescent="0.2"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AC618" t="e">
        <f ca="1">RANK(AB618,OFFSET($AB$2,0,0,#REF!,1))</f>
        <v>#REF!</v>
      </c>
      <c r="AD618" s="4" t="e">
        <f>InsurerSize(#REF!)</f>
        <v>#VALUE!</v>
      </c>
      <c r="AE618" s="4" t="e">
        <f t="shared" si="21"/>
        <v>#VALUE!</v>
      </c>
    </row>
    <row r="619" spans="8:31" x14ac:dyDescent="0.2"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AC619" t="e">
        <f ca="1">RANK(AB619,OFFSET($AB$2,0,0,#REF!,1))</f>
        <v>#REF!</v>
      </c>
      <c r="AD619" s="4" t="e">
        <f>InsurerSize(#REF!)</f>
        <v>#VALUE!</v>
      </c>
      <c r="AE619" s="4" t="e">
        <f t="shared" si="21"/>
        <v>#VALUE!</v>
      </c>
    </row>
    <row r="620" spans="8:31" x14ac:dyDescent="0.2"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AC620" t="e">
        <f ca="1">RANK(AB620,OFFSET($AB$2,0,0,#REF!,1))</f>
        <v>#REF!</v>
      </c>
      <c r="AD620" s="4" t="e">
        <f>InsurerSize(#REF!)</f>
        <v>#VALUE!</v>
      </c>
      <c r="AE620" s="4" t="e">
        <f t="shared" si="21"/>
        <v>#VALUE!</v>
      </c>
    </row>
    <row r="621" spans="8:31" x14ac:dyDescent="0.2"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AC621" t="e">
        <f ca="1">RANK(AB621,OFFSET($AB$2,0,0,#REF!,1))</f>
        <v>#REF!</v>
      </c>
      <c r="AD621" s="4" t="e">
        <f>InsurerSize(#REF!)</f>
        <v>#VALUE!</v>
      </c>
      <c r="AE621" s="4" t="e">
        <f t="shared" si="21"/>
        <v>#VALUE!</v>
      </c>
    </row>
    <row r="622" spans="8:31" x14ac:dyDescent="0.2"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AC622" t="e">
        <f ca="1">RANK(AB622,OFFSET($AB$2,0,0,#REF!,1))</f>
        <v>#REF!</v>
      </c>
      <c r="AD622" s="4" t="e">
        <f>InsurerSize(#REF!)</f>
        <v>#VALUE!</v>
      </c>
      <c r="AE622" s="4" t="e">
        <f t="shared" si="21"/>
        <v>#VALUE!</v>
      </c>
    </row>
    <row r="623" spans="8:31" x14ac:dyDescent="0.2"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AC623" t="e">
        <f ca="1">RANK(AB623,OFFSET($AB$2,0,0,#REF!,1))</f>
        <v>#REF!</v>
      </c>
      <c r="AD623" s="4" t="e">
        <f>InsurerSize(#REF!)</f>
        <v>#VALUE!</v>
      </c>
      <c r="AE623" s="4" t="e">
        <f t="shared" si="21"/>
        <v>#VALUE!</v>
      </c>
    </row>
    <row r="624" spans="8:31" x14ac:dyDescent="0.2"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AC624" t="e">
        <f ca="1">RANK(AB624,OFFSET($AB$2,0,0,#REF!,1))</f>
        <v>#REF!</v>
      </c>
      <c r="AD624" s="4" t="e">
        <f>InsurerSize(#REF!)</f>
        <v>#VALUE!</v>
      </c>
      <c r="AE624" s="4" t="e">
        <f t="shared" si="21"/>
        <v>#VALUE!</v>
      </c>
    </row>
    <row r="625" spans="8:31" x14ac:dyDescent="0.2"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AC625" t="e">
        <f ca="1">RANK(AB625,OFFSET($AB$2,0,0,#REF!,1))</f>
        <v>#REF!</v>
      </c>
      <c r="AD625" s="4" t="e">
        <f>InsurerSize(#REF!)</f>
        <v>#VALUE!</v>
      </c>
      <c r="AE625" s="4" t="e">
        <f t="shared" si="21"/>
        <v>#VALUE!</v>
      </c>
    </row>
    <row r="626" spans="8:31" x14ac:dyDescent="0.2"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AC626" t="e">
        <f ca="1">RANK(AB626,OFFSET($AB$2,0,0,#REF!,1))</f>
        <v>#REF!</v>
      </c>
      <c r="AD626" s="4" t="e">
        <f>InsurerSize(#REF!)</f>
        <v>#VALUE!</v>
      </c>
      <c r="AE626" s="4" t="e">
        <f t="shared" si="21"/>
        <v>#VALUE!</v>
      </c>
    </row>
    <row r="627" spans="8:31" x14ac:dyDescent="0.2"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AC627" t="e">
        <f ca="1">RANK(AB627,OFFSET($AB$2,0,0,#REF!,1))</f>
        <v>#REF!</v>
      </c>
      <c r="AD627" s="4" t="e">
        <f>InsurerSize(#REF!)</f>
        <v>#VALUE!</v>
      </c>
      <c r="AE627" s="4" t="e">
        <f t="shared" si="21"/>
        <v>#VALUE!</v>
      </c>
    </row>
    <row r="628" spans="8:31" x14ac:dyDescent="0.2"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AC628" t="e">
        <f ca="1">RANK(AB628,OFFSET($AB$2,0,0,#REF!,1))</f>
        <v>#REF!</v>
      </c>
      <c r="AD628" s="4" t="e">
        <f>InsurerSize(#REF!)</f>
        <v>#VALUE!</v>
      </c>
      <c r="AE628" s="4" t="e">
        <f t="shared" si="21"/>
        <v>#VALUE!</v>
      </c>
    </row>
    <row r="629" spans="8:31" x14ac:dyDescent="0.2"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AC629" t="e">
        <f ca="1">RANK(AB629,OFFSET($AB$2,0,0,#REF!,1))</f>
        <v>#REF!</v>
      </c>
      <c r="AD629" s="4" t="e">
        <f>InsurerSize(#REF!)</f>
        <v>#VALUE!</v>
      </c>
      <c r="AE629" s="4" t="e">
        <f t="shared" si="21"/>
        <v>#VALUE!</v>
      </c>
    </row>
    <row r="630" spans="8:31" x14ac:dyDescent="0.2"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AC630" t="e">
        <f ca="1">RANK(AB630,OFFSET($AB$2,0,0,#REF!,1))</f>
        <v>#REF!</v>
      </c>
      <c r="AD630" s="4" t="e">
        <f>InsurerSize(#REF!)</f>
        <v>#VALUE!</v>
      </c>
      <c r="AE630" s="4" t="e">
        <f t="shared" si="21"/>
        <v>#VALUE!</v>
      </c>
    </row>
    <row r="631" spans="8:31" x14ac:dyDescent="0.2"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AC631" t="e">
        <f ca="1">RANK(AB631,OFFSET($AB$2,0,0,#REF!,1))</f>
        <v>#REF!</v>
      </c>
      <c r="AD631" s="4" t="e">
        <f>InsurerSize(#REF!)</f>
        <v>#VALUE!</v>
      </c>
      <c r="AE631" s="4" t="e">
        <f t="shared" si="21"/>
        <v>#VALUE!</v>
      </c>
    </row>
    <row r="632" spans="8:31" x14ac:dyDescent="0.2"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AC632" t="e">
        <f ca="1">RANK(AB632,OFFSET($AB$2,0,0,#REF!,1))</f>
        <v>#REF!</v>
      </c>
      <c r="AD632" s="4" t="e">
        <f>InsurerSize(#REF!)</f>
        <v>#VALUE!</v>
      </c>
      <c r="AE632" s="4" t="e">
        <f t="shared" si="21"/>
        <v>#VALUE!</v>
      </c>
    </row>
    <row r="633" spans="8:31" x14ac:dyDescent="0.2"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AC633" t="e">
        <f ca="1">RANK(AB633,OFFSET($AB$2,0,0,#REF!,1))</f>
        <v>#REF!</v>
      </c>
      <c r="AD633" s="4" t="e">
        <f>InsurerSize(#REF!)</f>
        <v>#VALUE!</v>
      </c>
      <c r="AE633" s="4" t="e">
        <f t="shared" si="21"/>
        <v>#VALUE!</v>
      </c>
    </row>
    <row r="634" spans="8:31" x14ac:dyDescent="0.2"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AC634" t="e">
        <f ca="1">RANK(AB634,OFFSET($AB$2,0,0,#REF!,1))</f>
        <v>#REF!</v>
      </c>
      <c r="AD634" s="4" t="e">
        <f>InsurerSize(#REF!)</f>
        <v>#VALUE!</v>
      </c>
      <c r="AE634" s="4" t="e">
        <f t="shared" si="21"/>
        <v>#VALUE!</v>
      </c>
    </row>
    <row r="635" spans="8:31" x14ac:dyDescent="0.2"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AC635" t="e">
        <f ca="1">RANK(AB635,OFFSET($AB$2,0,0,#REF!,1))</f>
        <v>#REF!</v>
      </c>
      <c r="AD635" s="4" t="e">
        <f>InsurerSize(#REF!)</f>
        <v>#VALUE!</v>
      </c>
      <c r="AE635" s="4" t="e">
        <f t="shared" si="21"/>
        <v>#VALUE!</v>
      </c>
    </row>
    <row r="636" spans="8:31" x14ac:dyDescent="0.2"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AC636" t="e">
        <f ca="1">RANK(AB636,OFFSET($AB$2,0,0,#REF!,1))</f>
        <v>#REF!</v>
      </c>
      <c r="AD636" s="4" t="e">
        <f>InsurerSize(#REF!)</f>
        <v>#VALUE!</v>
      </c>
      <c r="AE636" s="4" t="e">
        <f t="shared" si="21"/>
        <v>#VALUE!</v>
      </c>
    </row>
    <row r="637" spans="8:31" x14ac:dyDescent="0.2"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AC637" t="e">
        <f ca="1">RANK(AB637,OFFSET($AB$2,0,0,#REF!,1))</f>
        <v>#REF!</v>
      </c>
      <c r="AD637" s="4" t="e">
        <f>InsurerSize(#REF!)</f>
        <v>#VALUE!</v>
      </c>
      <c r="AE637" s="4" t="e">
        <f t="shared" si="21"/>
        <v>#VALUE!</v>
      </c>
    </row>
    <row r="638" spans="8:31" x14ac:dyDescent="0.2"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AC638" t="e">
        <f ca="1">RANK(AB638,OFFSET($AB$2,0,0,#REF!,1))</f>
        <v>#REF!</v>
      </c>
      <c r="AD638" s="4" t="e">
        <f>InsurerSize(#REF!)</f>
        <v>#VALUE!</v>
      </c>
      <c r="AE638" s="4" t="e">
        <f t="shared" si="21"/>
        <v>#VALUE!</v>
      </c>
    </row>
    <row r="639" spans="8:31" x14ac:dyDescent="0.2"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AC639" t="e">
        <f ca="1">RANK(AB639,OFFSET($AB$2,0,0,#REF!,1))</f>
        <v>#REF!</v>
      </c>
      <c r="AD639" s="4" t="e">
        <f>InsurerSize(#REF!)</f>
        <v>#VALUE!</v>
      </c>
      <c r="AE639" s="4" t="e">
        <f t="shared" si="21"/>
        <v>#VALUE!</v>
      </c>
    </row>
    <row r="640" spans="8:31" x14ac:dyDescent="0.2"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AC640" t="e">
        <f ca="1">RANK(AB640,OFFSET($AB$2,0,0,#REF!,1))</f>
        <v>#REF!</v>
      </c>
      <c r="AD640" s="4" t="e">
        <f>InsurerSize(#REF!)</f>
        <v>#VALUE!</v>
      </c>
      <c r="AE640" s="4" t="e">
        <f t="shared" si="21"/>
        <v>#VALUE!</v>
      </c>
    </row>
    <row r="641" spans="8:31" x14ac:dyDescent="0.2"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AC641" t="e">
        <f ca="1">RANK(AB641,OFFSET($AB$2,0,0,#REF!,1))</f>
        <v>#REF!</v>
      </c>
      <c r="AD641" s="4" t="e">
        <f>InsurerSize(#REF!)</f>
        <v>#VALUE!</v>
      </c>
      <c r="AE641" s="4" t="e">
        <f t="shared" si="21"/>
        <v>#VALUE!</v>
      </c>
    </row>
    <row r="642" spans="8:31" x14ac:dyDescent="0.2"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AC642" t="e">
        <f ca="1">RANK(AB642,OFFSET($AB$2,0,0,#REF!,1))</f>
        <v>#REF!</v>
      </c>
      <c r="AD642" s="4" t="e">
        <f>InsurerSize(#REF!)</f>
        <v>#VALUE!</v>
      </c>
      <c r="AE642" s="4" t="e">
        <f t="shared" ref="AE642:AE705" si="22">A642&amp;AD642</f>
        <v>#VALUE!</v>
      </c>
    </row>
    <row r="643" spans="8:31" x14ac:dyDescent="0.2"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AC643" t="e">
        <f ca="1">RANK(AB643,OFFSET($AB$2,0,0,#REF!,1))</f>
        <v>#REF!</v>
      </c>
      <c r="AD643" s="4" t="e">
        <f>InsurerSize(#REF!)</f>
        <v>#VALUE!</v>
      </c>
      <c r="AE643" s="4" t="e">
        <f t="shared" si="22"/>
        <v>#VALUE!</v>
      </c>
    </row>
    <row r="644" spans="8:31" x14ac:dyDescent="0.2"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AC644" t="e">
        <f ca="1">RANK(AB644,OFFSET($AB$2,0,0,#REF!,1))</f>
        <v>#REF!</v>
      </c>
      <c r="AD644" s="4" t="e">
        <f>InsurerSize(#REF!)</f>
        <v>#VALUE!</v>
      </c>
      <c r="AE644" s="4" t="e">
        <f t="shared" si="22"/>
        <v>#VALUE!</v>
      </c>
    </row>
    <row r="645" spans="8:31" x14ac:dyDescent="0.2"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AC645" t="e">
        <f ca="1">RANK(AB645,OFFSET($AB$2,0,0,#REF!,1))</f>
        <v>#REF!</v>
      </c>
      <c r="AD645" s="4" t="e">
        <f>InsurerSize(#REF!)</f>
        <v>#VALUE!</v>
      </c>
      <c r="AE645" s="4" t="e">
        <f t="shared" si="22"/>
        <v>#VALUE!</v>
      </c>
    </row>
    <row r="646" spans="8:31" x14ac:dyDescent="0.2"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AC646" t="e">
        <f ca="1">RANK(AB646,OFFSET($AB$2,0,0,#REF!,1))</f>
        <v>#REF!</v>
      </c>
      <c r="AD646" s="4" t="e">
        <f>InsurerSize(#REF!)</f>
        <v>#VALUE!</v>
      </c>
      <c r="AE646" s="4" t="e">
        <f t="shared" si="22"/>
        <v>#VALUE!</v>
      </c>
    </row>
    <row r="647" spans="8:31" x14ac:dyDescent="0.2"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AC647" t="e">
        <f ca="1">RANK(AB647,OFFSET($AB$2,0,0,#REF!,1))</f>
        <v>#REF!</v>
      </c>
      <c r="AD647" s="4" t="e">
        <f>InsurerSize(#REF!)</f>
        <v>#VALUE!</v>
      </c>
      <c r="AE647" s="4" t="e">
        <f t="shared" si="22"/>
        <v>#VALUE!</v>
      </c>
    </row>
    <row r="648" spans="8:31" x14ac:dyDescent="0.2"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AC648" t="e">
        <f ca="1">RANK(AB648,OFFSET($AB$2,0,0,#REF!,1))</f>
        <v>#REF!</v>
      </c>
      <c r="AD648" s="4" t="e">
        <f>InsurerSize(#REF!)</f>
        <v>#VALUE!</v>
      </c>
      <c r="AE648" s="4" t="e">
        <f t="shared" si="22"/>
        <v>#VALUE!</v>
      </c>
    </row>
    <row r="649" spans="8:31" x14ac:dyDescent="0.2"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AC649" t="e">
        <f ca="1">RANK(AB649,OFFSET($AB$2,0,0,#REF!,1))</f>
        <v>#REF!</v>
      </c>
      <c r="AD649" s="4" t="e">
        <f>InsurerSize(#REF!)</f>
        <v>#VALUE!</v>
      </c>
      <c r="AE649" s="4" t="e">
        <f t="shared" si="22"/>
        <v>#VALUE!</v>
      </c>
    </row>
    <row r="650" spans="8:31" x14ac:dyDescent="0.2"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AC650" t="e">
        <f ca="1">RANK(AB650,OFFSET($AB$2,0,0,#REF!,1))</f>
        <v>#REF!</v>
      </c>
      <c r="AD650" s="4" t="e">
        <f>InsurerSize(#REF!)</f>
        <v>#VALUE!</v>
      </c>
      <c r="AE650" s="4" t="e">
        <f t="shared" si="22"/>
        <v>#VALUE!</v>
      </c>
    </row>
    <row r="651" spans="8:31" x14ac:dyDescent="0.2"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AC651" t="e">
        <f ca="1">RANK(AB651,OFFSET($AB$2,0,0,#REF!,1))</f>
        <v>#REF!</v>
      </c>
      <c r="AD651" s="4" t="e">
        <f>InsurerSize(#REF!)</f>
        <v>#VALUE!</v>
      </c>
      <c r="AE651" s="4" t="e">
        <f t="shared" si="22"/>
        <v>#VALUE!</v>
      </c>
    </row>
    <row r="652" spans="8:31" x14ac:dyDescent="0.2"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AC652" t="e">
        <f ca="1">RANK(AB652,OFFSET($AB$2,0,0,#REF!,1))</f>
        <v>#REF!</v>
      </c>
      <c r="AD652" s="4" t="e">
        <f>InsurerSize(#REF!)</f>
        <v>#VALUE!</v>
      </c>
      <c r="AE652" s="4" t="e">
        <f t="shared" si="22"/>
        <v>#VALUE!</v>
      </c>
    </row>
    <row r="653" spans="8:31" x14ac:dyDescent="0.2"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AC653" t="e">
        <f ca="1">RANK(AB653,OFFSET($AB$2,0,0,#REF!,1))</f>
        <v>#REF!</v>
      </c>
      <c r="AD653" s="4" t="e">
        <f>InsurerSize(#REF!)</f>
        <v>#VALUE!</v>
      </c>
      <c r="AE653" s="4" t="e">
        <f t="shared" si="22"/>
        <v>#VALUE!</v>
      </c>
    </row>
    <row r="654" spans="8:31" x14ac:dyDescent="0.2"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AC654" t="e">
        <f ca="1">RANK(AB654,OFFSET($AB$2,0,0,#REF!,1))</f>
        <v>#REF!</v>
      </c>
      <c r="AD654" s="4" t="e">
        <f>InsurerSize(#REF!)</f>
        <v>#VALUE!</v>
      </c>
      <c r="AE654" s="4" t="e">
        <f t="shared" si="22"/>
        <v>#VALUE!</v>
      </c>
    </row>
    <row r="655" spans="8:31" x14ac:dyDescent="0.2"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AC655" t="e">
        <f ca="1">RANK(AB655,OFFSET($AB$2,0,0,#REF!,1))</f>
        <v>#REF!</v>
      </c>
      <c r="AD655" s="4" t="e">
        <f>InsurerSize(#REF!)</f>
        <v>#VALUE!</v>
      </c>
      <c r="AE655" s="4" t="e">
        <f t="shared" si="22"/>
        <v>#VALUE!</v>
      </c>
    </row>
    <row r="656" spans="8:31" x14ac:dyDescent="0.2"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AC656" t="e">
        <f ca="1">RANK(AB656,OFFSET($AB$2,0,0,#REF!,1))</f>
        <v>#REF!</v>
      </c>
      <c r="AD656" s="4" t="e">
        <f>InsurerSize(#REF!)</f>
        <v>#VALUE!</v>
      </c>
      <c r="AE656" s="4" t="e">
        <f t="shared" si="22"/>
        <v>#VALUE!</v>
      </c>
    </row>
    <row r="657" spans="8:31" x14ac:dyDescent="0.2"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AC657" t="e">
        <f ca="1">RANK(AB657,OFFSET($AB$2,0,0,#REF!,1))</f>
        <v>#REF!</v>
      </c>
      <c r="AD657" s="4" t="e">
        <f>InsurerSize(#REF!)</f>
        <v>#VALUE!</v>
      </c>
      <c r="AE657" s="4" t="e">
        <f t="shared" si="22"/>
        <v>#VALUE!</v>
      </c>
    </row>
    <row r="658" spans="8:31" x14ac:dyDescent="0.2"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AC658" t="e">
        <f ca="1">RANK(AB658,OFFSET($AB$2,0,0,#REF!,1))</f>
        <v>#REF!</v>
      </c>
      <c r="AD658" s="4" t="e">
        <f>InsurerSize(#REF!)</f>
        <v>#VALUE!</v>
      </c>
      <c r="AE658" s="4" t="e">
        <f t="shared" si="22"/>
        <v>#VALUE!</v>
      </c>
    </row>
    <row r="659" spans="8:31" x14ac:dyDescent="0.2"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AC659" t="e">
        <f ca="1">RANK(AB659,OFFSET($AB$2,0,0,#REF!,1))</f>
        <v>#REF!</v>
      </c>
      <c r="AD659" s="4" t="e">
        <f>InsurerSize(#REF!)</f>
        <v>#VALUE!</v>
      </c>
      <c r="AE659" s="4" t="e">
        <f t="shared" si="22"/>
        <v>#VALUE!</v>
      </c>
    </row>
    <row r="660" spans="8:31" x14ac:dyDescent="0.2"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AC660" t="e">
        <f ca="1">RANK(AB660,OFFSET($AB$2,0,0,#REF!,1))</f>
        <v>#REF!</v>
      </c>
      <c r="AD660" s="4" t="e">
        <f>InsurerSize(#REF!)</f>
        <v>#VALUE!</v>
      </c>
      <c r="AE660" s="4" t="e">
        <f t="shared" si="22"/>
        <v>#VALUE!</v>
      </c>
    </row>
    <row r="661" spans="8:31" x14ac:dyDescent="0.2"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AC661" t="e">
        <f ca="1">RANK(AB661,OFFSET($AB$2,0,0,#REF!,1))</f>
        <v>#REF!</v>
      </c>
      <c r="AD661" s="4" t="e">
        <f>InsurerSize(#REF!)</f>
        <v>#VALUE!</v>
      </c>
      <c r="AE661" s="4" t="e">
        <f t="shared" si="22"/>
        <v>#VALUE!</v>
      </c>
    </row>
    <row r="662" spans="8:31" x14ac:dyDescent="0.2"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AC662" t="e">
        <f ca="1">RANK(AB662,OFFSET($AB$2,0,0,#REF!,1))</f>
        <v>#REF!</v>
      </c>
      <c r="AD662" s="4" t="e">
        <f>InsurerSize(#REF!)</f>
        <v>#VALUE!</v>
      </c>
      <c r="AE662" s="4" t="e">
        <f t="shared" si="22"/>
        <v>#VALUE!</v>
      </c>
    </row>
    <row r="663" spans="8:31" x14ac:dyDescent="0.2"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AC663" t="e">
        <f ca="1">RANK(AB663,OFFSET($AB$2,0,0,#REF!,1))</f>
        <v>#REF!</v>
      </c>
      <c r="AD663" s="4" t="e">
        <f>InsurerSize(#REF!)</f>
        <v>#VALUE!</v>
      </c>
      <c r="AE663" s="4" t="e">
        <f t="shared" si="22"/>
        <v>#VALUE!</v>
      </c>
    </row>
    <row r="664" spans="8:31" x14ac:dyDescent="0.2"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AC664" t="e">
        <f ca="1">RANK(AB664,OFFSET($AB$2,0,0,#REF!,1))</f>
        <v>#REF!</v>
      </c>
      <c r="AD664" s="4" t="e">
        <f>InsurerSize(#REF!)</f>
        <v>#VALUE!</v>
      </c>
      <c r="AE664" s="4" t="e">
        <f t="shared" si="22"/>
        <v>#VALUE!</v>
      </c>
    </row>
    <row r="665" spans="8:31" x14ac:dyDescent="0.2"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AC665" t="e">
        <f ca="1">RANK(AB665,OFFSET($AB$2,0,0,#REF!,1))</f>
        <v>#REF!</v>
      </c>
      <c r="AD665" s="4" t="e">
        <f>InsurerSize(#REF!)</f>
        <v>#VALUE!</v>
      </c>
      <c r="AE665" s="4" t="e">
        <f t="shared" si="22"/>
        <v>#VALUE!</v>
      </c>
    </row>
    <row r="666" spans="8:31" x14ac:dyDescent="0.2"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AC666" t="e">
        <f ca="1">RANK(AB666,OFFSET($AB$2,0,0,#REF!,1))</f>
        <v>#REF!</v>
      </c>
      <c r="AD666" s="4" t="e">
        <f>InsurerSize(#REF!)</f>
        <v>#VALUE!</v>
      </c>
      <c r="AE666" s="4" t="e">
        <f t="shared" si="22"/>
        <v>#VALUE!</v>
      </c>
    </row>
    <row r="667" spans="8:31" x14ac:dyDescent="0.2"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AC667" t="e">
        <f ca="1">RANK(AB667,OFFSET($AB$2,0,0,#REF!,1))</f>
        <v>#REF!</v>
      </c>
      <c r="AD667" s="4" t="e">
        <f>InsurerSize(#REF!)</f>
        <v>#VALUE!</v>
      </c>
      <c r="AE667" s="4" t="e">
        <f t="shared" si="22"/>
        <v>#VALUE!</v>
      </c>
    </row>
    <row r="668" spans="8:31" x14ac:dyDescent="0.2"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AC668" t="e">
        <f ca="1">RANK(AB668,OFFSET($AB$2,0,0,#REF!,1))</f>
        <v>#REF!</v>
      </c>
      <c r="AD668" s="4" t="e">
        <f>InsurerSize(#REF!)</f>
        <v>#VALUE!</v>
      </c>
      <c r="AE668" s="4" t="e">
        <f t="shared" si="22"/>
        <v>#VALUE!</v>
      </c>
    </row>
    <row r="669" spans="8:31" x14ac:dyDescent="0.2"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AC669" t="e">
        <f ca="1">RANK(AB669,OFFSET($AB$2,0,0,#REF!,1))</f>
        <v>#REF!</v>
      </c>
      <c r="AD669" s="4" t="e">
        <f>InsurerSize(#REF!)</f>
        <v>#VALUE!</v>
      </c>
      <c r="AE669" s="4" t="e">
        <f t="shared" si="22"/>
        <v>#VALUE!</v>
      </c>
    </row>
    <row r="670" spans="8:31" x14ac:dyDescent="0.2"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AC670" t="e">
        <f ca="1">RANK(AB670,OFFSET($AB$2,0,0,#REF!,1))</f>
        <v>#REF!</v>
      </c>
      <c r="AD670" s="4" t="e">
        <f>InsurerSize(#REF!)</f>
        <v>#VALUE!</v>
      </c>
      <c r="AE670" s="4" t="e">
        <f t="shared" si="22"/>
        <v>#VALUE!</v>
      </c>
    </row>
    <row r="671" spans="8:31" x14ac:dyDescent="0.2"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AC671" t="e">
        <f ca="1">RANK(AB671,OFFSET($AB$2,0,0,#REF!,1))</f>
        <v>#REF!</v>
      </c>
      <c r="AD671" s="4" t="e">
        <f>InsurerSize(#REF!)</f>
        <v>#VALUE!</v>
      </c>
      <c r="AE671" s="4" t="e">
        <f t="shared" si="22"/>
        <v>#VALUE!</v>
      </c>
    </row>
    <row r="672" spans="8:31" x14ac:dyDescent="0.2"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AC672" t="e">
        <f ca="1">RANK(AB672,OFFSET($AB$2,0,0,#REF!,1))</f>
        <v>#REF!</v>
      </c>
      <c r="AD672" s="4" t="e">
        <f>InsurerSize(#REF!)</f>
        <v>#VALUE!</v>
      </c>
      <c r="AE672" s="4" t="e">
        <f t="shared" si="22"/>
        <v>#VALUE!</v>
      </c>
    </row>
    <row r="673" spans="8:31" x14ac:dyDescent="0.2"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AC673" t="e">
        <f ca="1">RANK(AB673,OFFSET($AB$2,0,0,#REF!,1))</f>
        <v>#REF!</v>
      </c>
      <c r="AD673" s="4" t="e">
        <f>InsurerSize(#REF!)</f>
        <v>#VALUE!</v>
      </c>
      <c r="AE673" s="4" t="e">
        <f t="shared" si="22"/>
        <v>#VALUE!</v>
      </c>
    </row>
    <row r="674" spans="8:31" x14ac:dyDescent="0.2"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AC674" t="e">
        <f ca="1">RANK(AB674,OFFSET($AB$2,0,0,#REF!,1))</f>
        <v>#REF!</v>
      </c>
      <c r="AD674" s="4" t="e">
        <f>InsurerSize(#REF!)</f>
        <v>#VALUE!</v>
      </c>
      <c r="AE674" s="4" t="e">
        <f t="shared" si="22"/>
        <v>#VALUE!</v>
      </c>
    </row>
    <row r="675" spans="8:31" x14ac:dyDescent="0.2"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AC675" t="e">
        <f ca="1">RANK(AB675,OFFSET($AB$2,0,0,#REF!,1))</f>
        <v>#REF!</v>
      </c>
      <c r="AD675" s="4" t="e">
        <f>InsurerSize(#REF!)</f>
        <v>#VALUE!</v>
      </c>
      <c r="AE675" s="4" t="e">
        <f t="shared" si="22"/>
        <v>#VALUE!</v>
      </c>
    </row>
    <row r="676" spans="8:31" x14ac:dyDescent="0.2"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AC676" t="e">
        <f ca="1">RANK(AB676,OFFSET($AB$2,0,0,#REF!,1))</f>
        <v>#REF!</v>
      </c>
      <c r="AD676" s="4" t="e">
        <f>InsurerSize(#REF!)</f>
        <v>#VALUE!</v>
      </c>
      <c r="AE676" s="4" t="e">
        <f t="shared" si="22"/>
        <v>#VALUE!</v>
      </c>
    </row>
    <row r="677" spans="8:31" x14ac:dyDescent="0.2"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AC677" t="e">
        <f ca="1">RANK(AB677,OFFSET($AB$2,0,0,#REF!,1))</f>
        <v>#REF!</v>
      </c>
      <c r="AD677" s="4" t="e">
        <f>InsurerSize(#REF!)</f>
        <v>#VALUE!</v>
      </c>
      <c r="AE677" s="4" t="e">
        <f t="shared" si="22"/>
        <v>#VALUE!</v>
      </c>
    </row>
    <row r="678" spans="8:31" x14ac:dyDescent="0.2"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AC678" t="e">
        <f ca="1">RANK(AB678,OFFSET($AB$2,0,0,#REF!,1))</f>
        <v>#REF!</v>
      </c>
      <c r="AD678" s="4" t="e">
        <f>InsurerSize(#REF!)</f>
        <v>#VALUE!</v>
      </c>
      <c r="AE678" s="4" t="e">
        <f t="shared" si="22"/>
        <v>#VALUE!</v>
      </c>
    </row>
    <row r="679" spans="8:31" x14ac:dyDescent="0.2"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AC679" t="e">
        <f ca="1">RANK(AB679,OFFSET($AB$2,0,0,#REF!,1))</f>
        <v>#REF!</v>
      </c>
      <c r="AD679" s="4" t="e">
        <f>InsurerSize(#REF!)</f>
        <v>#VALUE!</v>
      </c>
      <c r="AE679" s="4" t="e">
        <f t="shared" si="22"/>
        <v>#VALUE!</v>
      </c>
    </row>
    <row r="680" spans="8:31" x14ac:dyDescent="0.2"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AC680" t="e">
        <f ca="1">RANK(AB680,OFFSET($AB$2,0,0,#REF!,1))</f>
        <v>#REF!</v>
      </c>
      <c r="AD680" s="4" t="e">
        <f>InsurerSize(#REF!)</f>
        <v>#VALUE!</v>
      </c>
      <c r="AE680" s="4" t="e">
        <f t="shared" si="22"/>
        <v>#VALUE!</v>
      </c>
    </row>
    <row r="681" spans="8:31" x14ac:dyDescent="0.2"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AC681" t="e">
        <f ca="1">RANK(AB681,OFFSET($AB$2,0,0,#REF!,1))</f>
        <v>#REF!</v>
      </c>
      <c r="AD681" s="4" t="e">
        <f>InsurerSize(#REF!)</f>
        <v>#VALUE!</v>
      </c>
      <c r="AE681" s="4" t="e">
        <f t="shared" si="22"/>
        <v>#VALUE!</v>
      </c>
    </row>
    <row r="682" spans="8:31" x14ac:dyDescent="0.2"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AC682" t="e">
        <f ca="1">RANK(AB682,OFFSET($AB$2,0,0,#REF!,1))</f>
        <v>#REF!</v>
      </c>
      <c r="AD682" s="4" t="e">
        <f>InsurerSize(#REF!)</f>
        <v>#VALUE!</v>
      </c>
      <c r="AE682" s="4" t="e">
        <f t="shared" si="22"/>
        <v>#VALUE!</v>
      </c>
    </row>
    <row r="683" spans="8:31" x14ac:dyDescent="0.2"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AC683" t="e">
        <f ca="1">RANK(AB683,OFFSET($AB$2,0,0,#REF!,1))</f>
        <v>#REF!</v>
      </c>
      <c r="AD683" s="4" t="e">
        <f>InsurerSize(#REF!)</f>
        <v>#VALUE!</v>
      </c>
      <c r="AE683" s="4" t="e">
        <f t="shared" si="22"/>
        <v>#VALUE!</v>
      </c>
    </row>
    <row r="684" spans="8:31" x14ac:dyDescent="0.2"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AC684" t="e">
        <f ca="1">RANK(AB684,OFFSET($AB$2,0,0,#REF!,1))</f>
        <v>#REF!</v>
      </c>
      <c r="AD684" s="4" t="e">
        <f>InsurerSize(#REF!)</f>
        <v>#VALUE!</v>
      </c>
      <c r="AE684" s="4" t="e">
        <f t="shared" si="22"/>
        <v>#VALUE!</v>
      </c>
    </row>
    <row r="685" spans="8:31" x14ac:dyDescent="0.2"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AC685" t="e">
        <f ca="1">RANK(AB685,OFFSET($AB$2,0,0,#REF!,1))</f>
        <v>#REF!</v>
      </c>
      <c r="AD685" s="4" t="e">
        <f>InsurerSize(#REF!)</f>
        <v>#VALUE!</v>
      </c>
      <c r="AE685" s="4" t="e">
        <f t="shared" si="22"/>
        <v>#VALUE!</v>
      </c>
    </row>
    <row r="686" spans="8:31" x14ac:dyDescent="0.2"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AC686" t="e">
        <f ca="1">RANK(AB686,OFFSET($AB$2,0,0,#REF!,1))</f>
        <v>#REF!</v>
      </c>
      <c r="AD686" s="4" t="e">
        <f>InsurerSize(#REF!)</f>
        <v>#VALUE!</v>
      </c>
      <c r="AE686" s="4" t="e">
        <f t="shared" si="22"/>
        <v>#VALUE!</v>
      </c>
    </row>
    <row r="687" spans="8:31" x14ac:dyDescent="0.2"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AC687" t="e">
        <f ca="1">RANK(AB687,OFFSET($AB$2,0,0,#REF!,1))</f>
        <v>#REF!</v>
      </c>
      <c r="AD687" s="4" t="e">
        <f>InsurerSize(#REF!)</f>
        <v>#VALUE!</v>
      </c>
      <c r="AE687" s="4" t="e">
        <f t="shared" si="22"/>
        <v>#VALUE!</v>
      </c>
    </row>
    <row r="688" spans="8:31" x14ac:dyDescent="0.2"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AC688" t="e">
        <f ca="1">RANK(AB688,OFFSET($AB$2,0,0,#REF!,1))</f>
        <v>#REF!</v>
      </c>
      <c r="AD688" s="4" t="e">
        <f>InsurerSize(#REF!)</f>
        <v>#VALUE!</v>
      </c>
      <c r="AE688" s="4" t="e">
        <f t="shared" si="22"/>
        <v>#VALUE!</v>
      </c>
    </row>
    <row r="689" spans="8:31" x14ac:dyDescent="0.2"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AC689" t="e">
        <f ca="1">RANK(AB689,OFFSET($AB$2,0,0,#REF!,1))</f>
        <v>#REF!</v>
      </c>
      <c r="AD689" s="4" t="e">
        <f>InsurerSize(#REF!)</f>
        <v>#VALUE!</v>
      </c>
      <c r="AE689" s="4" t="e">
        <f t="shared" si="22"/>
        <v>#VALUE!</v>
      </c>
    </row>
    <row r="690" spans="8:31" x14ac:dyDescent="0.2"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AC690" t="e">
        <f ca="1">RANK(AB690,OFFSET($AB$2,0,0,#REF!,1))</f>
        <v>#REF!</v>
      </c>
      <c r="AD690" s="4" t="e">
        <f>InsurerSize(#REF!)</f>
        <v>#VALUE!</v>
      </c>
      <c r="AE690" s="4" t="e">
        <f t="shared" si="22"/>
        <v>#VALUE!</v>
      </c>
    </row>
    <row r="691" spans="8:31" x14ac:dyDescent="0.2"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AC691" t="e">
        <f ca="1">RANK(AB691,OFFSET($AB$2,0,0,#REF!,1))</f>
        <v>#REF!</v>
      </c>
      <c r="AD691" s="4" t="e">
        <f>InsurerSize(#REF!)</f>
        <v>#VALUE!</v>
      </c>
      <c r="AE691" s="4" t="e">
        <f t="shared" si="22"/>
        <v>#VALUE!</v>
      </c>
    </row>
    <row r="692" spans="8:31" x14ac:dyDescent="0.2"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AC692" t="e">
        <f ca="1">RANK(AB692,OFFSET($AB$2,0,0,#REF!,1))</f>
        <v>#REF!</v>
      </c>
      <c r="AD692" s="4" t="e">
        <f>InsurerSize(#REF!)</f>
        <v>#VALUE!</v>
      </c>
      <c r="AE692" s="4" t="e">
        <f t="shared" si="22"/>
        <v>#VALUE!</v>
      </c>
    </row>
    <row r="693" spans="8:31" x14ac:dyDescent="0.2"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AC693" t="e">
        <f ca="1">RANK(AB693,OFFSET($AB$2,0,0,#REF!,1))</f>
        <v>#REF!</v>
      </c>
      <c r="AD693" s="4" t="e">
        <f>InsurerSize(#REF!)</f>
        <v>#VALUE!</v>
      </c>
      <c r="AE693" s="4" t="e">
        <f t="shared" si="22"/>
        <v>#VALUE!</v>
      </c>
    </row>
    <row r="694" spans="8:31" x14ac:dyDescent="0.2"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AC694" t="e">
        <f ca="1">RANK(AB694,OFFSET($AB$2,0,0,#REF!,1))</f>
        <v>#REF!</v>
      </c>
      <c r="AD694" s="4" t="e">
        <f>InsurerSize(#REF!)</f>
        <v>#VALUE!</v>
      </c>
      <c r="AE694" s="4" t="e">
        <f t="shared" si="22"/>
        <v>#VALUE!</v>
      </c>
    </row>
    <row r="695" spans="8:31" x14ac:dyDescent="0.2"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AC695" t="e">
        <f ca="1">RANK(AB695,OFFSET($AB$2,0,0,#REF!,1))</f>
        <v>#REF!</v>
      </c>
      <c r="AD695" s="4" t="e">
        <f>InsurerSize(#REF!)</f>
        <v>#VALUE!</v>
      </c>
      <c r="AE695" s="4" t="e">
        <f t="shared" si="22"/>
        <v>#VALUE!</v>
      </c>
    </row>
    <row r="696" spans="8:31" x14ac:dyDescent="0.2"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AC696" t="e">
        <f ca="1">RANK(AB696,OFFSET($AB$2,0,0,#REF!,1))</f>
        <v>#REF!</v>
      </c>
      <c r="AD696" s="4" t="e">
        <f>InsurerSize(#REF!)</f>
        <v>#VALUE!</v>
      </c>
      <c r="AE696" s="4" t="e">
        <f t="shared" si="22"/>
        <v>#VALUE!</v>
      </c>
    </row>
    <row r="697" spans="8:31" x14ac:dyDescent="0.2"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AC697" t="e">
        <f ca="1">RANK(AB697,OFFSET($AB$2,0,0,#REF!,1))</f>
        <v>#REF!</v>
      </c>
      <c r="AD697" s="4" t="e">
        <f>InsurerSize(#REF!)</f>
        <v>#VALUE!</v>
      </c>
      <c r="AE697" s="4" t="e">
        <f t="shared" si="22"/>
        <v>#VALUE!</v>
      </c>
    </row>
    <row r="698" spans="8:31" x14ac:dyDescent="0.2"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AC698" t="e">
        <f ca="1">RANK(AB698,OFFSET($AB$2,0,0,#REF!,1))</f>
        <v>#REF!</v>
      </c>
      <c r="AD698" s="4" t="e">
        <f>InsurerSize(#REF!)</f>
        <v>#VALUE!</v>
      </c>
      <c r="AE698" s="4" t="e">
        <f t="shared" si="22"/>
        <v>#VALUE!</v>
      </c>
    </row>
    <row r="699" spans="8:31" x14ac:dyDescent="0.2"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AC699" t="e">
        <f ca="1">RANK(AB699,OFFSET($AB$2,0,0,#REF!,1))</f>
        <v>#REF!</v>
      </c>
      <c r="AD699" s="4" t="e">
        <f>InsurerSize(#REF!)</f>
        <v>#VALUE!</v>
      </c>
      <c r="AE699" s="4" t="e">
        <f t="shared" si="22"/>
        <v>#VALUE!</v>
      </c>
    </row>
    <row r="700" spans="8:31" x14ac:dyDescent="0.2"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AC700" t="e">
        <f ca="1">RANK(AB700,OFFSET($AB$2,0,0,#REF!,1))</f>
        <v>#REF!</v>
      </c>
      <c r="AD700" s="4" t="e">
        <f>InsurerSize(#REF!)</f>
        <v>#VALUE!</v>
      </c>
      <c r="AE700" s="4" t="e">
        <f t="shared" si="22"/>
        <v>#VALUE!</v>
      </c>
    </row>
    <row r="701" spans="8:31" x14ac:dyDescent="0.2"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AC701" t="e">
        <f ca="1">RANK(AB701,OFFSET($AB$2,0,0,#REF!,1))</f>
        <v>#REF!</v>
      </c>
      <c r="AD701" s="4" t="e">
        <f>InsurerSize(#REF!)</f>
        <v>#VALUE!</v>
      </c>
      <c r="AE701" s="4" t="e">
        <f t="shared" si="22"/>
        <v>#VALUE!</v>
      </c>
    </row>
    <row r="702" spans="8:31" x14ac:dyDescent="0.2"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AC702" t="e">
        <f ca="1">RANK(AB702,OFFSET($AB$2,0,0,#REF!,1))</f>
        <v>#REF!</v>
      </c>
      <c r="AD702" s="4" t="e">
        <f>InsurerSize(#REF!)</f>
        <v>#VALUE!</v>
      </c>
      <c r="AE702" s="4" t="e">
        <f t="shared" si="22"/>
        <v>#VALUE!</v>
      </c>
    </row>
    <row r="703" spans="8:31" x14ac:dyDescent="0.2"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AC703" t="e">
        <f ca="1">RANK(AB703,OFFSET($AB$2,0,0,#REF!,1))</f>
        <v>#REF!</v>
      </c>
      <c r="AD703" s="4" t="e">
        <f>InsurerSize(#REF!)</f>
        <v>#VALUE!</v>
      </c>
      <c r="AE703" s="4" t="e">
        <f t="shared" si="22"/>
        <v>#VALUE!</v>
      </c>
    </row>
    <row r="704" spans="8:31" x14ac:dyDescent="0.2"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AC704" t="e">
        <f ca="1">RANK(AB704,OFFSET($AB$2,0,0,#REF!,1))</f>
        <v>#REF!</v>
      </c>
      <c r="AD704" s="4" t="e">
        <f>InsurerSize(#REF!)</f>
        <v>#VALUE!</v>
      </c>
      <c r="AE704" s="4" t="e">
        <f t="shared" si="22"/>
        <v>#VALUE!</v>
      </c>
    </row>
    <row r="705" spans="8:31" x14ac:dyDescent="0.2"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AC705" t="e">
        <f ca="1">RANK(AB705,OFFSET($AB$2,0,0,#REF!,1))</f>
        <v>#REF!</v>
      </c>
      <c r="AD705" s="4" t="e">
        <f>InsurerSize(#REF!)</f>
        <v>#VALUE!</v>
      </c>
      <c r="AE705" s="4" t="e">
        <f t="shared" si="22"/>
        <v>#VALUE!</v>
      </c>
    </row>
    <row r="706" spans="8:31" x14ac:dyDescent="0.2"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AC706" t="e">
        <f ca="1">RANK(AB706,OFFSET($AB$2,0,0,#REF!,1))</f>
        <v>#REF!</v>
      </c>
      <c r="AD706" s="4" t="e">
        <f>InsurerSize(#REF!)</f>
        <v>#VALUE!</v>
      </c>
      <c r="AE706" s="4" t="e">
        <f t="shared" ref="AE706:AE769" si="23">A706&amp;AD706</f>
        <v>#VALUE!</v>
      </c>
    </row>
    <row r="707" spans="8:31" x14ac:dyDescent="0.2"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AC707" t="e">
        <f ca="1">RANK(AB707,OFFSET($AB$2,0,0,#REF!,1))</f>
        <v>#REF!</v>
      </c>
      <c r="AD707" s="4" t="e">
        <f>InsurerSize(#REF!)</f>
        <v>#VALUE!</v>
      </c>
      <c r="AE707" s="4" t="e">
        <f t="shared" si="23"/>
        <v>#VALUE!</v>
      </c>
    </row>
    <row r="708" spans="8:31" x14ac:dyDescent="0.2"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AC708" t="e">
        <f ca="1">RANK(AB708,OFFSET($AB$2,0,0,#REF!,1))</f>
        <v>#REF!</v>
      </c>
      <c r="AD708" s="4" t="e">
        <f>InsurerSize(#REF!)</f>
        <v>#VALUE!</v>
      </c>
      <c r="AE708" s="4" t="e">
        <f t="shared" si="23"/>
        <v>#VALUE!</v>
      </c>
    </row>
    <row r="709" spans="8:31" x14ac:dyDescent="0.2"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AC709" t="e">
        <f ca="1">RANK(AB709,OFFSET($AB$2,0,0,#REF!,1))</f>
        <v>#REF!</v>
      </c>
      <c r="AD709" s="4" t="e">
        <f>InsurerSize(#REF!)</f>
        <v>#VALUE!</v>
      </c>
      <c r="AE709" s="4" t="e">
        <f t="shared" si="23"/>
        <v>#VALUE!</v>
      </c>
    </row>
    <row r="710" spans="8:31" x14ac:dyDescent="0.2"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AC710" t="e">
        <f ca="1">RANK(AB710,OFFSET($AB$2,0,0,#REF!,1))</f>
        <v>#REF!</v>
      </c>
      <c r="AD710" s="4" t="e">
        <f>InsurerSize(#REF!)</f>
        <v>#VALUE!</v>
      </c>
      <c r="AE710" s="4" t="e">
        <f t="shared" si="23"/>
        <v>#VALUE!</v>
      </c>
    </row>
    <row r="711" spans="8:31" x14ac:dyDescent="0.2"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AC711" t="e">
        <f ca="1">RANK(AB711,OFFSET($AB$2,0,0,#REF!,1))</f>
        <v>#REF!</v>
      </c>
      <c r="AD711" s="4" t="e">
        <f>InsurerSize(#REF!)</f>
        <v>#VALUE!</v>
      </c>
      <c r="AE711" s="4" t="e">
        <f t="shared" si="23"/>
        <v>#VALUE!</v>
      </c>
    </row>
    <row r="712" spans="8:31" x14ac:dyDescent="0.2"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AC712" t="e">
        <f ca="1">RANK(AB712,OFFSET($AB$2,0,0,#REF!,1))</f>
        <v>#REF!</v>
      </c>
      <c r="AD712" s="4" t="e">
        <f>InsurerSize(#REF!)</f>
        <v>#VALUE!</v>
      </c>
      <c r="AE712" s="4" t="e">
        <f t="shared" si="23"/>
        <v>#VALUE!</v>
      </c>
    </row>
    <row r="713" spans="8:31" x14ac:dyDescent="0.2"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AC713" t="e">
        <f ca="1">RANK(AB713,OFFSET($AB$2,0,0,#REF!,1))</f>
        <v>#REF!</v>
      </c>
      <c r="AD713" s="4" t="e">
        <f>InsurerSize(#REF!)</f>
        <v>#VALUE!</v>
      </c>
      <c r="AE713" s="4" t="e">
        <f t="shared" si="23"/>
        <v>#VALUE!</v>
      </c>
    </row>
    <row r="714" spans="8:31" x14ac:dyDescent="0.2"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AC714" t="e">
        <f ca="1">RANK(AB714,OFFSET($AB$2,0,0,#REF!,1))</f>
        <v>#REF!</v>
      </c>
      <c r="AD714" s="4" t="e">
        <f>InsurerSize(#REF!)</f>
        <v>#VALUE!</v>
      </c>
      <c r="AE714" s="4" t="e">
        <f t="shared" si="23"/>
        <v>#VALUE!</v>
      </c>
    </row>
    <row r="715" spans="8:31" x14ac:dyDescent="0.2"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AC715" t="e">
        <f ca="1">RANK(AB715,OFFSET($AB$2,0,0,#REF!,1))</f>
        <v>#REF!</v>
      </c>
      <c r="AD715" s="4" t="e">
        <f>InsurerSize(#REF!)</f>
        <v>#VALUE!</v>
      </c>
      <c r="AE715" s="4" t="e">
        <f t="shared" si="23"/>
        <v>#VALUE!</v>
      </c>
    </row>
    <row r="716" spans="8:31" x14ac:dyDescent="0.2"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AC716" t="e">
        <f ca="1">RANK(AB716,OFFSET($AB$2,0,0,#REF!,1))</f>
        <v>#REF!</v>
      </c>
      <c r="AD716" s="4" t="e">
        <f>InsurerSize(#REF!)</f>
        <v>#VALUE!</v>
      </c>
      <c r="AE716" s="4" t="e">
        <f t="shared" si="23"/>
        <v>#VALUE!</v>
      </c>
    </row>
    <row r="717" spans="8:31" x14ac:dyDescent="0.2"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AC717" t="e">
        <f ca="1">RANK(AB717,OFFSET($AB$2,0,0,#REF!,1))</f>
        <v>#REF!</v>
      </c>
      <c r="AD717" s="4" t="e">
        <f>InsurerSize(#REF!)</f>
        <v>#VALUE!</v>
      </c>
      <c r="AE717" s="4" t="e">
        <f t="shared" si="23"/>
        <v>#VALUE!</v>
      </c>
    </row>
    <row r="718" spans="8:31" x14ac:dyDescent="0.2"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AC718" t="e">
        <f ca="1">RANK(AB718,OFFSET($AB$2,0,0,#REF!,1))</f>
        <v>#REF!</v>
      </c>
      <c r="AD718" s="4" t="e">
        <f>InsurerSize(#REF!)</f>
        <v>#VALUE!</v>
      </c>
      <c r="AE718" s="4" t="e">
        <f t="shared" si="23"/>
        <v>#VALUE!</v>
      </c>
    </row>
    <row r="719" spans="8:31" x14ac:dyDescent="0.2"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AC719" t="e">
        <f ca="1">RANK(AB719,OFFSET($AB$2,0,0,#REF!,1))</f>
        <v>#REF!</v>
      </c>
      <c r="AD719" s="4" t="e">
        <f>InsurerSize(#REF!)</f>
        <v>#VALUE!</v>
      </c>
      <c r="AE719" s="4" t="e">
        <f t="shared" si="23"/>
        <v>#VALUE!</v>
      </c>
    </row>
    <row r="720" spans="8:31" x14ac:dyDescent="0.2"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AC720" t="e">
        <f ca="1">RANK(AB720,OFFSET($AB$2,0,0,#REF!,1))</f>
        <v>#REF!</v>
      </c>
      <c r="AD720" s="4" t="e">
        <f>InsurerSize(#REF!)</f>
        <v>#VALUE!</v>
      </c>
      <c r="AE720" s="4" t="e">
        <f t="shared" si="23"/>
        <v>#VALUE!</v>
      </c>
    </row>
    <row r="721" spans="8:31" x14ac:dyDescent="0.2"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AC721" t="e">
        <f ca="1">RANK(AB721,OFFSET($AB$2,0,0,#REF!,1))</f>
        <v>#REF!</v>
      </c>
      <c r="AD721" s="4" t="e">
        <f>InsurerSize(#REF!)</f>
        <v>#VALUE!</v>
      </c>
      <c r="AE721" s="4" t="e">
        <f t="shared" si="23"/>
        <v>#VALUE!</v>
      </c>
    </row>
    <row r="722" spans="8:31" x14ac:dyDescent="0.2"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AC722" t="e">
        <f ca="1">RANK(AB722,OFFSET($AB$2,0,0,#REF!,1))</f>
        <v>#REF!</v>
      </c>
      <c r="AD722" s="4" t="e">
        <f>InsurerSize(#REF!)</f>
        <v>#VALUE!</v>
      </c>
      <c r="AE722" s="4" t="e">
        <f t="shared" si="23"/>
        <v>#VALUE!</v>
      </c>
    </row>
    <row r="723" spans="8:31" x14ac:dyDescent="0.2"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AC723" t="e">
        <f ca="1">RANK(AB723,OFFSET($AB$2,0,0,#REF!,1))</f>
        <v>#REF!</v>
      </c>
      <c r="AD723" s="4" t="e">
        <f>InsurerSize(#REF!)</f>
        <v>#VALUE!</v>
      </c>
      <c r="AE723" s="4" t="e">
        <f t="shared" si="23"/>
        <v>#VALUE!</v>
      </c>
    </row>
    <row r="724" spans="8:31" x14ac:dyDescent="0.2"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AC724" t="e">
        <f ca="1">RANK(AB724,OFFSET($AB$2,0,0,#REF!,1))</f>
        <v>#REF!</v>
      </c>
      <c r="AD724" s="4" t="e">
        <f>InsurerSize(#REF!)</f>
        <v>#VALUE!</v>
      </c>
      <c r="AE724" s="4" t="e">
        <f t="shared" si="23"/>
        <v>#VALUE!</v>
      </c>
    </row>
    <row r="725" spans="8:31" x14ac:dyDescent="0.2"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AC725" t="e">
        <f ca="1">RANK(AB725,OFFSET($AB$2,0,0,#REF!,1))</f>
        <v>#REF!</v>
      </c>
      <c r="AD725" s="4" t="e">
        <f>InsurerSize(#REF!)</f>
        <v>#VALUE!</v>
      </c>
      <c r="AE725" s="4" t="e">
        <f t="shared" si="23"/>
        <v>#VALUE!</v>
      </c>
    </row>
    <row r="726" spans="8:31" x14ac:dyDescent="0.2"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AC726" t="e">
        <f ca="1">RANK(AB726,OFFSET($AB$2,0,0,#REF!,1))</f>
        <v>#REF!</v>
      </c>
      <c r="AD726" s="4" t="e">
        <f>InsurerSize(#REF!)</f>
        <v>#VALUE!</v>
      </c>
      <c r="AE726" s="4" t="e">
        <f t="shared" si="23"/>
        <v>#VALUE!</v>
      </c>
    </row>
    <row r="727" spans="8:31" x14ac:dyDescent="0.2"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AC727" t="e">
        <f ca="1">RANK(AB727,OFFSET($AB$2,0,0,#REF!,1))</f>
        <v>#REF!</v>
      </c>
      <c r="AD727" s="4" t="e">
        <f>InsurerSize(#REF!)</f>
        <v>#VALUE!</v>
      </c>
      <c r="AE727" s="4" t="e">
        <f t="shared" si="23"/>
        <v>#VALUE!</v>
      </c>
    </row>
    <row r="728" spans="8:31" x14ac:dyDescent="0.2"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AC728" t="e">
        <f ca="1">RANK(AB728,OFFSET($AB$2,0,0,#REF!,1))</f>
        <v>#REF!</v>
      </c>
      <c r="AD728" s="4" t="e">
        <f>InsurerSize(#REF!)</f>
        <v>#VALUE!</v>
      </c>
      <c r="AE728" s="4" t="e">
        <f t="shared" si="23"/>
        <v>#VALUE!</v>
      </c>
    </row>
    <row r="729" spans="8:31" x14ac:dyDescent="0.2"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AC729" t="e">
        <f ca="1">RANK(AB729,OFFSET($AB$2,0,0,#REF!,1))</f>
        <v>#REF!</v>
      </c>
      <c r="AD729" s="4" t="e">
        <f>InsurerSize(#REF!)</f>
        <v>#VALUE!</v>
      </c>
      <c r="AE729" s="4" t="e">
        <f t="shared" si="23"/>
        <v>#VALUE!</v>
      </c>
    </row>
    <row r="730" spans="8:31" x14ac:dyDescent="0.2"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AC730" t="e">
        <f ca="1">RANK(AB730,OFFSET($AB$2,0,0,#REF!,1))</f>
        <v>#REF!</v>
      </c>
      <c r="AD730" s="4" t="e">
        <f>InsurerSize(#REF!)</f>
        <v>#VALUE!</v>
      </c>
      <c r="AE730" s="4" t="e">
        <f t="shared" si="23"/>
        <v>#VALUE!</v>
      </c>
    </row>
    <row r="731" spans="8:31" x14ac:dyDescent="0.2"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AC731" t="e">
        <f ca="1">RANK(AB731,OFFSET($AB$2,0,0,#REF!,1))</f>
        <v>#REF!</v>
      </c>
      <c r="AD731" s="4" t="e">
        <f>InsurerSize(#REF!)</f>
        <v>#VALUE!</v>
      </c>
      <c r="AE731" s="4" t="e">
        <f t="shared" si="23"/>
        <v>#VALUE!</v>
      </c>
    </row>
    <row r="732" spans="8:31" x14ac:dyDescent="0.2"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AC732" t="e">
        <f ca="1">RANK(AB732,OFFSET($AB$2,0,0,#REF!,1))</f>
        <v>#REF!</v>
      </c>
      <c r="AD732" s="4" t="e">
        <f>InsurerSize(#REF!)</f>
        <v>#VALUE!</v>
      </c>
      <c r="AE732" s="4" t="e">
        <f t="shared" si="23"/>
        <v>#VALUE!</v>
      </c>
    </row>
    <row r="733" spans="8:31" x14ac:dyDescent="0.2"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AC733" t="e">
        <f ca="1">RANK(AB733,OFFSET($AB$2,0,0,#REF!,1))</f>
        <v>#REF!</v>
      </c>
      <c r="AD733" s="4" t="e">
        <f>InsurerSize(#REF!)</f>
        <v>#VALUE!</v>
      </c>
      <c r="AE733" s="4" t="e">
        <f t="shared" si="23"/>
        <v>#VALUE!</v>
      </c>
    </row>
    <row r="734" spans="8:31" x14ac:dyDescent="0.2"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AC734" t="e">
        <f ca="1">RANK(AB734,OFFSET($AB$2,0,0,#REF!,1))</f>
        <v>#REF!</v>
      </c>
      <c r="AD734" s="4" t="e">
        <f>InsurerSize(#REF!)</f>
        <v>#VALUE!</v>
      </c>
      <c r="AE734" s="4" t="e">
        <f t="shared" si="23"/>
        <v>#VALUE!</v>
      </c>
    </row>
    <row r="735" spans="8:31" x14ac:dyDescent="0.2"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AC735" t="e">
        <f ca="1">RANK(AB735,OFFSET($AB$2,0,0,#REF!,1))</f>
        <v>#REF!</v>
      </c>
      <c r="AD735" s="4" t="e">
        <f>InsurerSize(#REF!)</f>
        <v>#VALUE!</v>
      </c>
      <c r="AE735" s="4" t="e">
        <f t="shared" si="23"/>
        <v>#VALUE!</v>
      </c>
    </row>
    <row r="736" spans="8:31" x14ac:dyDescent="0.2"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AC736" t="e">
        <f ca="1">RANK(AB736,OFFSET($AB$2,0,0,#REF!,1))</f>
        <v>#REF!</v>
      </c>
      <c r="AD736" s="4" t="e">
        <f>InsurerSize(#REF!)</f>
        <v>#VALUE!</v>
      </c>
      <c r="AE736" s="4" t="e">
        <f t="shared" si="23"/>
        <v>#VALUE!</v>
      </c>
    </row>
    <row r="737" spans="8:31" x14ac:dyDescent="0.2"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AC737" t="e">
        <f ca="1">RANK(AB737,OFFSET($AB$2,0,0,#REF!,1))</f>
        <v>#REF!</v>
      </c>
      <c r="AD737" s="4" t="e">
        <f>InsurerSize(#REF!)</f>
        <v>#VALUE!</v>
      </c>
      <c r="AE737" s="4" t="e">
        <f t="shared" si="23"/>
        <v>#VALUE!</v>
      </c>
    </row>
    <row r="738" spans="8:31" x14ac:dyDescent="0.2"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AC738" t="e">
        <f ca="1">RANK(AB738,OFFSET($AB$2,0,0,#REF!,1))</f>
        <v>#REF!</v>
      </c>
      <c r="AD738" s="4" t="e">
        <f>InsurerSize(#REF!)</f>
        <v>#VALUE!</v>
      </c>
      <c r="AE738" s="4" t="e">
        <f t="shared" si="23"/>
        <v>#VALUE!</v>
      </c>
    </row>
    <row r="739" spans="8:31" x14ac:dyDescent="0.2"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AC739" t="e">
        <f ca="1">RANK(AB739,OFFSET($AB$2,0,0,#REF!,1))</f>
        <v>#REF!</v>
      </c>
      <c r="AD739" s="4" t="e">
        <f>InsurerSize(#REF!)</f>
        <v>#VALUE!</v>
      </c>
      <c r="AE739" s="4" t="e">
        <f t="shared" si="23"/>
        <v>#VALUE!</v>
      </c>
    </row>
    <row r="740" spans="8:31" x14ac:dyDescent="0.2"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AC740" t="e">
        <f ca="1">RANK(AB740,OFFSET($AB$2,0,0,#REF!,1))</f>
        <v>#REF!</v>
      </c>
      <c r="AD740" s="4" t="e">
        <f>InsurerSize(#REF!)</f>
        <v>#VALUE!</v>
      </c>
      <c r="AE740" s="4" t="e">
        <f t="shared" si="23"/>
        <v>#VALUE!</v>
      </c>
    </row>
    <row r="741" spans="8:31" x14ac:dyDescent="0.2"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AC741" t="e">
        <f ca="1">RANK(AB741,OFFSET($AB$2,0,0,#REF!,1))</f>
        <v>#REF!</v>
      </c>
      <c r="AD741" s="4" t="e">
        <f>InsurerSize(#REF!)</f>
        <v>#VALUE!</v>
      </c>
      <c r="AE741" s="4" t="e">
        <f t="shared" si="23"/>
        <v>#VALUE!</v>
      </c>
    </row>
    <row r="742" spans="8:31" x14ac:dyDescent="0.2"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AC742" t="e">
        <f ca="1">RANK(AB742,OFFSET($AB$2,0,0,#REF!,1))</f>
        <v>#REF!</v>
      </c>
      <c r="AD742" s="4" t="e">
        <f>InsurerSize(#REF!)</f>
        <v>#VALUE!</v>
      </c>
      <c r="AE742" s="4" t="e">
        <f t="shared" si="23"/>
        <v>#VALUE!</v>
      </c>
    </row>
    <row r="743" spans="8:31" x14ac:dyDescent="0.2"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AC743" t="e">
        <f ca="1">RANK(AB743,OFFSET($AB$2,0,0,#REF!,1))</f>
        <v>#REF!</v>
      </c>
      <c r="AD743" s="4" t="e">
        <f>InsurerSize(#REF!)</f>
        <v>#VALUE!</v>
      </c>
      <c r="AE743" s="4" t="e">
        <f t="shared" si="23"/>
        <v>#VALUE!</v>
      </c>
    </row>
    <row r="744" spans="8:31" x14ac:dyDescent="0.2"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AC744" t="e">
        <f ca="1">RANK(AB744,OFFSET($AB$2,0,0,#REF!,1))</f>
        <v>#REF!</v>
      </c>
      <c r="AD744" s="4" t="e">
        <f>InsurerSize(#REF!)</f>
        <v>#VALUE!</v>
      </c>
      <c r="AE744" s="4" t="e">
        <f t="shared" si="23"/>
        <v>#VALUE!</v>
      </c>
    </row>
    <row r="745" spans="8:31" x14ac:dyDescent="0.2"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AC745" t="e">
        <f ca="1">RANK(AB745,OFFSET($AB$2,0,0,#REF!,1))</f>
        <v>#REF!</v>
      </c>
      <c r="AD745" s="4" t="e">
        <f>InsurerSize(#REF!)</f>
        <v>#VALUE!</v>
      </c>
      <c r="AE745" s="4" t="e">
        <f t="shared" si="23"/>
        <v>#VALUE!</v>
      </c>
    </row>
    <row r="746" spans="8:31" x14ac:dyDescent="0.2"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AC746" t="e">
        <f ca="1">RANK(AB746,OFFSET($AB$2,0,0,#REF!,1))</f>
        <v>#REF!</v>
      </c>
      <c r="AD746" s="4" t="e">
        <f>InsurerSize(#REF!)</f>
        <v>#VALUE!</v>
      </c>
      <c r="AE746" s="4" t="e">
        <f t="shared" si="23"/>
        <v>#VALUE!</v>
      </c>
    </row>
    <row r="747" spans="8:31" x14ac:dyDescent="0.2"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AC747" t="e">
        <f ca="1">RANK(AB747,OFFSET($AB$2,0,0,#REF!,1))</f>
        <v>#REF!</v>
      </c>
      <c r="AD747" s="4" t="e">
        <f>InsurerSize(#REF!)</f>
        <v>#VALUE!</v>
      </c>
      <c r="AE747" s="4" t="e">
        <f t="shared" si="23"/>
        <v>#VALUE!</v>
      </c>
    </row>
    <row r="748" spans="8:31" x14ac:dyDescent="0.2"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AC748" t="e">
        <f ca="1">RANK(AB748,OFFSET($AB$2,0,0,#REF!,1))</f>
        <v>#REF!</v>
      </c>
      <c r="AD748" s="4" t="e">
        <f>InsurerSize(#REF!)</f>
        <v>#VALUE!</v>
      </c>
      <c r="AE748" s="4" t="e">
        <f t="shared" si="23"/>
        <v>#VALUE!</v>
      </c>
    </row>
    <row r="749" spans="8:31" x14ac:dyDescent="0.2"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AC749" t="e">
        <f ca="1">RANK(AB749,OFFSET($AB$2,0,0,#REF!,1))</f>
        <v>#REF!</v>
      </c>
      <c r="AD749" s="4" t="e">
        <f>InsurerSize(#REF!)</f>
        <v>#VALUE!</v>
      </c>
      <c r="AE749" s="4" t="e">
        <f t="shared" si="23"/>
        <v>#VALUE!</v>
      </c>
    </row>
    <row r="750" spans="8:31" x14ac:dyDescent="0.2"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AC750" t="e">
        <f ca="1">RANK(AB750,OFFSET($AB$2,0,0,#REF!,1))</f>
        <v>#REF!</v>
      </c>
      <c r="AD750" s="4" t="e">
        <f>InsurerSize(#REF!)</f>
        <v>#VALUE!</v>
      </c>
      <c r="AE750" s="4" t="e">
        <f t="shared" si="23"/>
        <v>#VALUE!</v>
      </c>
    </row>
    <row r="751" spans="8:31" x14ac:dyDescent="0.2"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AC751" t="e">
        <f ca="1">RANK(AB751,OFFSET($AB$2,0,0,#REF!,1))</f>
        <v>#REF!</v>
      </c>
      <c r="AD751" s="4" t="e">
        <f>InsurerSize(#REF!)</f>
        <v>#VALUE!</v>
      </c>
      <c r="AE751" s="4" t="e">
        <f t="shared" si="23"/>
        <v>#VALUE!</v>
      </c>
    </row>
    <row r="752" spans="8:31" x14ac:dyDescent="0.2"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AC752" t="e">
        <f ca="1">RANK(AB752,OFFSET($AB$2,0,0,#REF!,1))</f>
        <v>#REF!</v>
      </c>
      <c r="AD752" s="4" t="e">
        <f>InsurerSize(#REF!)</f>
        <v>#VALUE!</v>
      </c>
      <c r="AE752" s="4" t="e">
        <f t="shared" si="23"/>
        <v>#VALUE!</v>
      </c>
    </row>
    <row r="753" spans="8:31" x14ac:dyDescent="0.2"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AC753" t="e">
        <f ca="1">RANK(AB753,OFFSET($AB$2,0,0,#REF!,1))</f>
        <v>#REF!</v>
      </c>
      <c r="AD753" s="4" t="e">
        <f>InsurerSize(#REF!)</f>
        <v>#VALUE!</v>
      </c>
      <c r="AE753" s="4" t="e">
        <f t="shared" si="23"/>
        <v>#VALUE!</v>
      </c>
    </row>
    <row r="754" spans="8:31" x14ac:dyDescent="0.2"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AC754" t="e">
        <f ca="1">RANK(AB754,OFFSET($AB$2,0,0,#REF!,1))</f>
        <v>#REF!</v>
      </c>
      <c r="AD754" s="4" t="e">
        <f>InsurerSize(#REF!)</f>
        <v>#VALUE!</v>
      </c>
      <c r="AE754" s="4" t="e">
        <f t="shared" si="23"/>
        <v>#VALUE!</v>
      </c>
    </row>
    <row r="755" spans="8:31" x14ac:dyDescent="0.2"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AC755" t="e">
        <f ca="1">RANK(AB755,OFFSET($AB$2,0,0,#REF!,1))</f>
        <v>#REF!</v>
      </c>
      <c r="AD755" s="4" t="e">
        <f>InsurerSize(#REF!)</f>
        <v>#VALUE!</v>
      </c>
      <c r="AE755" s="4" t="e">
        <f t="shared" si="23"/>
        <v>#VALUE!</v>
      </c>
    </row>
    <row r="756" spans="8:31" x14ac:dyDescent="0.2"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AC756" t="e">
        <f ca="1">RANK(AB756,OFFSET($AB$2,0,0,#REF!,1))</f>
        <v>#REF!</v>
      </c>
      <c r="AD756" s="4" t="e">
        <f>InsurerSize(#REF!)</f>
        <v>#VALUE!</v>
      </c>
      <c r="AE756" s="4" t="e">
        <f t="shared" si="23"/>
        <v>#VALUE!</v>
      </c>
    </row>
    <row r="757" spans="8:31" x14ac:dyDescent="0.2"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AC757" t="e">
        <f ca="1">RANK(AB757,OFFSET($AB$2,0,0,#REF!,1))</f>
        <v>#REF!</v>
      </c>
      <c r="AD757" s="4" t="e">
        <f>InsurerSize(#REF!)</f>
        <v>#VALUE!</v>
      </c>
      <c r="AE757" s="4" t="e">
        <f t="shared" si="23"/>
        <v>#VALUE!</v>
      </c>
    </row>
    <row r="758" spans="8:31" x14ac:dyDescent="0.2"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AC758" t="e">
        <f ca="1">RANK(AB758,OFFSET($AB$2,0,0,#REF!,1))</f>
        <v>#REF!</v>
      </c>
      <c r="AD758" s="4" t="e">
        <f>InsurerSize(#REF!)</f>
        <v>#VALUE!</v>
      </c>
      <c r="AE758" s="4" t="e">
        <f t="shared" si="23"/>
        <v>#VALUE!</v>
      </c>
    </row>
    <row r="759" spans="8:31" x14ac:dyDescent="0.2"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AC759" t="e">
        <f ca="1">RANK(AB759,OFFSET($AB$2,0,0,#REF!,1))</f>
        <v>#REF!</v>
      </c>
      <c r="AD759" s="4" t="e">
        <f>InsurerSize(#REF!)</f>
        <v>#VALUE!</v>
      </c>
      <c r="AE759" s="4" t="e">
        <f t="shared" si="23"/>
        <v>#VALUE!</v>
      </c>
    </row>
    <row r="760" spans="8:31" x14ac:dyDescent="0.2"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AC760" t="e">
        <f ca="1">RANK(AB760,OFFSET($AB$2,0,0,#REF!,1))</f>
        <v>#REF!</v>
      </c>
      <c r="AD760" s="4" t="e">
        <f>InsurerSize(#REF!)</f>
        <v>#VALUE!</v>
      </c>
      <c r="AE760" s="4" t="e">
        <f t="shared" si="23"/>
        <v>#VALUE!</v>
      </c>
    </row>
    <row r="761" spans="8:31" x14ac:dyDescent="0.2"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AC761" t="e">
        <f ca="1">RANK(AB761,OFFSET($AB$2,0,0,#REF!,1))</f>
        <v>#REF!</v>
      </c>
      <c r="AD761" s="4" t="e">
        <f>InsurerSize(#REF!)</f>
        <v>#VALUE!</v>
      </c>
      <c r="AE761" s="4" t="e">
        <f t="shared" si="23"/>
        <v>#VALUE!</v>
      </c>
    </row>
    <row r="762" spans="8:31" x14ac:dyDescent="0.2"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AC762" t="e">
        <f ca="1">RANK(AB762,OFFSET($AB$2,0,0,#REF!,1))</f>
        <v>#REF!</v>
      </c>
      <c r="AD762" s="4" t="e">
        <f>InsurerSize(#REF!)</f>
        <v>#VALUE!</v>
      </c>
      <c r="AE762" s="4" t="e">
        <f t="shared" si="23"/>
        <v>#VALUE!</v>
      </c>
    </row>
    <row r="763" spans="8:31" x14ac:dyDescent="0.2"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AC763" t="e">
        <f ca="1">RANK(AB763,OFFSET($AB$2,0,0,#REF!,1))</f>
        <v>#REF!</v>
      </c>
      <c r="AD763" s="4" t="e">
        <f>InsurerSize(#REF!)</f>
        <v>#VALUE!</v>
      </c>
      <c r="AE763" s="4" t="e">
        <f t="shared" si="23"/>
        <v>#VALUE!</v>
      </c>
    </row>
    <row r="764" spans="8:31" x14ac:dyDescent="0.2"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AC764" t="e">
        <f ca="1">RANK(AB764,OFFSET($AB$2,0,0,#REF!,1))</f>
        <v>#REF!</v>
      </c>
      <c r="AD764" s="4" t="e">
        <f>InsurerSize(#REF!)</f>
        <v>#VALUE!</v>
      </c>
      <c r="AE764" s="4" t="e">
        <f t="shared" si="23"/>
        <v>#VALUE!</v>
      </c>
    </row>
    <row r="765" spans="8:31" x14ac:dyDescent="0.2"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AC765" t="e">
        <f ca="1">RANK(AB765,OFFSET($AB$2,0,0,#REF!,1))</f>
        <v>#REF!</v>
      </c>
      <c r="AD765" s="4" t="e">
        <f>InsurerSize(#REF!)</f>
        <v>#VALUE!</v>
      </c>
      <c r="AE765" s="4" t="e">
        <f t="shared" si="23"/>
        <v>#VALUE!</v>
      </c>
    </row>
    <row r="766" spans="8:31" x14ac:dyDescent="0.2"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AC766" t="e">
        <f ca="1">RANK(AB766,OFFSET($AB$2,0,0,#REF!,1))</f>
        <v>#REF!</v>
      </c>
      <c r="AD766" s="4" t="e">
        <f>InsurerSize(#REF!)</f>
        <v>#VALUE!</v>
      </c>
      <c r="AE766" s="4" t="e">
        <f t="shared" si="23"/>
        <v>#VALUE!</v>
      </c>
    </row>
    <row r="767" spans="8:31" x14ac:dyDescent="0.2"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AC767" t="e">
        <f ca="1">RANK(AB767,OFFSET($AB$2,0,0,#REF!,1))</f>
        <v>#REF!</v>
      </c>
      <c r="AD767" s="4" t="e">
        <f>InsurerSize(#REF!)</f>
        <v>#VALUE!</v>
      </c>
      <c r="AE767" s="4" t="e">
        <f t="shared" si="23"/>
        <v>#VALUE!</v>
      </c>
    </row>
    <row r="768" spans="8:31" x14ac:dyDescent="0.2"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AC768" t="e">
        <f ca="1">RANK(AB768,OFFSET($AB$2,0,0,#REF!,1))</f>
        <v>#REF!</v>
      </c>
      <c r="AD768" s="4" t="e">
        <f>InsurerSize(#REF!)</f>
        <v>#VALUE!</v>
      </c>
      <c r="AE768" s="4" t="e">
        <f t="shared" si="23"/>
        <v>#VALUE!</v>
      </c>
    </row>
    <row r="769" spans="8:31" x14ac:dyDescent="0.2"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AC769" t="e">
        <f ca="1">RANK(AB769,OFFSET($AB$2,0,0,#REF!,1))</f>
        <v>#REF!</v>
      </c>
      <c r="AD769" s="4" t="e">
        <f>InsurerSize(#REF!)</f>
        <v>#VALUE!</v>
      </c>
      <c r="AE769" s="4" t="e">
        <f t="shared" si="23"/>
        <v>#VALUE!</v>
      </c>
    </row>
    <row r="770" spans="8:31" x14ac:dyDescent="0.2"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AC770" t="e">
        <f ca="1">RANK(AB770,OFFSET($AB$2,0,0,#REF!,1))</f>
        <v>#REF!</v>
      </c>
      <c r="AD770" s="4" t="e">
        <f>InsurerSize(#REF!)</f>
        <v>#VALUE!</v>
      </c>
      <c r="AE770" s="4" t="e">
        <f t="shared" ref="AE770:AE833" si="24">A770&amp;AD770</f>
        <v>#VALUE!</v>
      </c>
    </row>
    <row r="771" spans="8:31" x14ac:dyDescent="0.2"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AC771" t="e">
        <f ca="1">RANK(AB771,OFFSET($AB$2,0,0,#REF!,1))</f>
        <v>#REF!</v>
      </c>
      <c r="AD771" s="4" t="e">
        <f>InsurerSize(#REF!)</f>
        <v>#VALUE!</v>
      </c>
      <c r="AE771" s="4" t="e">
        <f t="shared" si="24"/>
        <v>#VALUE!</v>
      </c>
    </row>
    <row r="772" spans="8:31" x14ac:dyDescent="0.2"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AC772" t="e">
        <f ca="1">RANK(AB772,OFFSET($AB$2,0,0,#REF!,1))</f>
        <v>#REF!</v>
      </c>
      <c r="AD772" s="4" t="e">
        <f>InsurerSize(#REF!)</f>
        <v>#VALUE!</v>
      </c>
      <c r="AE772" s="4" t="e">
        <f t="shared" si="24"/>
        <v>#VALUE!</v>
      </c>
    </row>
    <row r="773" spans="8:31" x14ac:dyDescent="0.2"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AC773" t="e">
        <f ca="1">RANK(AB773,OFFSET($AB$2,0,0,#REF!,1))</f>
        <v>#REF!</v>
      </c>
      <c r="AD773" s="4" t="e">
        <f>InsurerSize(#REF!)</f>
        <v>#VALUE!</v>
      </c>
      <c r="AE773" s="4" t="e">
        <f t="shared" si="24"/>
        <v>#VALUE!</v>
      </c>
    </row>
    <row r="774" spans="8:31" x14ac:dyDescent="0.2"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AC774" t="e">
        <f ca="1">RANK(AB774,OFFSET($AB$2,0,0,#REF!,1))</f>
        <v>#REF!</v>
      </c>
      <c r="AD774" s="4" t="e">
        <f>InsurerSize(#REF!)</f>
        <v>#VALUE!</v>
      </c>
      <c r="AE774" s="4" t="e">
        <f t="shared" si="24"/>
        <v>#VALUE!</v>
      </c>
    </row>
    <row r="775" spans="8:31" x14ac:dyDescent="0.2"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AC775" t="e">
        <f ca="1">RANK(AB775,OFFSET($AB$2,0,0,#REF!,1))</f>
        <v>#REF!</v>
      </c>
      <c r="AD775" s="4" t="e">
        <f>InsurerSize(#REF!)</f>
        <v>#VALUE!</v>
      </c>
      <c r="AE775" s="4" t="e">
        <f t="shared" si="24"/>
        <v>#VALUE!</v>
      </c>
    </row>
    <row r="776" spans="8:31" x14ac:dyDescent="0.2"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AC776" t="e">
        <f ca="1">RANK(AB776,OFFSET($AB$2,0,0,#REF!,1))</f>
        <v>#REF!</v>
      </c>
      <c r="AD776" s="4" t="e">
        <f>InsurerSize(#REF!)</f>
        <v>#VALUE!</v>
      </c>
      <c r="AE776" s="4" t="e">
        <f t="shared" si="24"/>
        <v>#VALUE!</v>
      </c>
    </row>
    <row r="777" spans="8:31" x14ac:dyDescent="0.2"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AC777" t="e">
        <f ca="1">RANK(AB777,OFFSET($AB$2,0,0,#REF!,1))</f>
        <v>#REF!</v>
      </c>
      <c r="AD777" s="4" t="e">
        <f>InsurerSize(#REF!)</f>
        <v>#VALUE!</v>
      </c>
      <c r="AE777" s="4" t="e">
        <f t="shared" si="24"/>
        <v>#VALUE!</v>
      </c>
    </row>
    <row r="778" spans="8:31" x14ac:dyDescent="0.2"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AC778" t="e">
        <f ca="1">RANK(AB778,OFFSET($AB$2,0,0,#REF!,1))</f>
        <v>#REF!</v>
      </c>
      <c r="AD778" s="4" t="e">
        <f>InsurerSize(#REF!)</f>
        <v>#VALUE!</v>
      </c>
      <c r="AE778" s="4" t="e">
        <f t="shared" si="24"/>
        <v>#VALUE!</v>
      </c>
    </row>
    <row r="779" spans="8:31" x14ac:dyDescent="0.2"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AC779" t="e">
        <f ca="1">RANK(AB779,OFFSET($AB$2,0,0,#REF!,1))</f>
        <v>#REF!</v>
      </c>
      <c r="AD779" s="4" t="e">
        <f>InsurerSize(#REF!)</f>
        <v>#VALUE!</v>
      </c>
      <c r="AE779" s="4" t="e">
        <f t="shared" si="24"/>
        <v>#VALUE!</v>
      </c>
    </row>
    <row r="780" spans="8:31" x14ac:dyDescent="0.2"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AC780" t="e">
        <f ca="1">RANK(AB780,OFFSET($AB$2,0,0,#REF!,1))</f>
        <v>#REF!</v>
      </c>
      <c r="AD780" s="4" t="e">
        <f>InsurerSize(#REF!)</f>
        <v>#VALUE!</v>
      </c>
      <c r="AE780" s="4" t="e">
        <f t="shared" si="24"/>
        <v>#VALUE!</v>
      </c>
    </row>
    <row r="781" spans="8:31" x14ac:dyDescent="0.2"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AC781" t="e">
        <f ca="1">RANK(AB781,OFFSET($AB$2,0,0,#REF!,1))</f>
        <v>#REF!</v>
      </c>
      <c r="AD781" s="4" t="e">
        <f>InsurerSize(#REF!)</f>
        <v>#VALUE!</v>
      </c>
      <c r="AE781" s="4" t="e">
        <f t="shared" si="24"/>
        <v>#VALUE!</v>
      </c>
    </row>
    <row r="782" spans="8:31" x14ac:dyDescent="0.2"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AC782" t="e">
        <f ca="1">RANK(AB782,OFFSET($AB$2,0,0,#REF!,1))</f>
        <v>#REF!</v>
      </c>
      <c r="AD782" s="4" t="e">
        <f>InsurerSize(#REF!)</f>
        <v>#VALUE!</v>
      </c>
      <c r="AE782" s="4" t="e">
        <f t="shared" si="24"/>
        <v>#VALUE!</v>
      </c>
    </row>
    <row r="783" spans="8:31" x14ac:dyDescent="0.2"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AC783" t="e">
        <f ca="1">RANK(AB783,OFFSET($AB$2,0,0,#REF!,1))</f>
        <v>#REF!</v>
      </c>
      <c r="AD783" s="4" t="e">
        <f>InsurerSize(#REF!)</f>
        <v>#VALUE!</v>
      </c>
      <c r="AE783" s="4" t="e">
        <f t="shared" si="24"/>
        <v>#VALUE!</v>
      </c>
    </row>
    <row r="784" spans="8:31" x14ac:dyDescent="0.2"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AC784" t="e">
        <f ca="1">RANK(AB784,OFFSET($AB$2,0,0,#REF!,1))</f>
        <v>#REF!</v>
      </c>
      <c r="AD784" s="4" t="e">
        <f>InsurerSize(#REF!)</f>
        <v>#VALUE!</v>
      </c>
      <c r="AE784" s="4" t="e">
        <f t="shared" si="24"/>
        <v>#VALUE!</v>
      </c>
    </row>
    <row r="785" spans="8:31" x14ac:dyDescent="0.2"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AC785" t="e">
        <f ca="1">RANK(AB785,OFFSET($AB$2,0,0,#REF!,1))</f>
        <v>#REF!</v>
      </c>
      <c r="AD785" s="4" t="e">
        <f>InsurerSize(#REF!)</f>
        <v>#VALUE!</v>
      </c>
      <c r="AE785" s="4" t="e">
        <f t="shared" si="24"/>
        <v>#VALUE!</v>
      </c>
    </row>
    <row r="786" spans="8:31" x14ac:dyDescent="0.2"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AC786" t="e">
        <f ca="1">RANK(AB786,OFFSET($AB$2,0,0,#REF!,1))</f>
        <v>#REF!</v>
      </c>
      <c r="AD786" s="4" t="e">
        <f>InsurerSize(#REF!)</f>
        <v>#VALUE!</v>
      </c>
      <c r="AE786" s="4" t="e">
        <f t="shared" si="24"/>
        <v>#VALUE!</v>
      </c>
    </row>
    <row r="787" spans="8:31" x14ac:dyDescent="0.2"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AC787" t="e">
        <f ca="1">RANK(AB787,OFFSET($AB$2,0,0,#REF!,1))</f>
        <v>#REF!</v>
      </c>
      <c r="AD787" s="4" t="e">
        <f>InsurerSize(#REF!)</f>
        <v>#VALUE!</v>
      </c>
      <c r="AE787" s="4" t="e">
        <f t="shared" si="24"/>
        <v>#VALUE!</v>
      </c>
    </row>
    <row r="788" spans="8:31" x14ac:dyDescent="0.2"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AC788" t="e">
        <f ca="1">RANK(AB788,OFFSET($AB$2,0,0,#REF!,1))</f>
        <v>#REF!</v>
      </c>
      <c r="AD788" s="4" t="e">
        <f>InsurerSize(#REF!)</f>
        <v>#VALUE!</v>
      </c>
      <c r="AE788" s="4" t="e">
        <f t="shared" si="24"/>
        <v>#VALUE!</v>
      </c>
    </row>
    <row r="789" spans="8:31" x14ac:dyDescent="0.2"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AC789" t="e">
        <f ca="1">RANK(AB789,OFFSET($AB$2,0,0,#REF!,1))</f>
        <v>#REF!</v>
      </c>
      <c r="AD789" s="4" t="e">
        <f>InsurerSize(#REF!)</f>
        <v>#VALUE!</v>
      </c>
      <c r="AE789" s="4" t="e">
        <f t="shared" si="24"/>
        <v>#VALUE!</v>
      </c>
    </row>
    <row r="790" spans="8:31" x14ac:dyDescent="0.2"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AC790" t="e">
        <f ca="1">RANK(AB790,OFFSET($AB$2,0,0,#REF!,1))</f>
        <v>#REF!</v>
      </c>
      <c r="AD790" s="4" t="e">
        <f>InsurerSize(#REF!)</f>
        <v>#VALUE!</v>
      </c>
      <c r="AE790" s="4" t="e">
        <f t="shared" si="24"/>
        <v>#VALUE!</v>
      </c>
    </row>
    <row r="791" spans="8:31" x14ac:dyDescent="0.2"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AC791" t="e">
        <f ca="1">RANK(AB791,OFFSET($AB$2,0,0,#REF!,1))</f>
        <v>#REF!</v>
      </c>
      <c r="AD791" s="4" t="e">
        <f>InsurerSize(#REF!)</f>
        <v>#VALUE!</v>
      </c>
      <c r="AE791" s="4" t="e">
        <f t="shared" si="24"/>
        <v>#VALUE!</v>
      </c>
    </row>
    <row r="792" spans="8:31" x14ac:dyDescent="0.2"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AC792" t="e">
        <f ca="1">RANK(AB792,OFFSET($AB$2,0,0,#REF!,1))</f>
        <v>#REF!</v>
      </c>
      <c r="AD792" s="4" t="e">
        <f>InsurerSize(#REF!)</f>
        <v>#VALUE!</v>
      </c>
      <c r="AE792" s="4" t="e">
        <f t="shared" si="24"/>
        <v>#VALUE!</v>
      </c>
    </row>
    <row r="793" spans="8:31" x14ac:dyDescent="0.2"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AC793" t="e">
        <f ca="1">RANK(AB793,OFFSET($AB$2,0,0,#REF!,1))</f>
        <v>#REF!</v>
      </c>
      <c r="AD793" s="4" t="e">
        <f>InsurerSize(#REF!)</f>
        <v>#VALUE!</v>
      </c>
      <c r="AE793" s="4" t="e">
        <f t="shared" si="24"/>
        <v>#VALUE!</v>
      </c>
    </row>
    <row r="794" spans="8:31" x14ac:dyDescent="0.2"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AC794" t="e">
        <f ca="1">RANK(AB794,OFFSET($AB$2,0,0,#REF!,1))</f>
        <v>#REF!</v>
      </c>
      <c r="AD794" s="4" t="e">
        <f>InsurerSize(#REF!)</f>
        <v>#VALUE!</v>
      </c>
      <c r="AE794" s="4" t="e">
        <f t="shared" si="24"/>
        <v>#VALUE!</v>
      </c>
    </row>
    <row r="795" spans="8:31" x14ac:dyDescent="0.2"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AC795" t="e">
        <f ca="1">RANK(AB795,OFFSET($AB$2,0,0,#REF!,1))</f>
        <v>#REF!</v>
      </c>
      <c r="AD795" s="4" t="e">
        <f>InsurerSize(#REF!)</f>
        <v>#VALUE!</v>
      </c>
      <c r="AE795" s="4" t="e">
        <f t="shared" si="24"/>
        <v>#VALUE!</v>
      </c>
    </row>
    <row r="796" spans="8:31" x14ac:dyDescent="0.2"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AC796" t="e">
        <f ca="1">RANK(AB796,OFFSET($AB$2,0,0,#REF!,1))</f>
        <v>#REF!</v>
      </c>
      <c r="AD796" s="4" t="e">
        <f>InsurerSize(#REF!)</f>
        <v>#VALUE!</v>
      </c>
      <c r="AE796" s="4" t="e">
        <f t="shared" si="24"/>
        <v>#VALUE!</v>
      </c>
    </row>
    <row r="797" spans="8:31" x14ac:dyDescent="0.2"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AC797" t="e">
        <f ca="1">RANK(AB797,OFFSET($AB$2,0,0,#REF!,1))</f>
        <v>#REF!</v>
      </c>
      <c r="AD797" s="4" t="e">
        <f>InsurerSize(#REF!)</f>
        <v>#VALUE!</v>
      </c>
      <c r="AE797" s="4" t="e">
        <f t="shared" si="24"/>
        <v>#VALUE!</v>
      </c>
    </row>
    <row r="798" spans="8:31" x14ac:dyDescent="0.2"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AC798" t="e">
        <f ca="1">RANK(AB798,OFFSET($AB$2,0,0,#REF!,1))</f>
        <v>#REF!</v>
      </c>
      <c r="AD798" s="4" t="e">
        <f>InsurerSize(#REF!)</f>
        <v>#VALUE!</v>
      </c>
      <c r="AE798" s="4" t="e">
        <f t="shared" si="24"/>
        <v>#VALUE!</v>
      </c>
    </row>
    <row r="799" spans="8:31" x14ac:dyDescent="0.2"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AC799" t="e">
        <f ca="1">RANK(AB799,OFFSET($AB$2,0,0,#REF!,1))</f>
        <v>#REF!</v>
      </c>
      <c r="AD799" s="4" t="e">
        <f>InsurerSize(#REF!)</f>
        <v>#VALUE!</v>
      </c>
      <c r="AE799" s="4" t="e">
        <f t="shared" si="24"/>
        <v>#VALUE!</v>
      </c>
    </row>
    <row r="800" spans="8:31" x14ac:dyDescent="0.2"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AC800" t="e">
        <f ca="1">RANK(AB800,OFFSET($AB$2,0,0,#REF!,1))</f>
        <v>#REF!</v>
      </c>
      <c r="AD800" s="4" t="e">
        <f>InsurerSize(#REF!)</f>
        <v>#VALUE!</v>
      </c>
      <c r="AE800" s="4" t="e">
        <f t="shared" si="24"/>
        <v>#VALUE!</v>
      </c>
    </row>
    <row r="801" spans="8:31" x14ac:dyDescent="0.2"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AC801" t="e">
        <f ca="1">RANK(AB801,OFFSET($AB$2,0,0,#REF!,1))</f>
        <v>#REF!</v>
      </c>
      <c r="AD801" s="4" t="e">
        <f>InsurerSize(#REF!)</f>
        <v>#VALUE!</v>
      </c>
      <c r="AE801" s="4" t="e">
        <f t="shared" si="24"/>
        <v>#VALUE!</v>
      </c>
    </row>
    <row r="802" spans="8:31" x14ac:dyDescent="0.2"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AC802" t="e">
        <f ca="1">RANK(AB802,OFFSET($AB$2,0,0,#REF!,1))</f>
        <v>#REF!</v>
      </c>
      <c r="AD802" s="4" t="e">
        <f>InsurerSize(#REF!)</f>
        <v>#VALUE!</v>
      </c>
      <c r="AE802" s="4" t="e">
        <f t="shared" si="24"/>
        <v>#VALUE!</v>
      </c>
    </row>
    <row r="803" spans="8:31" x14ac:dyDescent="0.2"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AC803" t="e">
        <f ca="1">RANK(AB803,OFFSET($AB$2,0,0,#REF!,1))</f>
        <v>#REF!</v>
      </c>
      <c r="AD803" s="4" t="e">
        <f>InsurerSize(#REF!)</f>
        <v>#VALUE!</v>
      </c>
      <c r="AE803" s="4" t="e">
        <f t="shared" si="24"/>
        <v>#VALUE!</v>
      </c>
    </row>
    <row r="804" spans="8:31" x14ac:dyDescent="0.2"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AC804" t="e">
        <f ca="1">RANK(AB804,OFFSET($AB$2,0,0,#REF!,1))</f>
        <v>#REF!</v>
      </c>
      <c r="AD804" s="4" t="e">
        <f>InsurerSize(#REF!)</f>
        <v>#VALUE!</v>
      </c>
      <c r="AE804" s="4" t="e">
        <f t="shared" si="24"/>
        <v>#VALUE!</v>
      </c>
    </row>
    <row r="805" spans="8:31" x14ac:dyDescent="0.2"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AC805" t="e">
        <f ca="1">RANK(AB805,OFFSET($AB$2,0,0,#REF!,1))</f>
        <v>#REF!</v>
      </c>
      <c r="AD805" s="4" t="e">
        <f>InsurerSize(#REF!)</f>
        <v>#VALUE!</v>
      </c>
      <c r="AE805" s="4" t="e">
        <f t="shared" si="24"/>
        <v>#VALUE!</v>
      </c>
    </row>
    <row r="806" spans="8:31" x14ac:dyDescent="0.2"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AC806" t="e">
        <f ca="1">RANK(AB806,OFFSET($AB$2,0,0,#REF!,1))</f>
        <v>#REF!</v>
      </c>
      <c r="AD806" s="4" t="e">
        <f>InsurerSize(#REF!)</f>
        <v>#VALUE!</v>
      </c>
      <c r="AE806" s="4" t="e">
        <f t="shared" si="24"/>
        <v>#VALUE!</v>
      </c>
    </row>
    <row r="807" spans="8:31" x14ac:dyDescent="0.2"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AC807" t="e">
        <f ca="1">RANK(AB807,OFFSET($AB$2,0,0,#REF!,1))</f>
        <v>#REF!</v>
      </c>
      <c r="AD807" s="4" t="e">
        <f>InsurerSize(#REF!)</f>
        <v>#VALUE!</v>
      </c>
      <c r="AE807" s="4" t="e">
        <f t="shared" si="24"/>
        <v>#VALUE!</v>
      </c>
    </row>
    <row r="808" spans="8:31" x14ac:dyDescent="0.2"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AC808" t="e">
        <f ca="1">RANK(AB808,OFFSET($AB$2,0,0,#REF!,1))</f>
        <v>#REF!</v>
      </c>
      <c r="AD808" s="4" t="e">
        <f>InsurerSize(#REF!)</f>
        <v>#VALUE!</v>
      </c>
      <c r="AE808" s="4" t="e">
        <f t="shared" si="24"/>
        <v>#VALUE!</v>
      </c>
    </row>
    <row r="809" spans="8:31" x14ac:dyDescent="0.2"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AC809" t="e">
        <f ca="1">RANK(AB809,OFFSET($AB$2,0,0,#REF!,1))</f>
        <v>#REF!</v>
      </c>
      <c r="AD809" s="4" t="e">
        <f>InsurerSize(#REF!)</f>
        <v>#VALUE!</v>
      </c>
      <c r="AE809" s="4" t="e">
        <f t="shared" si="24"/>
        <v>#VALUE!</v>
      </c>
    </row>
    <row r="810" spans="8:31" x14ac:dyDescent="0.2"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AC810" t="e">
        <f ca="1">RANK(AB810,OFFSET($AB$2,0,0,#REF!,1))</f>
        <v>#REF!</v>
      </c>
      <c r="AD810" s="4" t="e">
        <f>InsurerSize(#REF!)</f>
        <v>#VALUE!</v>
      </c>
      <c r="AE810" s="4" t="e">
        <f t="shared" si="24"/>
        <v>#VALUE!</v>
      </c>
    </row>
    <row r="811" spans="8:31" x14ac:dyDescent="0.2"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AC811" t="e">
        <f ca="1">RANK(AB811,OFFSET($AB$2,0,0,#REF!,1))</f>
        <v>#REF!</v>
      </c>
      <c r="AD811" s="4" t="e">
        <f>InsurerSize(#REF!)</f>
        <v>#VALUE!</v>
      </c>
      <c r="AE811" s="4" t="e">
        <f t="shared" si="24"/>
        <v>#VALUE!</v>
      </c>
    </row>
    <row r="812" spans="8:31" x14ac:dyDescent="0.2"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AC812" t="e">
        <f ca="1">RANK(AB812,OFFSET($AB$2,0,0,#REF!,1))</f>
        <v>#REF!</v>
      </c>
      <c r="AD812" s="4" t="e">
        <f>InsurerSize(#REF!)</f>
        <v>#VALUE!</v>
      </c>
      <c r="AE812" s="4" t="e">
        <f t="shared" si="24"/>
        <v>#VALUE!</v>
      </c>
    </row>
    <row r="813" spans="8:31" x14ac:dyDescent="0.2"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AC813" t="e">
        <f ca="1">RANK(AB813,OFFSET($AB$2,0,0,#REF!,1))</f>
        <v>#REF!</v>
      </c>
      <c r="AD813" s="4" t="e">
        <f>InsurerSize(#REF!)</f>
        <v>#VALUE!</v>
      </c>
      <c r="AE813" s="4" t="e">
        <f t="shared" si="24"/>
        <v>#VALUE!</v>
      </c>
    </row>
    <row r="814" spans="8:31" x14ac:dyDescent="0.2"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AC814" t="e">
        <f ca="1">RANK(AB814,OFFSET($AB$2,0,0,#REF!,1))</f>
        <v>#REF!</v>
      </c>
      <c r="AD814" s="4" t="e">
        <f>InsurerSize(#REF!)</f>
        <v>#VALUE!</v>
      </c>
      <c r="AE814" s="4" t="e">
        <f t="shared" si="24"/>
        <v>#VALUE!</v>
      </c>
    </row>
    <row r="815" spans="8:31" x14ac:dyDescent="0.2"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AC815" t="e">
        <f ca="1">RANK(AB815,OFFSET($AB$2,0,0,#REF!,1))</f>
        <v>#REF!</v>
      </c>
      <c r="AD815" s="4" t="e">
        <f>InsurerSize(#REF!)</f>
        <v>#VALUE!</v>
      </c>
      <c r="AE815" s="4" t="e">
        <f t="shared" si="24"/>
        <v>#VALUE!</v>
      </c>
    </row>
    <row r="816" spans="8:31" x14ac:dyDescent="0.2"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AC816" t="e">
        <f ca="1">RANK(AB816,OFFSET($AB$2,0,0,#REF!,1))</f>
        <v>#REF!</v>
      </c>
      <c r="AD816" s="4" t="e">
        <f>InsurerSize(#REF!)</f>
        <v>#VALUE!</v>
      </c>
      <c r="AE816" s="4" t="e">
        <f t="shared" si="24"/>
        <v>#VALUE!</v>
      </c>
    </row>
    <row r="817" spans="8:31" x14ac:dyDescent="0.2"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AC817" t="e">
        <f ca="1">RANK(AB817,OFFSET($AB$2,0,0,#REF!,1))</f>
        <v>#REF!</v>
      </c>
      <c r="AD817" s="4" t="e">
        <f>InsurerSize(#REF!)</f>
        <v>#VALUE!</v>
      </c>
      <c r="AE817" s="4" t="e">
        <f t="shared" si="24"/>
        <v>#VALUE!</v>
      </c>
    </row>
    <row r="818" spans="8:31" x14ac:dyDescent="0.2"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AC818" t="e">
        <f ca="1">RANK(AB818,OFFSET($AB$2,0,0,#REF!,1))</f>
        <v>#REF!</v>
      </c>
      <c r="AD818" s="4" t="e">
        <f>InsurerSize(#REF!)</f>
        <v>#VALUE!</v>
      </c>
      <c r="AE818" s="4" t="e">
        <f t="shared" si="24"/>
        <v>#VALUE!</v>
      </c>
    </row>
    <row r="819" spans="8:31" x14ac:dyDescent="0.2"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AC819" t="e">
        <f ca="1">RANK(AB819,OFFSET($AB$2,0,0,#REF!,1))</f>
        <v>#REF!</v>
      </c>
      <c r="AD819" s="4" t="e">
        <f>InsurerSize(#REF!)</f>
        <v>#VALUE!</v>
      </c>
      <c r="AE819" s="4" t="e">
        <f t="shared" si="24"/>
        <v>#VALUE!</v>
      </c>
    </row>
    <row r="820" spans="8:31" x14ac:dyDescent="0.2"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AC820" t="e">
        <f ca="1">RANK(AB820,OFFSET($AB$2,0,0,#REF!,1))</f>
        <v>#REF!</v>
      </c>
      <c r="AD820" s="4" t="e">
        <f>InsurerSize(#REF!)</f>
        <v>#VALUE!</v>
      </c>
      <c r="AE820" s="4" t="e">
        <f t="shared" si="24"/>
        <v>#VALUE!</v>
      </c>
    </row>
    <row r="821" spans="8:31" x14ac:dyDescent="0.2"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AC821" t="e">
        <f ca="1">RANK(AB821,OFFSET($AB$2,0,0,#REF!,1))</f>
        <v>#REF!</v>
      </c>
      <c r="AD821" s="4" t="e">
        <f>InsurerSize(#REF!)</f>
        <v>#VALUE!</v>
      </c>
      <c r="AE821" s="4" t="e">
        <f t="shared" si="24"/>
        <v>#VALUE!</v>
      </c>
    </row>
    <row r="822" spans="8:31" x14ac:dyDescent="0.2"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AC822" t="e">
        <f ca="1">RANK(AB822,OFFSET($AB$2,0,0,#REF!,1))</f>
        <v>#REF!</v>
      </c>
      <c r="AD822" s="4" t="e">
        <f>InsurerSize(#REF!)</f>
        <v>#VALUE!</v>
      </c>
      <c r="AE822" s="4" t="e">
        <f t="shared" si="24"/>
        <v>#VALUE!</v>
      </c>
    </row>
    <row r="823" spans="8:31" x14ac:dyDescent="0.2"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AC823" t="e">
        <f ca="1">RANK(AB823,OFFSET($AB$2,0,0,#REF!,1))</f>
        <v>#REF!</v>
      </c>
      <c r="AD823" s="4" t="e">
        <f>InsurerSize(#REF!)</f>
        <v>#VALUE!</v>
      </c>
      <c r="AE823" s="4" t="e">
        <f t="shared" si="24"/>
        <v>#VALUE!</v>
      </c>
    </row>
    <row r="824" spans="8:31" x14ac:dyDescent="0.2"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AC824" t="e">
        <f ca="1">RANK(AB824,OFFSET($AB$2,0,0,#REF!,1))</f>
        <v>#REF!</v>
      </c>
      <c r="AD824" s="4" t="e">
        <f>InsurerSize(#REF!)</f>
        <v>#VALUE!</v>
      </c>
      <c r="AE824" s="4" t="e">
        <f t="shared" si="24"/>
        <v>#VALUE!</v>
      </c>
    </row>
    <row r="825" spans="8:31" x14ac:dyDescent="0.2"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AC825" t="e">
        <f ca="1">RANK(AB825,OFFSET($AB$2,0,0,#REF!,1))</f>
        <v>#REF!</v>
      </c>
      <c r="AD825" s="4" t="e">
        <f>InsurerSize(#REF!)</f>
        <v>#VALUE!</v>
      </c>
      <c r="AE825" s="4" t="e">
        <f t="shared" si="24"/>
        <v>#VALUE!</v>
      </c>
    </row>
    <row r="826" spans="8:31" x14ac:dyDescent="0.2"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AC826" t="e">
        <f ca="1">RANK(AB826,OFFSET($AB$2,0,0,#REF!,1))</f>
        <v>#REF!</v>
      </c>
      <c r="AD826" s="4" t="e">
        <f>InsurerSize(#REF!)</f>
        <v>#VALUE!</v>
      </c>
      <c r="AE826" s="4" t="e">
        <f t="shared" si="24"/>
        <v>#VALUE!</v>
      </c>
    </row>
    <row r="827" spans="8:31" x14ac:dyDescent="0.2"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AC827" t="e">
        <f ca="1">RANK(AB827,OFFSET($AB$2,0,0,#REF!,1))</f>
        <v>#REF!</v>
      </c>
      <c r="AD827" s="4" t="e">
        <f>InsurerSize(#REF!)</f>
        <v>#VALUE!</v>
      </c>
      <c r="AE827" s="4" t="e">
        <f t="shared" si="24"/>
        <v>#VALUE!</v>
      </c>
    </row>
    <row r="828" spans="8:31" x14ac:dyDescent="0.2"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AC828" t="e">
        <f ca="1">RANK(AB828,OFFSET($AB$2,0,0,#REF!,1))</f>
        <v>#REF!</v>
      </c>
      <c r="AD828" s="4" t="e">
        <f>InsurerSize(#REF!)</f>
        <v>#VALUE!</v>
      </c>
      <c r="AE828" s="4" t="e">
        <f t="shared" si="24"/>
        <v>#VALUE!</v>
      </c>
    </row>
    <row r="829" spans="8:31" x14ac:dyDescent="0.2"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AC829" t="e">
        <f ca="1">RANK(AB829,OFFSET($AB$2,0,0,#REF!,1))</f>
        <v>#REF!</v>
      </c>
      <c r="AD829" s="4" t="e">
        <f>InsurerSize(#REF!)</f>
        <v>#VALUE!</v>
      </c>
      <c r="AE829" s="4" t="e">
        <f t="shared" si="24"/>
        <v>#VALUE!</v>
      </c>
    </row>
    <row r="830" spans="8:31" x14ac:dyDescent="0.2"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AC830" t="e">
        <f ca="1">RANK(AB830,OFFSET($AB$2,0,0,#REF!,1))</f>
        <v>#REF!</v>
      </c>
      <c r="AD830" s="4" t="e">
        <f>InsurerSize(#REF!)</f>
        <v>#VALUE!</v>
      </c>
      <c r="AE830" s="4" t="e">
        <f t="shared" si="24"/>
        <v>#VALUE!</v>
      </c>
    </row>
    <row r="831" spans="8:31" x14ac:dyDescent="0.2"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AC831" t="e">
        <f ca="1">RANK(AB831,OFFSET($AB$2,0,0,#REF!,1))</f>
        <v>#REF!</v>
      </c>
      <c r="AD831" s="4" t="e">
        <f>InsurerSize(#REF!)</f>
        <v>#VALUE!</v>
      </c>
      <c r="AE831" s="4" t="e">
        <f t="shared" si="24"/>
        <v>#VALUE!</v>
      </c>
    </row>
    <row r="832" spans="8:31" x14ac:dyDescent="0.2"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AC832" t="e">
        <f ca="1">RANK(AB832,OFFSET($AB$2,0,0,#REF!,1))</f>
        <v>#REF!</v>
      </c>
      <c r="AD832" s="4" t="e">
        <f>InsurerSize(#REF!)</f>
        <v>#VALUE!</v>
      </c>
      <c r="AE832" s="4" t="e">
        <f t="shared" si="24"/>
        <v>#VALUE!</v>
      </c>
    </row>
    <row r="833" spans="8:31" x14ac:dyDescent="0.2"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AC833" t="e">
        <f ca="1">RANK(AB833,OFFSET($AB$2,0,0,#REF!,1))</f>
        <v>#REF!</v>
      </c>
      <c r="AD833" s="4" t="e">
        <f>InsurerSize(#REF!)</f>
        <v>#VALUE!</v>
      </c>
      <c r="AE833" s="4" t="e">
        <f t="shared" si="24"/>
        <v>#VALUE!</v>
      </c>
    </row>
    <row r="834" spans="8:31" x14ac:dyDescent="0.2"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AC834" t="e">
        <f ca="1">RANK(AB834,OFFSET($AB$2,0,0,#REF!,1))</f>
        <v>#REF!</v>
      </c>
      <c r="AD834" s="4" t="e">
        <f>InsurerSize(#REF!)</f>
        <v>#VALUE!</v>
      </c>
      <c r="AE834" s="4" t="e">
        <f t="shared" ref="AE834:AE897" si="25">A834&amp;AD834</f>
        <v>#VALUE!</v>
      </c>
    </row>
    <row r="835" spans="8:31" x14ac:dyDescent="0.2"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AC835" t="e">
        <f ca="1">RANK(AB835,OFFSET($AB$2,0,0,#REF!,1))</f>
        <v>#REF!</v>
      </c>
      <c r="AD835" s="4" t="e">
        <f>InsurerSize(#REF!)</f>
        <v>#VALUE!</v>
      </c>
      <c r="AE835" s="4" t="e">
        <f t="shared" si="25"/>
        <v>#VALUE!</v>
      </c>
    </row>
    <row r="836" spans="8:31" x14ac:dyDescent="0.2"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AC836" t="e">
        <f ca="1">RANK(AB836,OFFSET($AB$2,0,0,#REF!,1))</f>
        <v>#REF!</v>
      </c>
      <c r="AD836" s="4" t="e">
        <f>InsurerSize(#REF!)</f>
        <v>#VALUE!</v>
      </c>
      <c r="AE836" s="4" t="e">
        <f t="shared" si="25"/>
        <v>#VALUE!</v>
      </c>
    </row>
    <row r="837" spans="8:31" x14ac:dyDescent="0.2"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AC837" t="e">
        <f ca="1">RANK(AB837,OFFSET($AB$2,0,0,#REF!,1))</f>
        <v>#REF!</v>
      </c>
      <c r="AD837" s="4" t="e">
        <f>InsurerSize(#REF!)</f>
        <v>#VALUE!</v>
      </c>
      <c r="AE837" s="4" t="e">
        <f t="shared" si="25"/>
        <v>#VALUE!</v>
      </c>
    </row>
    <row r="838" spans="8:31" x14ac:dyDescent="0.2"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AC838" t="e">
        <f ca="1">RANK(AB838,OFFSET($AB$2,0,0,#REF!,1))</f>
        <v>#REF!</v>
      </c>
      <c r="AD838" s="4" t="e">
        <f>InsurerSize(#REF!)</f>
        <v>#VALUE!</v>
      </c>
      <c r="AE838" s="4" t="e">
        <f t="shared" si="25"/>
        <v>#VALUE!</v>
      </c>
    </row>
    <row r="839" spans="8:31" x14ac:dyDescent="0.2"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AC839" t="e">
        <f ca="1">RANK(AB839,OFFSET($AB$2,0,0,#REF!,1))</f>
        <v>#REF!</v>
      </c>
      <c r="AD839" s="4" t="e">
        <f>InsurerSize(#REF!)</f>
        <v>#VALUE!</v>
      </c>
      <c r="AE839" s="4" t="e">
        <f t="shared" si="25"/>
        <v>#VALUE!</v>
      </c>
    </row>
    <row r="840" spans="8:31" x14ac:dyDescent="0.2"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AC840" t="e">
        <f ca="1">RANK(AB840,OFFSET($AB$2,0,0,#REF!,1))</f>
        <v>#REF!</v>
      </c>
      <c r="AD840" s="4" t="e">
        <f>InsurerSize(#REF!)</f>
        <v>#VALUE!</v>
      </c>
      <c r="AE840" s="4" t="e">
        <f t="shared" si="25"/>
        <v>#VALUE!</v>
      </c>
    </row>
    <row r="841" spans="8:31" x14ac:dyDescent="0.2"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AC841" t="e">
        <f ca="1">RANK(AB841,OFFSET($AB$2,0,0,#REF!,1))</f>
        <v>#REF!</v>
      </c>
      <c r="AD841" s="4" t="e">
        <f>InsurerSize(#REF!)</f>
        <v>#VALUE!</v>
      </c>
      <c r="AE841" s="4" t="e">
        <f t="shared" si="25"/>
        <v>#VALUE!</v>
      </c>
    </row>
    <row r="842" spans="8:31" x14ac:dyDescent="0.2"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AC842" t="e">
        <f ca="1">RANK(AB842,OFFSET($AB$2,0,0,#REF!,1))</f>
        <v>#REF!</v>
      </c>
      <c r="AD842" s="4" t="e">
        <f>InsurerSize(#REF!)</f>
        <v>#VALUE!</v>
      </c>
      <c r="AE842" s="4" t="e">
        <f t="shared" si="25"/>
        <v>#VALUE!</v>
      </c>
    </row>
    <row r="843" spans="8:31" x14ac:dyDescent="0.2"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AC843" t="e">
        <f ca="1">RANK(AB843,OFFSET($AB$2,0,0,#REF!,1))</f>
        <v>#REF!</v>
      </c>
      <c r="AD843" s="4" t="e">
        <f>InsurerSize(#REF!)</f>
        <v>#VALUE!</v>
      </c>
      <c r="AE843" s="4" t="e">
        <f t="shared" si="25"/>
        <v>#VALUE!</v>
      </c>
    </row>
    <row r="844" spans="8:31" x14ac:dyDescent="0.2"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AC844" t="e">
        <f ca="1">RANK(AB844,OFFSET($AB$2,0,0,#REF!,1))</f>
        <v>#REF!</v>
      </c>
      <c r="AD844" s="4" t="e">
        <f>InsurerSize(#REF!)</f>
        <v>#VALUE!</v>
      </c>
      <c r="AE844" s="4" t="e">
        <f t="shared" si="25"/>
        <v>#VALUE!</v>
      </c>
    </row>
    <row r="845" spans="8:31" x14ac:dyDescent="0.2"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AC845" t="e">
        <f ca="1">RANK(AB845,OFFSET($AB$2,0,0,#REF!,1))</f>
        <v>#REF!</v>
      </c>
      <c r="AD845" s="4" t="e">
        <f>InsurerSize(#REF!)</f>
        <v>#VALUE!</v>
      </c>
      <c r="AE845" s="4" t="e">
        <f t="shared" si="25"/>
        <v>#VALUE!</v>
      </c>
    </row>
    <row r="846" spans="8:31" x14ac:dyDescent="0.2"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AC846" t="e">
        <f ca="1">RANK(AB846,OFFSET($AB$2,0,0,#REF!,1))</f>
        <v>#REF!</v>
      </c>
      <c r="AD846" s="4" t="e">
        <f>InsurerSize(#REF!)</f>
        <v>#VALUE!</v>
      </c>
      <c r="AE846" s="4" t="e">
        <f t="shared" si="25"/>
        <v>#VALUE!</v>
      </c>
    </row>
    <row r="847" spans="8:31" x14ac:dyDescent="0.2"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AC847" t="e">
        <f ca="1">RANK(AB847,OFFSET($AB$2,0,0,#REF!,1))</f>
        <v>#REF!</v>
      </c>
      <c r="AD847" s="4" t="e">
        <f>InsurerSize(#REF!)</f>
        <v>#VALUE!</v>
      </c>
      <c r="AE847" s="4" t="e">
        <f t="shared" si="25"/>
        <v>#VALUE!</v>
      </c>
    </row>
    <row r="848" spans="8:31" x14ac:dyDescent="0.2"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AC848" t="e">
        <f ca="1">RANK(AB848,OFFSET($AB$2,0,0,#REF!,1))</f>
        <v>#REF!</v>
      </c>
      <c r="AD848" s="4" t="e">
        <f>InsurerSize(#REF!)</f>
        <v>#VALUE!</v>
      </c>
      <c r="AE848" s="4" t="e">
        <f t="shared" si="25"/>
        <v>#VALUE!</v>
      </c>
    </row>
    <row r="849" spans="8:31" x14ac:dyDescent="0.2"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AC849" t="e">
        <f ca="1">RANK(AB849,OFFSET($AB$2,0,0,#REF!,1))</f>
        <v>#REF!</v>
      </c>
      <c r="AD849" s="4" t="e">
        <f>InsurerSize(#REF!)</f>
        <v>#VALUE!</v>
      </c>
      <c r="AE849" s="4" t="e">
        <f t="shared" si="25"/>
        <v>#VALUE!</v>
      </c>
    </row>
    <row r="850" spans="8:31" x14ac:dyDescent="0.2"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AC850" t="e">
        <f ca="1">RANK(AB850,OFFSET($AB$2,0,0,#REF!,1))</f>
        <v>#REF!</v>
      </c>
      <c r="AD850" s="4" t="e">
        <f>InsurerSize(#REF!)</f>
        <v>#VALUE!</v>
      </c>
      <c r="AE850" s="4" t="e">
        <f t="shared" si="25"/>
        <v>#VALUE!</v>
      </c>
    </row>
    <row r="851" spans="8:31" x14ac:dyDescent="0.2"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AC851" t="e">
        <f ca="1">RANK(AB851,OFFSET($AB$2,0,0,#REF!,1))</f>
        <v>#REF!</v>
      </c>
      <c r="AD851" s="4" t="e">
        <f>InsurerSize(#REF!)</f>
        <v>#VALUE!</v>
      </c>
      <c r="AE851" s="4" t="e">
        <f t="shared" si="25"/>
        <v>#VALUE!</v>
      </c>
    </row>
    <row r="852" spans="8:31" x14ac:dyDescent="0.2"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AC852" t="e">
        <f ca="1">RANK(AB852,OFFSET($AB$2,0,0,#REF!,1))</f>
        <v>#REF!</v>
      </c>
      <c r="AD852" s="4" t="e">
        <f>InsurerSize(#REF!)</f>
        <v>#VALUE!</v>
      </c>
      <c r="AE852" s="4" t="e">
        <f t="shared" si="25"/>
        <v>#VALUE!</v>
      </c>
    </row>
    <row r="853" spans="8:31" x14ac:dyDescent="0.2"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AC853" t="e">
        <f ca="1">RANK(AB853,OFFSET($AB$2,0,0,#REF!,1))</f>
        <v>#REF!</v>
      </c>
      <c r="AD853" s="4" t="e">
        <f>InsurerSize(#REF!)</f>
        <v>#VALUE!</v>
      </c>
      <c r="AE853" s="4" t="e">
        <f t="shared" si="25"/>
        <v>#VALUE!</v>
      </c>
    </row>
    <row r="854" spans="8:31" x14ac:dyDescent="0.2"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AC854" t="e">
        <f ca="1">RANK(AB854,OFFSET($AB$2,0,0,#REF!,1))</f>
        <v>#REF!</v>
      </c>
      <c r="AD854" s="4" t="e">
        <f>InsurerSize(#REF!)</f>
        <v>#VALUE!</v>
      </c>
      <c r="AE854" s="4" t="e">
        <f t="shared" si="25"/>
        <v>#VALUE!</v>
      </c>
    </row>
    <row r="855" spans="8:31" x14ac:dyDescent="0.2"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AC855" t="e">
        <f ca="1">RANK(AB855,OFFSET($AB$2,0,0,#REF!,1))</f>
        <v>#REF!</v>
      </c>
      <c r="AD855" s="4" t="e">
        <f>InsurerSize(#REF!)</f>
        <v>#VALUE!</v>
      </c>
      <c r="AE855" s="4" t="e">
        <f t="shared" si="25"/>
        <v>#VALUE!</v>
      </c>
    </row>
    <row r="856" spans="8:31" x14ac:dyDescent="0.2"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AC856" t="e">
        <f ca="1">RANK(AB856,OFFSET($AB$2,0,0,#REF!,1))</f>
        <v>#REF!</v>
      </c>
      <c r="AD856" s="4" t="e">
        <f>InsurerSize(#REF!)</f>
        <v>#VALUE!</v>
      </c>
      <c r="AE856" s="4" t="e">
        <f t="shared" si="25"/>
        <v>#VALUE!</v>
      </c>
    </row>
    <row r="857" spans="8:31" x14ac:dyDescent="0.2"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AC857" t="e">
        <f ca="1">RANK(AB857,OFFSET($AB$2,0,0,#REF!,1))</f>
        <v>#REF!</v>
      </c>
      <c r="AD857" s="4" t="e">
        <f>InsurerSize(#REF!)</f>
        <v>#VALUE!</v>
      </c>
      <c r="AE857" s="4" t="e">
        <f t="shared" si="25"/>
        <v>#VALUE!</v>
      </c>
    </row>
    <row r="858" spans="8:31" x14ac:dyDescent="0.2"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AC858" t="e">
        <f ca="1">RANK(AB858,OFFSET($AB$2,0,0,#REF!,1))</f>
        <v>#REF!</v>
      </c>
      <c r="AD858" s="4" t="e">
        <f>InsurerSize(#REF!)</f>
        <v>#VALUE!</v>
      </c>
      <c r="AE858" s="4" t="e">
        <f t="shared" si="25"/>
        <v>#VALUE!</v>
      </c>
    </row>
    <row r="859" spans="8:31" x14ac:dyDescent="0.2"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AC859" t="e">
        <f ca="1">RANK(AB859,OFFSET($AB$2,0,0,#REF!,1))</f>
        <v>#REF!</v>
      </c>
      <c r="AD859" s="4" t="e">
        <f>InsurerSize(#REF!)</f>
        <v>#VALUE!</v>
      </c>
      <c r="AE859" s="4" t="e">
        <f t="shared" si="25"/>
        <v>#VALUE!</v>
      </c>
    </row>
    <row r="860" spans="8:31" x14ac:dyDescent="0.2"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AC860" t="e">
        <f ca="1">RANK(AB860,OFFSET($AB$2,0,0,#REF!,1))</f>
        <v>#REF!</v>
      </c>
      <c r="AD860" s="4" t="e">
        <f>InsurerSize(#REF!)</f>
        <v>#VALUE!</v>
      </c>
      <c r="AE860" s="4" t="e">
        <f t="shared" si="25"/>
        <v>#VALUE!</v>
      </c>
    </row>
    <row r="861" spans="8:31" x14ac:dyDescent="0.2"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AC861" t="e">
        <f ca="1">RANK(AB861,OFFSET($AB$2,0,0,#REF!,1))</f>
        <v>#REF!</v>
      </c>
      <c r="AD861" s="4" t="e">
        <f>InsurerSize(#REF!)</f>
        <v>#VALUE!</v>
      </c>
      <c r="AE861" s="4" t="e">
        <f t="shared" si="25"/>
        <v>#VALUE!</v>
      </c>
    </row>
    <row r="862" spans="8:31" x14ac:dyDescent="0.2"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AC862" t="e">
        <f ca="1">RANK(AB862,OFFSET($AB$2,0,0,#REF!,1))</f>
        <v>#REF!</v>
      </c>
      <c r="AD862" s="4" t="e">
        <f>InsurerSize(#REF!)</f>
        <v>#VALUE!</v>
      </c>
      <c r="AE862" s="4" t="e">
        <f t="shared" si="25"/>
        <v>#VALUE!</v>
      </c>
    </row>
    <row r="863" spans="8:31" x14ac:dyDescent="0.2"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AC863" t="e">
        <f ca="1">RANK(AB863,OFFSET($AB$2,0,0,#REF!,1))</f>
        <v>#REF!</v>
      </c>
      <c r="AD863" s="4" t="e">
        <f>InsurerSize(#REF!)</f>
        <v>#VALUE!</v>
      </c>
      <c r="AE863" s="4" t="e">
        <f t="shared" si="25"/>
        <v>#VALUE!</v>
      </c>
    </row>
    <row r="864" spans="8:31" x14ac:dyDescent="0.2"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AC864" t="e">
        <f ca="1">RANK(AB864,OFFSET($AB$2,0,0,#REF!,1))</f>
        <v>#REF!</v>
      </c>
      <c r="AD864" s="4" t="e">
        <f>InsurerSize(#REF!)</f>
        <v>#VALUE!</v>
      </c>
      <c r="AE864" s="4" t="e">
        <f t="shared" si="25"/>
        <v>#VALUE!</v>
      </c>
    </row>
    <row r="865" spans="8:31" x14ac:dyDescent="0.2"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AC865" t="e">
        <f ca="1">RANK(AB865,OFFSET($AB$2,0,0,#REF!,1))</f>
        <v>#REF!</v>
      </c>
      <c r="AD865" s="4" t="e">
        <f>InsurerSize(#REF!)</f>
        <v>#VALUE!</v>
      </c>
      <c r="AE865" s="4" t="e">
        <f t="shared" si="25"/>
        <v>#VALUE!</v>
      </c>
    </row>
    <row r="866" spans="8:31" x14ac:dyDescent="0.2"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AC866" t="e">
        <f ca="1">RANK(AB866,OFFSET($AB$2,0,0,#REF!,1))</f>
        <v>#REF!</v>
      </c>
      <c r="AD866" s="4" t="e">
        <f>InsurerSize(#REF!)</f>
        <v>#VALUE!</v>
      </c>
      <c r="AE866" s="4" t="e">
        <f t="shared" si="25"/>
        <v>#VALUE!</v>
      </c>
    </row>
    <row r="867" spans="8:31" x14ac:dyDescent="0.2"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AC867" t="e">
        <f ca="1">RANK(AB867,OFFSET($AB$2,0,0,#REF!,1))</f>
        <v>#REF!</v>
      </c>
      <c r="AD867" s="4" t="e">
        <f>InsurerSize(#REF!)</f>
        <v>#VALUE!</v>
      </c>
      <c r="AE867" s="4" t="e">
        <f t="shared" si="25"/>
        <v>#VALUE!</v>
      </c>
    </row>
    <row r="868" spans="8:31" x14ac:dyDescent="0.2"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AC868" t="e">
        <f ca="1">RANK(AB868,OFFSET($AB$2,0,0,#REF!,1))</f>
        <v>#REF!</v>
      </c>
      <c r="AD868" s="4" t="e">
        <f>InsurerSize(#REF!)</f>
        <v>#VALUE!</v>
      </c>
      <c r="AE868" s="4" t="e">
        <f t="shared" si="25"/>
        <v>#VALUE!</v>
      </c>
    </row>
    <row r="869" spans="8:31" x14ac:dyDescent="0.2"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AC869" t="e">
        <f ca="1">RANK(AB869,OFFSET($AB$2,0,0,#REF!,1))</f>
        <v>#REF!</v>
      </c>
      <c r="AD869" s="4" t="e">
        <f>InsurerSize(#REF!)</f>
        <v>#VALUE!</v>
      </c>
      <c r="AE869" s="4" t="e">
        <f t="shared" si="25"/>
        <v>#VALUE!</v>
      </c>
    </row>
    <row r="870" spans="8:31" x14ac:dyDescent="0.2"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AC870" t="e">
        <f ca="1">RANK(AB870,OFFSET($AB$2,0,0,#REF!,1))</f>
        <v>#REF!</v>
      </c>
      <c r="AD870" s="4" t="e">
        <f>InsurerSize(#REF!)</f>
        <v>#VALUE!</v>
      </c>
      <c r="AE870" s="4" t="e">
        <f t="shared" si="25"/>
        <v>#VALUE!</v>
      </c>
    </row>
    <row r="871" spans="8:31" x14ac:dyDescent="0.2"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AC871" t="e">
        <f ca="1">RANK(AB871,OFFSET($AB$2,0,0,#REF!,1))</f>
        <v>#REF!</v>
      </c>
      <c r="AD871" s="4" t="e">
        <f>InsurerSize(#REF!)</f>
        <v>#VALUE!</v>
      </c>
      <c r="AE871" s="4" t="e">
        <f t="shared" si="25"/>
        <v>#VALUE!</v>
      </c>
    </row>
    <row r="872" spans="8:31" x14ac:dyDescent="0.2"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AC872" t="e">
        <f ca="1">RANK(AB872,OFFSET($AB$2,0,0,#REF!,1))</f>
        <v>#REF!</v>
      </c>
      <c r="AD872" s="4" t="e">
        <f>InsurerSize(#REF!)</f>
        <v>#VALUE!</v>
      </c>
      <c r="AE872" s="4" t="e">
        <f t="shared" si="25"/>
        <v>#VALUE!</v>
      </c>
    </row>
    <row r="873" spans="8:31" x14ac:dyDescent="0.2"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AC873" t="e">
        <f ca="1">RANK(AB873,OFFSET($AB$2,0,0,#REF!,1))</f>
        <v>#REF!</v>
      </c>
      <c r="AD873" s="4" t="e">
        <f>InsurerSize(#REF!)</f>
        <v>#VALUE!</v>
      </c>
      <c r="AE873" s="4" t="e">
        <f t="shared" si="25"/>
        <v>#VALUE!</v>
      </c>
    </row>
    <row r="874" spans="8:31" x14ac:dyDescent="0.2"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AC874" t="e">
        <f ca="1">RANK(AB874,OFFSET($AB$2,0,0,#REF!,1))</f>
        <v>#REF!</v>
      </c>
      <c r="AD874" s="4" t="e">
        <f>InsurerSize(#REF!)</f>
        <v>#VALUE!</v>
      </c>
      <c r="AE874" s="4" t="e">
        <f t="shared" si="25"/>
        <v>#VALUE!</v>
      </c>
    </row>
    <row r="875" spans="8:31" x14ac:dyDescent="0.2"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AC875" t="e">
        <f ca="1">RANK(AB875,OFFSET($AB$2,0,0,#REF!,1))</f>
        <v>#REF!</v>
      </c>
      <c r="AD875" s="4" t="e">
        <f>InsurerSize(#REF!)</f>
        <v>#VALUE!</v>
      </c>
      <c r="AE875" s="4" t="e">
        <f t="shared" si="25"/>
        <v>#VALUE!</v>
      </c>
    </row>
    <row r="876" spans="8:31" x14ac:dyDescent="0.2"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AC876" t="e">
        <f ca="1">RANK(AB876,OFFSET($AB$2,0,0,#REF!,1))</f>
        <v>#REF!</v>
      </c>
      <c r="AD876" s="4" t="e">
        <f>InsurerSize(#REF!)</f>
        <v>#VALUE!</v>
      </c>
      <c r="AE876" s="4" t="e">
        <f t="shared" si="25"/>
        <v>#VALUE!</v>
      </c>
    </row>
    <row r="877" spans="8:31" x14ac:dyDescent="0.2"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AC877" t="e">
        <f ca="1">RANK(AB877,OFFSET($AB$2,0,0,#REF!,1))</f>
        <v>#REF!</v>
      </c>
      <c r="AD877" s="4" t="e">
        <f>InsurerSize(#REF!)</f>
        <v>#VALUE!</v>
      </c>
      <c r="AE877" s="4" t="e">
        <f t="shared" si="25"/>
        <v>#VALUE!</v>
      </c>
    </row>
    <row r="878" spans="8:31" x14ac:dyDescent="0.2"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AC878" t="e">
        <f ca="1">RANK(AB878,OFFSET($AB$2,0,0,#REF!,1))</f>
        <v>#REF!</v>
      </c>
      <c r="AD878" s="4" t="e">
        <f>InsurerSize(#REF!)</f>
        <v>#VALUE!</v>
      </c>
      <c r="AE878" s="4" t="e">
        <f t="shared" si="25"/>
        <v>#VALUE!</v>
      </c>
    </row>
    <row r="879" spans="8:31" x14ac:dyDescent="0.2"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AC879" t="e">
        <f ca="1">RANK(AB879,OFFSET($AB$2,0,0,#REF!,1))</f>
        <v>#REF!</v>
      </c>
      <c r="AD879" s="4" t="e">
        <f>InsurerSize(#REF!)</f>
        <v>#VALUE!</v>
      </c>
      <c r="AE879" s="4" t="e">
        <f t="shared" si="25"/>
        <v>#VALUE!</v>
      </c>
    </row>
    <row r="880" spans="8:31" x14ac:dyDescent="0.2"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AC880" t="e">
        <f ca="1">RANK(AB880,OFFSET($AB$2,0,0,#REF!,1))</f>
        <v>#REF!</v>
      </c>
      <c r="AD880" s="4" t="e">
        <f>InsurerSize(#REF!)</f>
        <v>#VALUE!</v>
      </c>
      <c r="AE880" s="4" t="e">
        <f t="shared" si="25"/>
        <v>#VALUE!</v>
      </c>
    </row>
    <row r="881" spans="8:31" x14ac:dyDescent="0.2"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AC881" t="e">
        <f ca="1">RANK(AB881,OFFSET($AB$2,0,0,#REF!,1))</f>
        <v>#REF!</v>
      </c>
      <c r="AD881" s="4" t="e">
        <f>InsurerSize(#REF!)</f>
        <v>#VALUE!</v>
      </c>
      <c r="AE881" s="4" t="e">
        <f t="shared" si="25"/>
        <v>#VALUE!</v>
      </c>
    </row>
    <row r="882" spans="8:31" x14ac:dyDescent="0.2"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AC882" t="e">
        <f ca="1">RANK(AB882,OFFSET($AB$2,0,0,#REF!,1))</f>
        <v>#REF!</v>
      </c>
      <c r="AD882" s="4" t="e">
        <f>InsurerSize(#REF!)</f>
        <v>#VALUE!</v>
      </c>
      <c r="AE882" s="4" t="e">
        <f t="shared" si="25"/>
        <v>#VALUE!</v>
      </c>
    </row>
    <row r="883" spans="8:31" x14ac:dyDescent="0.2"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AC883" t="e">
        <f ca="1">RANK(AB883,OFFSET($AB$2,0,0,#REF!,1))</f>
        <v>#REF!</v>
      </c>
      <c r="AD883" s="4" t="e">
        <f>InsurerSize(#REF!)</f>
        <v>#VALUE!</v>
      </c>
      <c r="AE883" s="4" t="e">
        <f t="shared" si="25"/>
        <v>#VALUE!</v>
      </c>
    </row>
    <row r="884" spans="8:31" x14ac:dyDescent="0.2"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AC884" t="e">
        <f ca="1">RANK(AB884,OFFSET($AB$2,0,0,#REF!,1))</f>
        <v>#REF!</v>
      </c>
      <c r="AD884" s="4" t="e">
        <f>InsurerSize(#REF!)</f>
        <v>#VALUE!</v>
      </c>
      <c r="AE884" s="4" t="e">
        <f t="shared" si="25"/>
        <v>#VALUE!</v>
      </c>
    </row>
    <row r="885" spans="8:31" x14ac:dyDescent="0.2"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AC885" t="e">
        <f ca="1">RANK(AB885,OFFSET($AB$2,0,0,#REF!,1))</f>
        <v>#REF!</v>
      </c>
      <c r="AD885" s="4" t="e">
        <f>InsurerSize(#REF!)</f>
        <v>#VALUE!</v>
      </c>
      <c r="AE885" s="4" t="e">
        <f t="shared" si="25"/>
        <v>#VALUE!</v>
      </c>
    </row>
    <row r="886" spans="8:31" x14ac:dyDescent="0.2"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AC886" t="e">
        <f ca="1">RANK(AB886,OFFSET($AB$2,0,0,#REF!,1))</f>
        <v>#REF!</v>
      </c>
      <c r="AD886" s="4" t="e">
        <f>InsurerSize(#REF!)</f>
        <v>#VALUE!</v>
      </c>
      <c r="AE886" s="4" t="e">
        <f t="shared" si="25"/>
        <v>#VALUE!</v>
      </c>
    </row>
    <row r="887" spans="8:31" x14ac:dyDescent="0.2"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AC887" t="e">
        <f ca="1">RANK(AB887,OFFSET($AB$2,0,0,#REF!,1))</f>
        <v>#REF!</v>
      </c>
      <c r="AD887" s="4" t="e">
        <f>InsurerSize(#REF!)</f>
        <v>#VALUE!</v>
      </c>
      <c r="AE887" s="4" t="e">
        <f t="shared" si="25"/>
        <v>#VALUE!</v>
      </c>
    </row>
    <row r="888" spans="8:31" x14ac:dyDescent="0.2"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AC888" t="e">
        <f ca="1">RANK(AB888,OFFSET($AB$2,0,0,#REF!,1))</f>
        <v>#REF!</v>
      </c>
      <c r="AD888" s="4" t="e">
        <f>InsurerSize(#REF!)</f>
        <v>#VALUE!</v>
      </c>
      <c r="AE888" s="4" t="e">
        <f t="shared" si="25"/>
        <v>#VALUE!</v>
      </c>
    </row>
    <row r="889" spans="8:31" x14ac:dyDescent="0.2"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AC889" t="e">
        <f ca="1">RANK(AB889,OFFSET($AB$2,0,0,#REF!,1))</f>
        <v>#REF!</v>
      </c>
      <c r="AD889" s="4" t="e">
        <f>InsurerSize(#REF!)</f>
        <v>#VALUE!</v>
      </c>
      <c r="AE889" s="4" t="e">
        <f t="shared" si="25"/>
        <v>#VALUE!</v>
      </c>
    </row>
    <row r="890" spans="8:31" x14ac:dyDescent="0.2"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AC890" t="e">
        <f ca="1">RANK(AB890,OFFSET($AB$2,0,0,#REF!,1))</f>
        <v>#REF!</v>
      </c>
      <c r="AD890" s="4" t="e">
        <f>InsurerSize(#REF!)</f>
        <v>#VALUE!</v>
      </c>
      <c r="AE890" s="4" t="e">
        <f t="shared" si="25"/>
        <v>#VALUE!</v>
      </c>
    </row>
    <row r="891" spans="8:31" x14ac:dyDescent="0.2"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AC891" t="e">
        <f ca="1">RANK(AB891,OFFSET($AB$2,0,0,#REF!,1))</f>
        <v>#REF!</v>
      </c>
      <c r="AD891" s="4" t="e">
        <f>InsurerSize(#REF!)</f>
        <v>#VALUE!</v>
      </c>
      <c r="AE891" s="4" t="e">
        <f t="shared" si="25"/>
        <v>#VALUE!</v>
      </c>
    </row>
    <row r="892" spans="8:31" x14ac:dyDescent="0.2"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AC892" t="e">
        <f ca="1">RANK(AB892,OFFSET($AB$2,0,0,#REF!,1))</f>
        <v>#REF!</v>
      </c>
      <c r="AD892" s="4" t="e">
        <f>InsurerSize(#REF!)</f>
        <v>#VALUE!</v>
      </c>
      <c r="AE892" s="4" t="e">
        <f t="shared" si="25"/>
        <v>#VALUE!</v>
      </c>
    </row>
    <row r="893" spans="8:31" x14ac:dyDescent="0.2"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AC893" t="e">
        <f ca="1">RANK(AB893,OFFSET($AB$2,0,0,#REF!,1))</f>
        <v>#REF!</v>
      </c>
      <c r="AD893" s="4" t="e">
        <f>InsurerSize(#REF!)</f>
        <v>#VALUE!</v>
      </c>
      <c r="AE893" s="4" t="e">
        <f t="shared" si="25"/>
        <v>#VALUE!</v>
      </c>
    </row>
    <row r="894" spans="8:31" x14ac:dyDescent="0.2"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AC894" t="e">
        <f ca="1">RANK(AB894,OFFSET($AB$2,0,0,#REF!,1))</f>
        <v>#REF!</v>
      </c>
      <c r="AD894" s="4" t="e">
        <f>InsurerSize(#REF!)</f>
        <v>#VALUE!</v>
      </c>
      <c r="AE894" s="4" t="e">
        <f t="shared" si="25"/>
        <v>#VALUE!</v>
      </c>
    </row>
    <row r="895" spans="8:31" x14ac:dyDescent="0.2"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AC895" t="e">
        <f ca="1">RANK(AB895,OFFSET($AB$2,0,0,#REF!,1))</f>
        <v>#REF!</v>
      </c>
      <c r="AD895" s="4" t="e">
        <f>InsurerSize(#REF!)</f>
        <v>#VALUE!</v>
      </c>
      <c r="AE895" s="4" t="e">
        <f t="shared" si="25"/>
        <v>#VALUE!</v>
      </c>
    </row>
    <row r="896" spans="8:31" x14ac:dyDescent="0.2"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AC896" t="e">
        <f ca="1">RANK(AB896,OFFSET($AB$2,0,0,#REF!,1))</f>
        <v>#REF!</v>
      </c>
      <c r="AD896" s="4" t="e">
        <f>InsurerSize(#REF!)</f>
        <v>#VALUE!</v>
      </c>
      <c r="AE896" s="4" t="e">
        <f t="shared" si="25"/>
        <v>#VALUE!</v>
      </c>
    </row>
    <row r="897" spans="8:31" x14ac:dyDescent="0.2"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AC897" t="e">
        <f ca="1">RANK(AB897,OFFSET($AB$2,0,0,#REF!,1))</f>
        <v>#REF!</v>
      </c>
      <c r="AD897" s="4" t="e">
        <f>InsurerSize(#REF!)</f>
        <v>#VALUE!</v>
      </c>
      <c r="AE897" s="4" t="e">
        <f t="shared" si="25"/>
        <v>#VALUE!</v>
      </c>
    </row>
    <row r="898" spans="8:31" x14ac:dyDescent="0.2"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AC898" t="e">
        <f ca="1">RANK(AB898,OFFSET($AB$2,0,0,#REF!,1))</f>
        <v>#REF!</v>
      </c>
      <c r="AD898" s="4" t="e">
        <f>InsurerSize(#REF!)</f>
        <v>#VALUE!</v>
      </c>
      <c r="AE898" s="4" t="e">
        <f t="shared" ref="AE898:AE961" si="26">A898&amp;AD898</f>
        <v>#VALUE!</v>
      </c>
    </row>
    <row r="899" spans="8:31" x14ac:dyDescent="0.2"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AC899" t="e">
        <f ca="1">RANK(AB899,OFFSET($AB$2,0,0,#REF!,1))</f>
        <v>#REF!</v>
      </c>
      <c r="AD899" s="4" t="e">
        <f>InsurerSize(#REF!)</f>
        <v>#VALUE!</v>
      </c>
      <c r="AE899" s="4" t="e">
        <f t="shared" si="26"/>
        <v>#VALUE!</v>
      </c>
    </row>
    <row r="900" spans="8:31" x14ac:dyDescent="0.2"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AC900" t="e">
        <f ca="1">RANK(AB900,OFFSET($AB$2,0,0,#REF!,1))</f>
        <v>#REF!</v>
      </c>
      <c r="AD900" s="4" t="e">
        <f>InsurerSize(#REF!)</f>
        <v>#VALUE!</v>
      </c>
      <c r="AE900" s="4" t="e">
        <f t="shared" si="26"/>
        <v>#VALUE!</v>
      </c>
    </row>
    <row r="901" spans="8:31" x14ac:dyDescent="0.2"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AC901" t="e">
        <f ca="1">RANK(AB901,OFFSET($AB$2,0,0,#REF!,1))</f>
        <v>#REF!</v>
      </c>
      <c r="AD901" s="4" t="e">
        <f>InsurerSize(#REF!)</f>
        <v>#VALUE!</v>
      </c>
      <c r="AE901" s="4" t="e">
        <f t="shared" si="26"/>
        <v>#VALUE!</v>
      </c>
    </row>
    <row r="902" spans="8:31" x14ac:dyDescent="0.2"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AC902" t="e">
        <f ca="1">RANK(AB902,OFFSET($AB$2,0,0,#REF!,1))</f>
        <v>#REF!</v>
      </c>
      <c r="AD902" s="4" t="e">
        <f>InsurerSize(#REF!)</f>
        <v>#VALUE!</v>
      </c>
      <c r="AE902" s="4" t="e">
        <f t="shared" si="26"/>
        <v>#VALUE!</v>
      </c>
    </row>
    <row r="903" spans="8:31" x14ac:dyDescent="0.2"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AC903" t="e">
        <f ca="1">RANK(AB903,OFFSET($AB$2,0,0,#REF!,1))</f>
        <v>#REF!</v>
      </c>
      <c r="AD903" s="4" t="e">
        <f>InsurerSize(#REF!)</f>
        <v>#VALUE!</v>
      </c>
      <c r="AE903" s="4" t="e">
        <f t="shared" si="26"/>
        <v>#VALUE!</v>
      </c>
    </row>
    <row r="904" spans="8:31" x14ac:dyDescent="0.2"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AC904" t="e">
        <f ca="1">RANK(AB904,OFFSET($AB$2,0,0,#REF!,1))</f>
        <v>#REF!</v>
      </c>
      <c r="AD904" s="4" t="e">
        <f>InsurerSize(#REF!)</f>
        <v>#VALUE!</v>
      </c>
      <c r="AE904" s="4" t="e">
        <f t="shared" si="26"/>
        <v>#VALUE!</v>
      </c>
    </row>
    <row r="905" spans="8:31" x14ac:dyDescent="0.2"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AC905" t="e">
        <f ca="1">RANK(AB905,OFFSET($AB$2,0,0,#REF!,1))</f>
        <v>#REF!</v>
      </c>
      <c r="AD905" s="4" t="e">
        <f>InsurerSize(#REF!)</f>
        <v>#VALUE!</v>
      </c>
      <c r="AE905" s="4" t="e">
        <f t="shared" si="26"/>
        <v>#VALUE!</v>
      </c>
    </row>
    <row r="906" spans="8:31" x14ac:dyDescent="0.2"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AC906" t="e">
        <f ca="1">RANK(AB906,OFFSET($AB$2,0,0,#REF!,1))</f>
        <v>#REF!</v>
      </c>
      <c r="AD906" s="4" t="e">
        <f>InsurerSize(#REF!)</f>
        <v>#VALUE!</v>
      </c>
      <c r="AE906" s="4" t="e">
        <f t="shared" si="26"/>
        <v>#VALUE!</v>
      </c>
    </row>
    <row r="907" spans="8:31" x14ac:dyDescent="0.2"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AC907" t="e">
        <f ca="1">RANK(AB907,OFFSET($AB$2,0,0,#REF!,1))</f>
        <v>#REF!</v>
      </c>
      <c r="AD907" s="4" t="e">
        <f>InsurerSize(#REF!)</f>
        <v>#VALUE!</v>
      </c>
      <c r="AE907" s="4" t="e">
        <f t="shared" si="26"/>
        <v>#VALUE!</v>
      </c>
    </row>
    <row r="908" spans="8:31" x14ac:dyDescent="0.2"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AC908" t="e">
        <f ca="1">RANK(AB908,OFFSET($AB$2,0,0,#REF!,1))</f>
        <v>#REF!</v>
      </c>
      <c r="AD908" s="4" t="e">
        <f>InsurerSize(#REF!)</f>
        <v>#VALUE!</v>
      </c>
      <c r="AE908" s="4" t="e">
        <f t="shared" si="26"/>
        <v>#VALUE!</v>
      </c>
    </row>
    <row r="909" spans="8:31" x14ac:dyDescent="0.2"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AC909" t="e">
        <f ca="1">RANK(AB909,OFFSET($AB$2,0,0,#REF!,1))</f>
        <v>#REF!</v>
      </c>
      <c r="AD909" s="4" t="e">
        <f>InsurerSize(#REF!)</f>
        <v>#VALUE!</v>
      </c>
      <c r="AE909" s="4" t="e">
        <f t="shared" si="26"/>
        <v>#VALUE!</v>
      </c>
    </row>
    <row r="910" spans="8:31" x14ac:dyDescent="0.2"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AC910" t="e">
        <f ca="1">RANK(AB910,OFFSET($AB$2,0,0,#REF!,1))</f>
        <v>#REF!</v>
      </c>
      <c r="AD910" s="4" t="e">
        <f>InsurerSize(#REF!)</f>
        <v>#VALUE!</v>
      </c>
      <c r="AE910" s="4" t="e">
        <f t="shared" si="26"/>
        <v>#VALUE!</v>
      </c>
    </row>
    <row r="911" spans="8:31" x14ac:dyDescent="0.2"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AC911" t="e">
        <f ca="1">RANK(AB911,OFFSET($AB$2,0,0,#REF!,1))</f>
        <v>#REF!</v>
      </c>
      <c r="AD911" s="4" t="e">
        <f>InsurerSize(#REF!)</f>
        <v>#VALUE!</v>
      </c>
      <c r="AE911" s="4" t="e">
        <f t="shared" si="26"/>
        <v>#VALUE!</v>
      </c>
    </row>
    <row r="912" spans="8:31" x14ac:dyDescent="0.2"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AC912" t="e">
        <f ca="1">RANK(AB912,OFFSET($AB$2,0,0,#REF!,1))</f>
        <v>#REF!</v>
      </c>
      <c r="AD912" s="4" t="e">
        <f>InsurerSize(#REF!)</f>
        <v>#VALUE!</v>
      </c>
      <c r="AE912" s="4" t="e">
        <f t="shared" si="26"/>
        <v>#VALUE!</v>
      </c>
    </row>
    <row r="913" spans="8:31" x14ac:dyDescent="0.2"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AC913" t="e">
        <f ca="1">RANK(AB913,OFFSET($AB$2,0,0,#REF!,1))</f>
        <v>#REF!</v>
      </c>
      <c r="AD913" s="4" t="e">
        <f>InsurerSize(#REF!)</f>
        <v>#VALUE!</v>
      </c>
      <c r="AE913" s="4" t="e">
        <f t="shared" si="26"/>
        <v>#VALUE!</v>
      </c>
    </row>
    <row r="914" spans="8:31" x14ac:dyDescent="0.2"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AC914" t="e">
        <f ca="1">RANK(AB914,OFFSET($AB$2,0,0,#REF!,1))</f>
        <v>#REF!</v>
      </c>
      <c r="AD914" s="4" t="e">
        <f>InsurerSize(#REF!)</f>
        <v>#VALUE!</v>
      </c>
      <c r="AE914" s="4" t="e">
        <f t="shared" si="26"/>
        <v>#VALUE!</v>
      </c>
    </row>
    <row r="915" spans="8:31" x14ac:dyDescent="0.2"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AC915" t="e">
        <f ca="1">RANK(AB915,OFFSET($AB$2,0,0,#REF!,1))</f>
        <v>#REF!</v>
      </c>
      <c r="AD915" s="4" t="e">
        <f>InsurerSize(#REF!)</f>
        <v>#VALUE!</v>
      </c>
      <c r="AE915" s="4" t="e">
        <f t="shared" si="26"/>
        <v>#VALUE!</v>
      </c>
    </row>
    <row r="916" spans="8:31" x14ac:dyDescent="0.2"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AC916" t="e">
        <f ca="1">RANK(AB916,OFFSET($AB$2,0,0,#REF!,1))</f>
        <v>#REF!</v>
      </c>
      <c r="AD916" s="4" t="e">
        <f>InsurerSize(#REF!)</f>
        <v>#VALUE!</v>
      </c>
      <c r="AE916" s="4" t="e">
        <f t="shared" si="26"/>
        <v>#VALUE!</v>
      </c>
    </row>
    <row r="917" spans="8:31" x14ac:dyDescent="0.2"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AC917" t="e">
        <f ca="1">RANK(AB917,OFFSET($AB$2,0,0,#REF!,1))</f>
        <v>#REF!</v>
      </c>
      <c r="AD917" s="4" t="e">
        <f>InsurerSize(#REF!)</f>
        <v>#VALUE!</v>
      </c>
      <c r="AE917" s="4" t="e">
        <f t="shared" si="26"/>
        <v>#VALUE!</v>
      </c>
    </row>
    <row r="918" spans="8:31" x14ac:dyDescent="0.2"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AC918" t="e">
        <f ca="1">RANK(AB918,OFFSET($AB$2,0,0,#REF!,1))</f>
        <v>#REF!</v>
      </c>
      <c r="AD918" s="4" t="e">
        <f>InsurerSize(#REF!)</f>
        <v>#VALUE!</v>
      </c>
      <c r="AE918" s="4" t="e">
        <f t="shared" si="26"/>
        <v>#VALUE!</v>
      </c>
    </row>
    <row r="919" spans="8:31" x14ac:dyDescent="0.2"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AC919" t="e">
        <f ca="1">RANK(AB919,OFFSET($AB$2,0,0,#REF!,1))</f>
        <v>#REF!</v>
      </c>
      <c r="AD919" s="4" t="e">
        <f>InsurerSize(#REF!)</f>
        <v>#VALUE!</v>
      </c>
      <c r="AE919" s="4" t="e">
        <f t="shared" si="26"/>
        <v>#VALUE!</v>
      </c>
    </row>
    <row r="920" spans="8:31" x14ac:dyDescent="0.2"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AC920" t="e">
        <f ca="1">RANK(AB920,OFFSET($AB$2,0,0,#REF!,1))</f>
        <v>#REF!</v>
      </c>
      <c r="AD920" s="4" t="e">
        <f>InsurerSize(#REF!)</f>
        <v>#VALUE!</v>
      </c>
      <c r="AE920" s="4" t="e">
        <f t="shared" si="26"/>
        <v>#VALUE!</v>
      </c>
    </row>
    <row r="921" spans="8:31" x14ac:dyDescent="0.2"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AC921" t="e">
        <f ca="1">RANK(AB921,OFFSET($AB$2,0,0,#REF!,1))</f>
        <v>#REF!</v>
      </c>
      <c r="AD921" s="4" t="e">
        <f>InsurerSize(#REF!)</f>
        <v>#VALUE!</v>
      </c>
      <c r="AE921" s="4" t="e">
        <f t="shared" si="26"/>
        <v>#VALUE!</v>
      </c>
    </row>
    <row r="922" spans="8:31" x14ac:dyDescent="0.2"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AC922" t="e">
        <f ca="1">RANK(AB922,OFFSET($AB$2,0,0,#REF!,1))</f>
        <v>#REF!</v>
      </c>
      <c r="AD922" s="4" t="e">
        <f>InsurerSize(#REF!)</f>
        <v>#VALUE!</v>
      </c>
      <c r="AE922" s="4" t="e">
        <f t="shared" si="26"/>
        <v>#VALUE!</v>
      </c>
    </row>
    <row r="923" spans="8:31" x14ac:dyDescent="0.2"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AC923" t="e">
        <f ca="1">RANK(AB923,OFFSET($AB$2,0,0,#REF!,1))</f>
        <v>#REF!</v>
      </c>
      <c r="AD923" s="4" t="e">
        <f>InsurerSize(#REF!)</f>
        <v>#VALUE!</v>
      </c>
      <c r="AE923" s="4" t="e">
        <f t="shared" si="26"/>
        <v>#VALUE!</v>
      </c>
    </row>
    <row r="924" spans="8:31" x14ac:dyDescent="0.2"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AC924" t="e">
        <f ca="1">RANK(AB924,OFFSET($AB$2,0,0,#REF!,1))</f>
        <v>#REF!</v>
      </c>
      <c r="AD924" s="4" t="e">
        <f>InsurerSize(#REF!)</f>
        <v>#VALUE!</v>
      </c>
      <c r="AE924" s="4" t="e">
        <f t="shared" si="26"/>
        <v>#VALUE!</v>
      </c>
    </row>
    <row r="925" spans="8:31" x14ac:dyDescent="0.2"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AC925" t="e">
        <f ca="1">RANK(AB925,OFFSET($AB$2,0,0,#REF!,1))</f>
        <v>#REF!</v>
      </c>
      <c r="AD925" s="4" t="e">
        <f>InsurerSize(#REF!)</f>
        <v>#VALUE!</v>
      </c>
      <c r="AE925" s="4" t="e">
        <f t="shared" si="26"/>
        <v>#VALUE!</v>
      </c>
    </row>
    <row r="926" spans="8:31" x14ac:dyDescent="0.2"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AC926" t="e">
        <f ca="1">RANK(AB926,OFFSET($AB$2,0,0,#REF!,1))</f>
        <v>#REF!</v>
      </c>
      <c r="AD926" s="4" t="e">
        <f>InsurerSize(#REF!)</f>
        <v>#VALUE!</v>
      </c>
      <c r="AE926" s="4" t="e">
        <f t="shared" si="26"/>
        <v>#VALUE!</v>
      </c>
    </row>
    <row r="927" spans="8:31" x14ac:dyDescent="0.2"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AC927" t="e">
        <f ca="1">RANK(AB927,OFFSET($AB$2,0,0,#REF!,1))</f>
        <v>#REF!</v>
      </c>
      <c r="AD927" s="4" t="e">
        <f>InsurerSize(#REF!)</f>
        <v>#VALUE!</v>
      </c>
      <c r="AE927" s="4" t="e">
        <f t="shared" si="26"/>
        <v>#VALUE!</v>
      </c>
    </row>
    <row r="928" spans="8:31" x14ac:dyDescent="0.2"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AC928" t="e">
        <f ca="1">RANK(AB928,OFFSET($AB$2,0,0,#REF!,1))</f>
        <v>#REF!</v>
      </c>
      <c r="AD928" s="4" t="e">
        <f>InsurerSize(#REF!)</f>
        <v>#VALUE!</v>
      </c>
      <c r="AE928" s="4" t="e">
        <f t="shared" si="26"/>
        <v>#VALUE!</v>
      </c>
    </row>
    <row r="929" spans="8:31" x14ac:dyDescent="0.2"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AC929" t="e">
        <f ca="1">RANK(AB929,OFFSET($AB$2,0,0,#REF!,1))</f>
        <v>#REF!</v>
      </c>
      <c r="AD929" s="4" t="e">
        <f>InsurerSize(#REF!)</f>
        <v>#VALUE!</v>
      </c>
      <c r="AE929" s="4" t="e">
        <f t="shared" si="26"/>
        <v>#VALUE!</v>
      </c>
    </row>
    <row r="930" spans="8:31" x14ac:dyDescent="0.2"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AC930" t="e">
        <f ca="1">RANK(AB930,OFFSET($AB$2,0,0,#REF!,1))</f>
        <v>#REF!</v>
      </c>
      <c r="AD930" s="4" t="e">
        <f>InsurerSize(#REF!)</f>
        <v>#VALUE!</v>
      </c>
      <c r="AE930" s="4" t="e">
        <f t="shared" si="26"/>
        <v>#VALUE!</v>
      </c>
    </row>
    <row r="931" spans="8:31" x14ac:dyDescent="0.2"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AC931" t="e">
        <f ca="1">RANK(AB931,OFFSET($AB$2,0,0,#REF!,1))</f>
        <v>#REF!</v>
      </c>
      <c r="AD931" s="4" t="e">
        <f>InsurerSize(#REF!)</f>
        <v>#VALUE!</v>
      </c>
      <c r="AE931" s="4" t="e">
        <f t="shared" si="26"/>
        <v>#VALUE!</v>
      </c>
    </row>
    <row r="932" spans="8:31" x14ac:dyDescent="0.2"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AC932" t="e">
        <f ca="1">RANK(AB932,OFFSET($AB$2,0,0,#REF!,1))</f>
        <v>#REF!</v>
      </c>
      <c r="AD932" s="4" t="e">
        <f>InsurerSize(#REF!)</f>
        <v>#VALUE!</v>
      </c>
      <c r="AE932" s="4" t="e">
        <f t="shared" si="26"/>
        <v>#VALUE!</v>
      </c>
    </row>
    <row r="933" spans="8:31" x14ac:dyDescent="0.2"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AC933" t="e">
        <f ca="1">RANK(AB933,OFFSET($AB$2,0,0,#REF!,1))</f>
        <v>#REF!</v>
      </c>
      <c r="AD933" s="4" t="e">
        <f>InsurerSize(#REF!)</f>
        <v>#VALUE!</v>
      </c>
      <c r="AE933" s="4" t="e">
        <f t="shared" si="26"/>
        <v>#VALUE!</v>
      </c>
    </row>
    <row r="934" spans="8:31" x14ac:dyDescent="0.2"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AC934" t="e">
        <f ca="1">RANK(AB934,OFFSET($AB$2,0,0,#REF!,1))</f>
        <v>#REF!</v>
      </c>
      <c r="AD934" s="4" t="e">
        <f>InsurerSize(#REF!)</f>
        <v>#VALUE!</v>
      </c>
      <c r="AE934" s="4" t="e">
        <f t="shared" si="26"/>
        <v>#VALUE!</v>
      </c>
    </row>
    <row r="935" spans="8:31" x14ac:dyDescent="0.2"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AC935" t="e">
        <f ca="1">RANK(AB935,OFFSET($AB$2,0,0,#REF!,1))</f>
        <v>#REF!</v>
      </c>
      <c r="AD935" s="4" t="e">
        <f>InsurerSize(#REF!)</f>
        <v>#VALUE!</v>
      </c>
      <c r="AE935" s="4" t="e">
        <f t="shared" si="26"/>
        <v>#VALUE!</v>
      </c>
    </row>
    <row r="936" spans="8:31" x14ac:dyDescent="0.2"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AC936" t="e">
        <f ca="1">RANK(AB936,OFFSET($AB$2,0,0,#REF!,1))</f>
        <v>#REF!</v>
      </c>
      <c r="AD936" s="4" t="e">
        <f>InsurerSize(#REF!)</f>
        <v>#VALUE!</v>
      </c>
      <c r="AE936" s="4" t="e">
        <f t="shared" si="26"/>
        <v>#VALUE!</v>
      </c>
    </row>
    <row r="937" spans="8:31" x14ac:dyDescent="0.2"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AC937" t="e">
        <f ca="1">RANK(AB937,OFFSET($AB$2,0,0,#REF!,1))</f>
        <v>#REF!</v>
      </c>
      <c r="AD937" s="4" t="e">
        <f>InsurerSize(#REF!)</f>
        <v>#VALUE!</v>
      </c>
      <c r="AE937" s="4" t="e">
        <f t="shared" si="26"/>
        <v>#VALUE!</v>
      </c>
    </row>
    <row r="938" spans="8:31" x14ac:dyDescent="0.2"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AC938" t="e">
        <f ca="1">RANK(AB938,OFFSET($AB$2,0,0,#REF!,1))</f>
        <v>#REF!</v>
      </c>
      <c r="AD938" s="4" t="e">
        <f>InsurerSize(#REF!)</f>
        <v>#VALUE!</v>
      </c>
      <c r="AE938" s="4" t="e">
        <f t="shared" si="26"/>
        <v>#VALUE!</v>
      </c>
    </row>
    <row r="939" spans="8:31" x14ac:dyDescent="0.2"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AC939" t="e">
        <f ca="1">RANK(AB939,OFFSET($AB$2,0,0,#REF!,1))</f>
        <v>#REF!</v>
      </c>
      <c r="AD939" s="4" t="e">
        <f>InsurerSize(#REF!)</f>
        <v>#VALUE!</v>
      </c>
      <c r="AE939" s="4" t="e">
        <f t="shared" si="26"/>
        <v>#VALUE!</v>
      </c>
    </row>
    <row r="940" spans="8:31" x14ac:dyDescent="0.2"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AC940" t="e">
        <f ca="1">RANK(AB940,OFFSET($AB$2,0,0,#REF!,1))</f>
        <v>#REF!</v>
      </c>
      <c r="AD940" s="4" t="e">
        <f>InsurerSize(#REF!)</f>
        <v>#VALUE!</v>
      </c>
      <c r="AE940" s="4" t="e">
        <f t="shared" si="26"/>
        <v>#VALUE!</v>
      </c>
    </row>
    <row r="941" spans="8:31" x14ac:dyDescent="0.2"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AC941" t="e">
        <f ca="1">RANK(AB941,OFFSET($AB$2,0,0,#REF!,1))</f>
        <v>#REF!</v>
      </c>
      <c r="AD941" s="4" t="e">
        <f>InsurerSize(#REF!)</f>
        <v>#VALUE!</v>
      </c>
      <c r="AE941" s="4" t="e">
        <f t="shared" si="26"/>
        <v>#VALUE!</v>
      </c>
    </row>
    <row r="942" spans="8:31" x14ac:dyDescent="0.2"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AC942" t="e">
        <f ca="1">RANK(AB942,OFFSET($AB$2,0,0,#REF!,1))</f>
        <v>#REF!</v>
      </c>
      <c r="AD942" s="4" t="e">
        <f>InsurerSize(#REF!)</f>
        <v>#VALUE!</v>
      </c>
      <c r="AE942" s="4" t="e">
        <f t="shared" si="26"/>
        <v>#VALUE!</v>
      </c>
    </row>
    <row r="943" spans="8:31" x14ac:dyDescent="0.2"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AC943" t="e">
        <f ca="1">RANK(AB943,OFFSET($AB$2,0,0,#REF!,1))</f>
        <v>#REF!</v>
      </c>
      <c r="AD943" s="4" t="e">
        <f>InsurerSize(#REF!)</f>
        <v>#VALUE!</v>
      </c>
      <c r="AE943" s="4" t="e">
        <f t="shared" si="26"/>
        <v>#VALUE!</v>
      </c>
    </row>
    <row r="944" spans="8:31" x14ac:dyDescent="0.2"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AC944" t="e">
        <f ca="1">RANK(AB944,OFFSET($AB$2,0,0,#REF!,1))</f>
        <v>#REF!</v>
      </c>
      <c r="AD944" s="4" t="e">
        <f>InsurerSize(#REF!)</f>
        <v>#VALUE!</v>
      </c>
      <c r="AE944" s="4" t="e">
        <f t="shared" si="26"/>
        <v>#VALUE!</v>
      </c>
    </row>
    <row r="945" spans="8:31" x14ac:dyDescent="0.2"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AC945" t="e">
        <f ca="1">RANK(AB945,OFFSET($AB$2,0,0,#REF!,1))</f>
        <v>#REF!</v>
      </c>
      <c r="AD945" s="4" t="e">
        <f>InsurerSize(#REF!)</f>
        <v>#VALUE!</v>
      </c>
      <c r="AE945" s="4" t="e">
        <f t="shared" si="26"/>
        <v>#VALUE!</v>
      </c>
    </row>
    <row r="946" spans="8:31" x14ac:dyDescent="0.2"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AC946" t="e">
        <f ca="1">RANK(AB946,OFFSET($AB$2,0,0,#REF!,1))</f>
        <v>#REF!</v>
      </c>
      <c r="AD946" s="4" t="e">
        <f>InsurerSize(#REF!)</f>
        <v>#VALUE!</v>
      </c>
      <c r="AE946" s="4" t="e">
        <f t="shared" si="26"/>
        <v>#VALUE!</v>
      </c>
    </row>
    <row r="947" spans="8:31" x14ac:dyDescent="0.2"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AC947" t="e">
        <f ca="1">RANK(AB947,OFFSET($AB$2,0,0,#REF!,1))</f>
        <v>#REF!</v>
      </c>
      <c r="AD947" s="4" t="e">
        <f>InsurerSize(#REF!)</f>
        <v>#VALUE!</v>
      </c>
      <c r="AE947" s="4" t="e">
        <f t="shared" si="26"/>
        <v>#VALUE!</v>
      </c>
    </row>
    <row r="948" spans="8:31" x14ac:dyDescent="0.2"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AC948" t="e">
        <f ca="1">RANK(AB948,OFFSET($AB$2,0,0,#REF!,1))</f>
        <v>#REF!</v>
      </c>
      <c r="AD948" s="4" t="e">
        <f>InsurerSize(#REF!)</f>
        <v>#VALUE!</v>
      </c>
      <c r="AE948" s="4" t="e">
        <f t="shared" si="26"/>
        <v>#VALUE!</v>
      </c>
    </row>
    <row r="949" spans="8:31" x14ac:dyDescent="0.2"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AC949" t="e">
        <f ca="1">RANK(AB949,OFFSET($AB$2,0,0,#REF!,1))</f>
        <v>#REF!</v>
      </c>
      <c r="AD949" s="4" t="e">
        <f>InsurerSize(#REF!)</f>
        <v>#VALUE!</v>
      </c>
      <c r="AE949" s="4" t="e">
        <f t="shared" si="26"/>
        <v>#VALUE!</v>
      </c>
    </row>
    <row r="950" spans="8:31" x14ac:dyDescent="0.2"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AC950" t="e">
        <f ca="1">RANK(AB950,OFFSET($AB$2,0,0,#REF!,1))</f>
        <v>#REF!</v>
      </c>
      <c r="AD950" s="4" t="e">
        <f>InsurerSize(#REF!)</f>
        <v>#VALUE!</v>
      </c>
      <c r="AE950" s="4" t="e">
        <f t="shared" si="26"/>
        <v>#VALUE!</v>
      </c>
    </row>
    <row r="951" spans="8:31" x14ac:dyDescent="0.2"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AC951" t="e">
        <f ca="1">RANK(AB951,OFFSET($AB$2,0,0,#REF!,1))</f>
        <v>#REF!</v>
      </c>
      <c r="AD951" s="4" t="e">
        <f>InsurerSize(#REF!)</f>
        <v>#VALUE!</v>
      </c>
      <c r="AE951" s="4" t="e">
        <f t="shared" si="26"/>
        <v>#VALUE!</v>
      </c>
    </row>
    <row r="952" spans="8:31" x14ac:dyDescent="0.2"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AC952" t="e">
        <f ca="1">RANK(AB952,OFFSET($AB$2,0,0,#REF!,1))</f>
        <v>#REF!</v>
      </c>
      <c r="AD952" s="4" t="e">
        <f>InsurerSize(#REF!)</f>
        <v>#VALUE!</v>
      </c>
      <c r="AE952" s="4" t="e">
        <f t="shared" si="26"/>
        <v>#VALUE!</v>
      </c>
    </row>
    <row r="953" spans="8:31" x14ac:dyDescent="0.2"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AC953" t="e">
        <f ca="1">RANK(AB953,OFFSET($AB$2,0,0,#REF!,1))</f>
        <v>#REF!</v>
      </c>
      <c r="AD953" s="4" t="e">
        <f>InsurerSize(#REF!)</f>
        <v>#VALUE!</v>
      </c>
      <c r="AE953" s="4" t="e">
        <f t="shared" si="26"/>
        <v>#VALUE!</v>
      </c>
    </row>
    <row r="954" spans="8:31" x14ac:dyDescent="0.2"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AC954" t="e">
        <f ca="1">RANK(AB954,OFFSET($AB$2,0,0,#REF!,1))</f>
        <v>#REF!</v>
      </c>
      <c r="AD954" s="4" t="e">
        <f>InsurerSize(#REF!)</f>
        <v>#VALUE!</v>
      </c>
      <c r="AE954" s="4" t="e">
        <f t="shared" si="26"/>
        <v>#VALUE!</v>
      </c>
    </row>
    <row r="955" spans="8:31" x14ac:dyDescent="0.2"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AC955" t="e">
        <f ca="1">RANK(AB955,OFFSET($AB$2,0,0,#REF!,1))</f>
        <v>#REF!</v>
      </c>
      <c r="AD955" s="4" t="e">
        <f>InsurerSize(#REF!)</f>
        <v>#VALUE!</v>
      </c>
      <c r="AE955" s="4" t="e">
        <f t="shared" si="26"/>
        <v>#VALUE!</v>
      </c>
    </row>
    <row r="956" spans="8:31" x14ac:dyDescent="0.2"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AC956" t="e">
        <f ca="1">RANK(AB956,OFFSET($AB$2,0,0,#REF!,1))</f>
        <v>#REF!</v>
      </c>
      <c r="AD956" s="4" t="e">
        <f>InsurerSize(#REF!)</f>
        <v>#VALUE!</v>
      </c>
      <c r="AE956" s="4" t="e">
        <f t="shared" si="26"/>
        <v>#VALUE!</v>
      </c>
    </row>
    <row r="957" spans="8:31" x14ac:dyDescent="0.2"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AC957" t="e">
        <f ca="1">RANK(AB957,OFFSET($AB$2,0,0,#REF!,1))</f>
        <v>#REF!</v>
      </c>
      <c r="AD957" s="4" t="e">
        <f>InsurerSize(#REF!)</f>
        <v>#VALUE!</v>
      </c>
      <c r="AE957" s="4" t="e">
        <f t="shared" si="26"/>
        <v>#VALUE!</v>
      </c>
    </row>
    <row r="958" spans="8:31" x14ac:dyDescent="0.2"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AC958" t="e">
        <f ca="1">RANK(AB958,OFFSET($AB$2,0,0,#REF!,1))</f>
        <v>#REF!</v>
      </c>
      <c r="AD958" s="4" t="e">
        <f>InsurerSize(#REF!)</f>
        <v>#VALUE!</v>
      </c>
      <c r="AE958" s="4" t="e">
        <f t="shared" si="26"/>
        <v>#VALUE!</v>
      </c>
    </row>
    <row r="959" spans="8:31" x14ac:dyDescent="0.2"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AC959" t="e">
        <f ca="1">RANK(AB959,OFFSET($AB$2,0,0,#REF!,1))</f>
        <v>#REF!</v>
      </c>
      <c r="AD959" s="4" t="e">
        <f>InsurerSize(#REF!)</f>
        <v>#VALUE!</v>
      </c>
      <c r="AE959" s="4" t="e">
        <f t="shared" si="26"/>
        <v>#VALUE!</v>
      </c>
    </row>
    <row r="960" spans="8:31" x14ac:dyDescent="0.2"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AC960" t="e">
        <f ca="1">RANK(AB960,OFFSET($AB$2,0,0,#REF!,1))</f>
        <v>#REF!</v>
      </c>
      <c r="AD960" s="4" t="e">
        <f>InsurerSize(#REF!)</f>
        <v>#VALUE!</v>
      </c>
      <c r="AE960" s="4" t="e">
        <f t="shared" si="26"/>
        <v>#VALUE!</v>
      </c>
    </row>
    <row r="961" spans="8:31" x14ac:dyDescent="0.2"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AC961" t="e">
        <f ca="1">RANK(AB961,OFFSET($AB$2,0,0,#REF!,1))</f>
        <v>#REF!</v>
      </c>
      <c r="AD961" s="4" t="e">
        <f>InsurerSize(#REF!)</f>
        <v>#VALUE!</v>
      </c>
      <c r="AE961" s="4" t="e">
        <f t="shared" si="26"/>
        <v>#VALUE!</v>
      </c>
    </row>
    <row r="962" spans="8:31" x14ac:dyDescent="0.2"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AC962" t="e">
        <f ca="1">RANK(AB962,OFFSET($AB$2,0,0,#REF!,1))</f>
        <v>#REF!</v>
      </c>
      <c r="AD962" s="4" t="e">
        <f>InsurerSize(#REF!)</f>
        <v>#VALUE!</v>
      </c>
      <c r="AE962" s="4" t="e">
        <f t="shared" ref="AE962:AE1025" si="27">A962&amp;AD962</f>
        <v>#VALUE!</v>
      </c>
    </row>
    <row r="963" spans="8:31" x14ac:dyDescent="0.2"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AC963" t="e">
        <f ca="1">RANK(AB963,OFFSET($AB$2,0,0,#REF!,1))</f>
        <v>#REF!</v>
      </c>
      <c r="AD963" s="4" t="e">
        <f>InsurerSize(#REF!)</f>
        <v>#VALUE!</v>
      </c>
      <c r="AE963" s="4" t="e">
        <f t="shared" si="27"/>
        <v>#VALUE!</v>
      </c>
    </row>
    <row r="964" spans="8:31" x14ac:dyDescent="0.2"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AC964" t="e">
        <f ca="1">RANK(AB964,OFFSET($AB$2,0,0,#REF!,1))</f>
        <v>#REF!</v>
      </c>
      <c r="AD964" s="4" t="e">
        <f>InsurerSize(#REF!)</f>
        <v>#VALUE!</v>
      </c>
      <c r="AE964" s="4" t="e">
        <f t="shared" si="27"/>
        <v>#VALUE!</v>
      </c>
    </row>
    <row r="965" spans="8:31" x14ac:dyDescent="0.2"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AC965" t="e">
        <f ca="1">RANK(AB965,OFFSET($AB$2,0,0,#REF!,1))</f>
        <v>#REF!</v>
      </c>
      <c r="AD965" s="4" t="e">
        <f>InsurerSize(#REF!)</f>
        <v>#VALUE!</v>
      </c>
      <c r="AE965" s="4" t="e">
        <f t="shared" si="27"/>
        <v>#VALUE!</v>
      </c>
    </row>
    <row r="966" spans="8:31" x14ac:dyDescent="0.2"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AC966" t="e">
        <f ca="1">RANK(AB966,OFFSET($AB$2,0,0,#REF!,1))</f>
        <v>#REF!</v>
      </c>
      <c r="AD966" s="4" t="e">
        <f>InsurerSize(#REF!)</f>
        <v>#VALUE!</v>
      </c>
      <c r="AE966" s="4" t="e">
        <f t="shared" si="27"/>
        <v>#VALUE!</v>
      </c>
    </row>
    <row r="967" spans="8:31" x14ac:dyDescent="0.2"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AC967" t="e">
        <f ca="1">RANK(AB967,OFFSET($AB$2,0,0,#REF!,1))</f>
        <v>#REF!</v>
      </c>
      <c r="AD967" s="4" t="e">
        <f>InsurerSize(#REF!)</f>
        <v>#VALUE!</v>
      </c>
      <c r="AE967" s="4" t="e">
        <f t="shared" si="27"/>
        <v>#VALUE!</v>
      </c>
    </row>
    <row r="968" spans="8:31" x14ac:dyDescent="0.2"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AC968" t="e">
        <f ca="1">RANK(AB968,OFFSET($AB$2,0,0,#REF!,1))</f>
        <v>#REF!</v>
      </c>
      <c r="AD968" s="4" t="e">
        <f>InsurerSize(#REF!)</f>
        <v>#VALUE!</v>
      </c>
      <c r="AE968" s="4" t="e">
        <f t="shared" si="27"/>
        <v>#VALUE!</v>
      </c>
    </row>
    <row r="969" spans="8:31" x14ac:dyDescent="0.2"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AC969" t="e">
        <f ca="1">RANK(AB969,OFFSET($AB$2,0,0,#REF!,1))</f>
        <v>#REF!</v>
      </c>
      <c r="AD969" s="4" t="e">
        <f>InsurerSize(#REF!)</f>
        <v>#VALUE!</v>
      </c>
      <c r="AE969" s="4" t="e">
        <f t="shared" si="27"/>
        <v>#VALUE!</v>
      </c>
    </row>
    <row r="970" spans="8:31" x14ac:dyDescent="0.2"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AC970" t="e">
        <f ca="1">RANK(AB970,OFFSET($AB$2,0,0,#REF!,1))</f>
        <v>#REF!</v>
      </c>
      <c r="AD970" s="4" t="e">
        <f>InsurerSize(#REF!)</f>
        <v>#VALUE!</v>
      </c>
      <c r="AE970" s="4" t="e">
        <f t="shared" si="27"/>
        <v>#VALUE!</v>
      </c>
    </row>
    <row r="971" spans="8:31" x14ac:dyDescent="0.2"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AC971" t="e">
        <f ca="1">RANK(AB971,OFFSET($AB$2,0,0,#REF!,1))</f>
        <v>#REF!</v>
      </c>
      <c r="AD971" s="4" t="e">
        <f>InsurerSize(#REF!)</f>
        <v>#VALUE!</v>
      </c>
      <c r="AE971" s="4" t="e">
        <f t="shared" si="27"/>
        <v>#VALUE!</v>
      </c>
    </row>
    <row r="972" spans="8:31" x14ac:dyDescent="0.2"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AC972" t="e">
        <f ca="1">RANK(AB972,OFFSET($AB$2,0,0,#REF!,1))</f>
        <v>#REF!</v>
      </c>
      <c r="AD972" s="4" t="e">
        <f>InsurerSize(#REF!)</f>
        <v>#VALUE!</v>
      </c>
      <c r="AE972" s="4" t="e">
        <f t="shared" si="27"/>
        <v>#VALUE!</v>
      </c>
    </row>
    <row r="973" spans="8:31" x14ac:dyDescent="0.2"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AC973" t="e">
        <f ca="1">RANK(AB973,OFFSET($AB$2,0,0,#REF!,1))</f>
        <v>#REF!</v>
      </c>
      <c r="AD973" s="4" t="e">
        <f>InsurerSize(#REF!)</f>
        <v>#VALUE!</v>
      </c>
      <c r="AE973" s="4" t="e">
        <f t="shared" si="27"/>
        <v>#VALUE!</v>
      </c>
    </row>
    <row r="974" spans="8:31" x14ac:dyDescent="0.2"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AC974" t="e">
        <f ca="1">RANK(AB974,OFFSET($AB$2,0,0,#REF!,1))</f>
        <v>#REF!</v>
      </c>
      <c r="AD974" s="4" t="e">
        <f>InsurerSize(#REF!)</f>
        <v>#VALUE!</v>
      </c>
      <c r="AE974" s="4" t="e">
        <f t="shared" si="27"/>
        <v>#VALUE!</v>
      </c>
    </row>
    <row r="975" spans="8:31" x14ac:dyDescent="0.2"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AC975" t="e">
        <f ca="1">RANK(AB975,OFFSET($AB$2,0,0,#REF!,1))</f>
        <v>#REF!</v>
      </c>
      <c r="AD975" s="4" t="e">
        <f>InsurerSize(#REF!)</f>
        <v>#VALUE!</v>
      </c>
      <c r="AE975" s="4" t="e">
        <f t="shared" si="27"/>
        <v>#VALUE!</v>
      </c>
    </row>
    <row r="976" spans="8:31" x14ac:dyDescent="0.2"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AC976" t="e">
        <f ca="1">RANK(AB976,OFFSET($AB$2,0,0,#REF!,1))</f>
        <v>#REF!</v>
      </c>
      <c r="AD976" s="4" t="e">
        <f>InsurerSize(#REF!)</f>
        <v>#VALUE!</v>
      </c>
      <c r="AE976" s="4" t="e">
        <f t="shared" si="27"/>
        <v>#VALUE!</v>
      </c>
    </row>
    <row r="977" spans="8:31" x14ac:dyDescent="0.2"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AC977" t="e">
        <f ca="1">RANK(AB977,OFFSET($AB$2,0,0,#REF!,1))</f>
        <v>#REF!</v>
      </c>
      <c r="AD977" s="4" t="e">
        <f>InsurerSize(#REF!)</f>
        <v>#VALUE!</v>
      </c>
      <c r="AE977" s="4" t="e">
        <f t="shared" si="27"/>
        <v>#VALUE!</v>
      </c>
    </row>
    <row r="978" spans="8:31" x14ac:dyDescent="0.2"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AC978" t="e">
        <f ca="1">RANK(AB978,OFFSET($AB$2,0,0,#REF!,1))</f>
        <v>#REF!</v>
      </c>
      <c r="AD978" s="4" t="e">
        <f>InsurerSize(#REF!)</f>
        <v>#VALUE!</v>
      </c>
      <c r="AE978" s="4" t="e">
        <f t="shared" si="27"/>
        <v>#VALUE!</v>
      </c>
    </row>
    <row r="979" spans="8:31" x14ac:dyDescent="0.2"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AC979" t="e">
        <f ca="1">RANK(AB979,OFFSET($AB$2,0,0,#REF!,1))</f>
        <v>#REF!</v>
      </c>
      <c r="AD979" s="4" t="e">
        <f>InsurerSize(#REF!)</f>
        <v>#VALUE!</v>
      </c>
      <c r="AE979" s="4" t="e">
        <f t="shared" si="27"/>
        <v>#VALUE!</v>
      </c>
    </row>
    <row r="980" spans="8:31" x14ac:dyDescent="0.2"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AC980" t="e">
        <f ca="1">RANK(AB980,OFFSET($AB$2,0,0,#REF!,1))</f>
        <v>#REF!</v>
      </c>
      <c r="AD980" s="4" t="e">
        <f>InsurerSize(#REF!)</f>
        <v>#VALUE!</v>
      </c>
      <c r="AE980" s="4" t="e">
        <f t="shared" si="27"/>
        <v>#VALUE!</v>
      </c>
    </row>
    <row r="981" spans="8:31" x14ac:dyDescent="0.2"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AC981" t="e">
        <f ca="1">RANK(AB981,OFFSET($AB$2,0,0,#REF!,1))</f>
        <v>#REF!</v>
      </c>
      <c r="AD981" s="4" t="e">
        <f>InsurerSize(#REF!)</f>
        <v>#VALUE!</v>
      </c>
      <c r="AE981" s="4" t="e">
        <f t="shared" si="27"/>
        <v>#VALUE!</v>
      </c>
    </row>
    <row r="982" spans="8:31" x14ac:dyDescent="0.2"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AC982" t="e">
        <f ca="1">RANK(AB982,OFFSET($AB$2,0,0,#REF!,1))</f>
        <v>#REF!</v>
      </c>
      <c r="AD982" s="4" t="e">
        <f>InsurerSize(#REF!)</f>
        <v>#VALUE!</v>
      </c>
      <c r="AE982" s="4" t="e">
        <f t="shared" si="27"/>
        <v>#VALUE!</v>
      </c>
    </row>
    <row r="983" spans="8:31" x14ac:dyDescent="0.2"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AC983" t="e">
        <f ca="1">RANK(AB983,OFFSET($AB$2,0,0,#REF!,1))</f>
        <v>#REF!</v>
      </c>
      <c r="AD983" s="4" t="e">
        <f>InsurerSize(#REF!)</f>
        <v>#VALUE!</v>
      </c>
      <c r="AE983" s="4" t="e">
        <f t="shared" si="27"/>
        <v>#VALUE!</v>
      </c>
    </row>
    <row r="984" spans="8:31" x14ac:dyDescent="0.2"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AC984" t="e">
        <f ca="1">RANK(AB984,OFFSET($AB$2,0,0,#REF!,1))</f>
        <v>#REF!</v>
      </c>
      <c r="AD984" s="4" t="e">
        <f>InsurerSize(#REF!)</f>
        <v>#VALUE!</v>
      </c>
      <c r="AE984" s="4" t="e">
        <f t="shared" si="27"/>
        <v>#VALUE!</v>
      </c>
    </row>
    <row r="985" spans="8:31" x14ac:dyDescent="0.2"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AC985" t="e">
        <f ca="1">RANK(AB985,OFFSET($AB$2,0,0,#REF!,1))</f>
        <v>#REF!</v>
      </c>
      <c r="AD985" s="4" t="e">
        <f>InsurerSize(#REF!)</f>
        <v>#VALUE!</v>
      </c>
      <c r="AE985" s="4" t="e">
        <f t="shared" si="27"/>
        <v>#VALUE!</v>
      </c>
    </row>
    <row r="986" spans="8:31" x14ac:dyDescent="0.2"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AC986" t="e">
        <f ca="1">RANK(AB986,OFFSET($AB$2,0,0,#REF!,1))</f>
        <v>#REF!</v>
      </c>
      <c r="AD986" s="4" t="e">
        <f>InsurerSize(#REF!)</f>
        <v>#VALUE!</v>
      </c>
      <c r="AE986" s="4" t="e">
        <f t="shared" si="27"/>
        <v>#VALUE!</v>
      </c>
    </row>
    <row r="987" spans="8:31" x14ac:dyDescent="0.2"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AC987" t="e">
        <f ca="1">RANK(AB987,OFFSET($AB$2,0,0,#REF!,1))</f>
        <v>#REF!</v>
      </c>
      <c r="AD987" s="4" t="e">
        <f>InsurerSize(#REF!)</f>
        <v>#VALUE!</v>
      </c>
      <c r="AE987" s="4" t="e">
        <f t="shared" si="27"/>
        <v>#VALUE!</v>
      </c>
    </row>
    <row r="988" spans="8:31" x14ac:dyDescent="0.2"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AC988" t="e">
        <f ca="1">RANK(AB988,OFFSET($AB$2,0,0,#REF!,1))</f>
        <v>#REF!</v>
      </c>
      <c r="AD988" s="4" t="e">
        <f>InsurerSize(#REF!)</f>
        <v>#VALUE!</v>
      </c>
      <c r="AE988" s="4" t="e">
        <f t="shared" si="27"/>
        <v>#VALUE!</v>
      </c>
    </row>
    <row r="989" spans="8:31" x14ac:dyDescent="0.2"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AC989" t="e">
        <f ca="1">RANK(AB989,OFFSET($AB$2,0,0,#REF!,1))</f>
        <v>#REF!</v>
      </c>
      <c r="AD989" s="4" t="e">
        <f>InsurerSize(#REF!)</f>
        <v>#VALUE!</v>
      </c>
      <c r="AE989" s="4" t="e">
        <f t="shared" si="27"/>
        <v>#VALUE!</v>
      </c>
    </row>
    <row r="990" spans="8:31" x14ac:dyDescent="0.2"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AC990" t="e">
        <f ca="1">RANK(AB990,OFFSET($AB$2,0,0,#REF!,1))</f>
        <v>#REF!</v>
      </c>
      <c r="AD990" s="4" t="e">
        <f>InsurerSize(#REF!)</f>
        <v>#VALUE!</v>
      </c>
      <c r="AE990" s="4" t="e">
        <f t="shared" si="27"/>
        <v>#VALUE!</v>
      </c>
    </row>
    <row r="991" spans="8:31" x14ac:dyDescent="0.2"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AC991" t="e">
        <f ca="1">RANK(AB991,OFFSET($AB$2,0,0,#REF!,1))</f>
        <v>#REF!</v>
      </c>
      <c r="AD991" s="4" t="e">
        <f>InsurerSize(#REF!)</f>
        <v>#VALUE!</v>
      </c>
      <c r="AE991" s="4" t="e">
        <f t="shared" si="27"/>
        <v>#VALUE!</v>
      </c>
    </row>
    <row r="992" spans="8:31" x14ac:dyDescent="0.2"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AC992" t="e">
        <f ca="1">RANK(AB992,OFFSET($AB$2,0,0,#REF!,1))</f>
        <v>#REF!</v>
      </c>
      <c r="AD992" s="4" t="e">
        <f>InsurerSize(#REF!)</f>
        <v>#VALUE!</v>
      </c>
      <c r="AE992" s="4" t="e">
        <f t="shared" si="27"/>
        <v>#VALUE!</v>
      </c>
    </row>
    <row r="993" spans="8:31" x14ac:dyDescent="0.2"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AC993" t="e">
        <f ca="1">RANK(AB993,OFFSET($AB$2,0,0,#REF!,1))</f>
        <v>#REF!</v>
      </c>
      <c r="AD993" s="4" t="e">
        <f>InsurerSize(#REF!)</f>
        <v>#VALUE!</v>
      </c>
      <c r="AE993" s="4" t="e">
        <f t="shared" si="27"/>
        <v>#VALUE!</v>
      </c>
    </row>
    <row r="994" spans="8:31" x14ac:dyDescent="0.2"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AC994" t="e">
        <f ca="1">RANK(AB994,OFFSET($AB$2,0,0,#REF!,1))</f>
        <v>#REF!</v>
      </c>
      <c r="AD994" s="4" t="e">
        <f>InsurerSize(#REF!)</f>
        <v>#VALUE!</v>
      </c>
      <c r="AE994" s="4" t="e">
        <f t="shared" si="27"/>
        <v>#VALUE!</v>
      </c>
    </row>
    <row r="995" spans="8:31" x14ac:dyDescent="0.2"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AC995" t="e">
        <f ca="1">RANK(AB995,OFFSET($AB$2,0,0,#REF!,1))</f>
        <v>#REF!</v>
      </c>
      <c r="AD995" s="4" t="e">
        <f>InsurerSize(#REF!)</f>
        <v>#VALUE!</v>
      </c>
      <c r="AE995" s="4" t="e">
        <f t="shared" si="27"/>
        <v>#VALUE!</v>
      </c>
    </row>
    <row r="996" spans="8:31" x14ac:dyDescent="0.2"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AC996" t="e">
        <f ca="1">RANK(AB996,OFFSET($AB$2,0,0,#REF!,1))</f>
        <v>#REF!</v>
      </c>
      <c r="AD996" s="4" t="e">
        <f>InsurerSize(#REF!)</f>
        <v>#VALUE!</v>
      </c>
      <c r="AE996" s="4" t="e">
        <f t="shared" si="27"/>
        <v>#VALUE!</v>
      </c>
    </row>
    <row r="997" spans="8:31" x14ac:dyDescent="0.2"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AC997" t="e">
        <f ca="1">RANK(AB997,OFFSET($AB$2,0,0,#REF!,1))</f>
        <v>#REF!</v>
      </c>
      <c r="AD997" s="4" t="e">
        <f>InsurerSize(#REF!)</f>
        <v>#VALUE!</v>
      </c>
      <c r="AE997" s="4" t="e">
        <f t="shared" si="27"/>
        <v>#VALUE!</v>
      </c>
    </row>
    <row r="998" spans="8:31" x14ac:dyDescent="0.2"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AC998" t="e">
        <f ca="1">RANK(AB998,OFFSET($AB$2,0,0,#REF!,1))</f>
        <v>#REF!</v>
      </c>
      <c r="AD998" s="4" t="e">
        <f>InsurerSize(#REF!)</f>
        <v>#VALUE!</v>
      </c>
      <c r="AE998" s="4" t="e">
        <f t="shared" si="27"/>
        <v>#VALUE!</v>
      </c>
    </row>
    <row r="999" spans="8:31" x14ac:dyDescent="0.2"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AC999" t="e">
        <f ca="1">RANK(AB999,OFFSET($AB$2,0,0,#REF!,1))</f>
        <v>#REF!</v>
      </c>
      <c r="AD999" s="4" t="e">
        <f>InsurerSize(#REF!)</f>
        <v>#VALUE!</v>
      </c>
      <c r="AE999" s="4" t="e">
        <f t="shared" si="27"/>
        <v>#VALUE!</v>
      </c>
    </row>
    <row r="1000" spans="8:31" x14ac:dyDescent="0.2"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AC1000" t="e">
        <f ca="1">RANK(AB1000,OFFSET($AB$2,0,0,#REF!,1))</f>
        <v>#REF!</v>
      </c>
      <c r="AD1000" s="4" t="e">
        <f>InsurerSize(#REF!)</f>
        <v>#VALUE!</v>
      </c>
      <c r="AE1000" s="4" t="e">
        <f t="shared" si="27"/>
        <v>#VALUE!</v>
      </c>
    </row>
    <row r="1001" spans="8:31" x14ac:dyDescent="0.2"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AC1001" t="e">
        <f ca="1">RANK(AB1001,OFFSET($AB$2,0,0,#REF!,1))</f>
        <v>#REF!</v>
      </c>
      <c r="AD1001" s="4" t="e">
        <f>InsurerSize(#REF!)</f>
        <v>#VALUE!</v>
      </c>
      <c r="AE1001" s="4" t="e">
        <f t="shared" si="27"/>
        <v>#VALUE!</v>
      </c>
    </row>
    <row r="1002" spans="8:31" x14ac:dyDescent="0.2"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AC1002" t="e">
        <f ca="1">RANK(AB1002,OFFSET($AB$2,0,0,#REF!,1))</f>
        <v>#REF!</v>
      </c>
      <c r="AD1002" s="4" t="e">
        <f>InsurerSize(#REF!)</f>
        <v>#VALUE!</v>
      </c>
      <c r="AE1002" s="4" t="e">
        <f t="shared" si="27"/>
        <v>#VALUE!</v>
      </c>
    </row>
    <row r="1003" spans="8:31" x14ac:dyDescent="0.2"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AC1003" t="e">
        <f ca="1">RANK(AB1003,OFFSET($AB$2,0,0,#REF!,1))</f>
        <v>#REF!</v>
      </c>
      <c r="AD1003" s="4" t="e">
        <f>InsurerSize(#REF!)</f>
        <v>#VALUE!</v>
      </c>
      <c r="AE1003" s="4" t="e">
        <f t="shared" si="27"/>
        <v>#VALUE!</v>
      </c>
    </row>
    <row r="1004" spans="8:31" x14ac:dyDescent="0.2"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AC1004" t="e">
        <f ca="1">RANK(AB1004,OFFSET($AB$2,0,0,#REF!,1))</f>
        <v>#REF!</v>
      </c>
      <c r="AD1004" s="4" t="e">
        <f>InsurerSize(#REF!)</f>
        <v>#VALUE!</v>
      </c>
      <c r="AE1004" s="4" t="e">
        <f t="shared" si="27"/>
        <v>#VALUE!</v>
      </c>
    </row>
    <row r="1005" spans="8:31" x14ac:dyDescent="0.2"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AC1005" t="e">
        <f ca="1">RANK(AB1005,OFFSET($AB$2,0,0,#REF!,1))</f>
        <v>#REF!</v>
      </c>
      <c r="AD1005" s="4" t="e">
        <f>InsurerSize(#REF!)</f>
        <v>#VALUE!</v>
      </c>
      <c r="AE1005" s="4" t="e">
        <f t="shared" si="27"/>
        <v>#VALUE!</v>
      </c>
    </row>
    <row r="1006" spans="8:31" x14ac:dyDescent="0.2"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AC1006" t="e">
        <f ca="1">RANK(AB1006,OFFSET($AB$2,0,0,#REF!,1))</f>
        <v>#REF!</v>
      </c>
      <c r="AD1006" s="4" t="e">
        <f>InsurerSize(#REF!)</f>
        <v>#VALUE!</v>
      </c>
      <c r="AE1006" s="4" t="e">
        <f t="shared" si="27"/>
        <v>#VALUE!</v>
      </c>
    </row>
    <row r="1007" spans="8:31" x14ac:dyDescent="0.2"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AC1007" t="e">
        <f ca="1">RANK(AB1007,OFFSET($AB$2,0,0,#REF!,1))</f>
        <v>#REF!</v>
      </c>
      <c r="AD1007" s="4" t="e">
        <f>InsurerSize(#REF!)</f>
        <v>#VALUE!</v>
      </c>
      <c r="AE1007" s="4" t="e">
        <f t="shared" si="27"/>
        <v>#VALUE!</v>
      </c>
    </row>
    <row r="1008" spans="8:31" x14ac:dyDescent="0.2"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AC1008" t="e">
        <f ca="1">RANK(AB1008,OFFSET($AB$2,0,0,#REF!,1))</f>
        <v>#REF!</v>
      </c>
      <c r="AD1008" s="4" t="e">
        <f>InsurerSize(#REF!)</f>
        <v>#VALUE!</v>
      </c>
      <c r="AE1008" s="4" t="e">
        <f t="shared" si="27"/>
        <v>#VALUE!</v>
      </c>
    </row>
    <row r="1009" spans="8:31" x14ac:dyDescent="0.2"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AC1009" t="e">
        <f ca="1">RANK(AB1009,OFFSET($AB$2,0,0,#REF!,1))</f>
        <v>#REF!</v>
      </c>
      <c r="AD1009" s="4" t="e">
        <f>InsurerSize(#REF!)</f>
        <v>#VALUE!</v>
      </c>
      <c r="AE1009" s="4" t="e">
        <f t="shared" si="27"/>
        <v>#VALUE!</v>
      </c>
    </row>
    <row r="1010" spans="8:31" x14ac:dyDescent="0.2"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AC1010" t="e">
        <f ca="1">RANK(AB1010,OFFSET($AB$2,0,0,#REF!,1))</f>
        <v>#REF!</v>
      </c>
      <c r="AD1010" s="4" t="e">
        <f>InsurerSize(#REF!)</f>
        <v>#VALUE!</v>
      </c>
      <c r="AE1010" s="4" t="e">
        <f t="shared" si="27"/>
        <v>#VALUE!</v>
      </c>
    </row>
    <row r="1011" spans="8:31" x14ac:dyDescent="0.2"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AC1011" t="e">
        <f ca="1">RANK(AB1011,OFFSET($AB$2,0,0,#REF!,1))</f>
        <v>#REF!</v>
      </c>
      <c r="AD1011" s="4" t="e">
        <f>InsurerSize(#REF!)</f>
        <v>#VALUE!</v>
      </c>
      <c r="AE1011" s="4" t="e">
        <f t="shared" si="27"/>
        <v>#VALUE!</v>
      </c>
    </row>
    <row r="1012" spans="8:31" x14ac:dyDescent="0.2"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AC1012" t="e">
        <f ca="1">RANK(AB1012,OFFSET($AB$2,0,0,#REF!,1))</f>
        <v>#REF!</v>
      </c>
      <c r="AD1012" s="4" t="e">
        <f>InsurerSize(#REF!)</f>
        <v>#VALUE!</v>
      </c>
      <c r="AE1012" s="4" t="e">
        <f t="shared" si="27"/>
        <v>#VALUE!</v>
      </c>
    </row>
    <row r="1013" spans="8:31" x14ac:dyDescent="0.2"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AC1013" t="e">
        <f ca="1">RANK(AB1013,OFFSET($AB$2,0,0,#REF!,1))</f>
        <v>#REF!</v>
      </c>
      <c r="AD1013" s="4" t="e">
        <f>InsurerSize(#REF!)</f>
        <v>#VALUE!</v>
      </c>
      <c r="AE1013" s="4" t="e">
        <f t="shared" si="27"/>
        <v>#VALUE!</v>
      </c>
    </row>
    <row r="1014" spans="8:31" x14ac:dyDescent="0.2"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AC1014" t="e">
        <f ca="1">RANK(AB1014,OFFSET($AB$2,0,0,#REF!,1))</f>
        <v>#REF!</v>
      </c>
      <c r="AD1014" s="4" t="e">
        <f>InsurerSize(#REF!)</f>
        <v>#VALUE!</v>
      </c>
      <c r="AE1014" s="4" t="e">
        <f t="shared" si="27"/>
        <v>#VALUE!</v>
      </c>
    </row>
    <row r="1015" spans="8:31" x14ac:dyDescent="0.2"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AC1015" t="e">
        <f ca="1">RANK(AB1015,OFFSET($AB$2,0,0,#REF!,1))</f>
        <v>#REF!</v>
      </c>
      <c r="AD1015" s="4" t="e">
        <f>InsurerSize(#REF!)</f>
        <v>#VALUE!</v>
      </c>
      <c r="AE1015" s="4" t="e">
        <f t="shared" si="27"/>
        <v>#VALUE!</v>
      </c>
    </row>
    <row r="1016" spans="8:31" x14ac:dyDescent="0.2"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AC1016" t="e">
        <f ca="1">RANK(AB1016,OFFSET($AB$2,0,0,#REF!,1))</f>
        <v>#REF!</v>
      </c>
      <c r="AD1016" s="4" t="e">
        <f>InsurerSize(#REF!)</f>
        <v>#VALUE!</v>
      </c>
      <c r="AE1016" s="4" t="e">
        <f t="shared" si="27"/>
        <v>#VALUE!</v>
      </c>
    </row>
    <row r="1017" spans="8:31" x14ac:dyDescent="0.2"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AC1017" t="e">
        <f ca="1">RANK(AB1017,OFFSET($AB$2,0,0,#REF!,1))</f>
        <v>#REF!</v>
      </c>
      <c r="AD1017" s="4" t="e">
        <f>InsurerSize(#REF!)</f>
        <v>#VALUE!</v>
      </c>
      <c r="AE1017" s="4" t="e">
        <f t="shared" si="27"/>
        <v>#VALUE!</v>
      </c>
    </row>
    <row r="1018" spans="8:31" x14ac:dyDescent="0.2"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AC1018" t="e">
        <f ca="1">RANK(AB1018,OFFSET($AB$2,0,0,#REF!,1))</f>
        <v>#REF!</v>
      </c>
      <c r="AD1018" s="4" t="e">
        <f>InsurerSize(#REF!)</f>
        <v>#VALUE!</v>
      </c>
      <c r="AE1018" s="4" t="e">
        <f t="shared" si="27"/>
        <v>#VALUE!</v>
      </c>
    </row>
    <row r="1019" spans="8:31" x14ac:dyDescent="0.2"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AC1019" t="e">
        <f ca="1">RANK(AB1019,OFFSET($AB$2,0,0,#REF!,1))</f>
        <v>#REF!</v>
      </c>
      <c r="AD1019" s="4" t="e">
        <f>InsurerSize(#REF!)</f>
        <v>#VALUE!</v>
      </c>
      <c r="AE1019" s="4" t="e">
        <f t="shared" si="27"/>
        <v>#VALUE!</v>
      </c>
    </row>
    <row r="1020" spans="8:31" x14ac:dyDescent="0.2"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AC1020" t="e">
        <f ca="1">RANK(AB1020,OFFSET($AB$2,0,0,#REF!,1))</f>
        <v>#REF!</v>
      </c>
      <c r="AD1020" s="4" t="e">
        <f>InsurerSize(#REF!)</f>
        <v>#VALUE!</v>
      </c>
      <c r="AE1020" s="4" t="e">
        <f t="shared" si="27"/>
        <v>#VALUE!</v>
      </c>
    </row>
    <row r="1021" spans="8:31" x14ac:dyDescent="0.2"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AC1021" t="e">
        <f ca="1">RANK(AB1021,OFFSET($AB$2,0,0,#REF!,1))</f>
        <v>#REF!</v>
      </c>
      <c r="AD1021" s="4" t="e">
        <f>InsurerSize(#REF!)</f>
        <v>#VALUE!</v>
      </c>
      <c r="AE1021" s="4" t="e">
        <f t="shared" si="27"/>
        <v>#VALUE!</v>
      </c>
    </row>
    <row r="1022" spans="8:31" x14ac:dyDescent="0.2"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AC1022" t="e">
        <f ca="1">RANK(AB1022,OFFSET($AB$2,0,0,#REF!,1))</f>
        <v>#REF!</v>
      </c>
      <c r="AD1022" s="4" t="e">
        <f>InsurerSize(#REF!)</f>
        <v>#VALUE!</v>
      </c>
      <c r="AE1022" s="4" t="e">
        <f t="shared" si="27"/>
        <v>#VALUE!</v>
      </c>
    </row>
    <row r="1023" spans="8:31" x14ac:dyDescent="0.2"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AC1023" t="e">
        <f ca="1">RANK(AB1023,OFFSET($AB$2,0,0,#REF!,1))</f>
        <v>#REF!</v>
      </c>
      <c r="AD1023" s="4" t="e">
        <f>InsurerSize(#REF!)</f>
        <v>#VALUE!</v>
      </c>
      <c r="AE1023" s="4" t="e">
        <f t="shared" si="27"/>
        <v>#VALUE!</v>
      </c>
    </row>
    <row r="1024" spans="8:31" x14ac:dyDescent="0.2"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AC1024" t="e">
        <f ca="1">RANK(AB1024,OFFSET($AB$2,0,0,#REF!,1))</f>
        <v>#REF!</v>
      </c>
      <c r="AD1024" s="4" t="e">
        <f>InsurerSize(#REF!)</f>
        <v>#VALUE!</v>
      </c>
      <c r="AE1024" s="4" t="e">
        <f t="shared" si="27"/>
        <v>#VALUE!</v>
      </c>
    </row>
    <row r="1025" spans="8:31" x14ac:dyDescent="0.2"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AC1025" t="e">
        <f ca="1">RANK(AB1025,OFFSET($AB$2,0,0,#REF!,1))</f>
        <v>#REF!</v>
      </c>
      <c r="AD1025" s="4" t="e">
        <f>InsurerSize(#REF!)</f>
        <v>#VALUE!</v>
      </c>
      <c r="AE1025" s="4" t="e">
        <f t="shared" si="27"/>
        <v>#VALUE!</v>
      </c>
    </row>
    <row r="1026" spans="8:31" x14ac:dyDescent="0.2"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AC1026" t="e">
        <f ca="1">RANK(AB1026,OFFSET($AB$2,0,0,#REF!,1))</f>
        <v>#REF!</v>
      </c>
      <c r="AD1026" s="4" t="e">
        <f>InsurerSize(#REF!)</f>
        <v>#VALUE!</v>
      </c>
      <c r="AE1026" s="4" t="e">
        <f t="shared" ref="AE1026:AE1089" si="28">A1026&amp;AD1026</f>
        <v>#VALUE!</v>
      </c>
    </row>
    <row r="1027" spans="8:31" x14ac:dyDescent="0.2"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AC1027" t="e">
        <f ca="1">RANK(AB1027,OFFSET($AB$2,0,0,#REF!,1))</f>
        <v>#REF!</v>
      </c>
      <c r="AD1027" s="4" t="e">
        <f>InsurerSize(#REF!)</f>
        <v>#VALUE!</v>
      </c>
      <c r="AE1027" s="4" t="e">
        <f t="shared" si="28"/>
        <v>#VALUE!</v>
      </c>
    </row>
    <row r="1028" spans="8:31" x14ac:dyDescent="0.2"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AC1028" t="e">
        <f ca="1">RANK(AB1028,OFFSET($AB$2,0,0,#REF!,1))</f>
        <v>#REF!</v>
      </c>
      <c r="AD1028" s="4" t="e">
        <f>InsurerSize(#REF!)</f>
        <v>#VALUE!</v>
      </c>
      <c r="AE1028" s="4" t="e">
        <f t="shared" si="28"/>
        <v>#VALUE!</v>
      </c>
    </row>
    <row r="1029" spans="8:31" x14ac:dyDescent="0.2"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AC1029" t="e">
        <f ca="1">RANK(AB1029,OFFSET($AB$2,0,0,#REF!,1))</f>
        <v>#REF!</v>
      </c>
      <c r="AD1029" s="4" t="e">
        <f>InsurerSize(#REF!)</f>
        <v>#VALUE!</v>
      </c>
      <c r="AE1029" s="4" t="e">
        <f t="shared" si="28"/>
        <v>#VALUE!</v>
      </c>
    </row>
    <row r="1030" spans="8:31" x14ac:dyDescent="0.2"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AC1030" t="e">
        <f ca="1">RANK(AB1030,OFFSET($AB$2,0,0,#REF!,1))</f>
        <v>#REF!</v>
      </c>
      <c r="AD1030" s="4" t="e">
        <f>InsurerSize(#REF!)</f>
        <v>#VALUE!</v>
      </c>
      <c r="AE1030" s="4" t="e">
        <f t="shared" si="28"/>
        <v>#VALUE!</v>
      </c>
    </row>
    <row r="1031" spans="8:31" x14ac:dyDescent="0.2"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AC1031" t="e">
        <f ca="1">RANK(AB1031,OFFSET($AB$2,0,0,#REF!,1))</f>
        <v>#REF!</v>
      </c>
      <c r="AD1031" s="4" t="e">
        <f>InsurerSize(#REF!)</f>
        <v>#VALUE!</v>
      </c>
      <c r="AE1031" s="4" t="e">
        <f t="shared" si="28"/>
        <v>#VALUE!</v>
      </c>
    </row>
    <row r="1032" spans="8:31" x14ac:dyDescent="0.2"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AC1032" t="e">
        <f ca="1">RANK(AB1032,OFFSET($AB$2,0,0,#REF!,1))</f>
        <v>#REF!</v>
      </c>
      <c r="AD1032" s="4" t="e">
        <f>InsurerSize(#REF!)</f>
        <v>#VALUE!</v>
      </c>
      <c r="AE1032" s="4" t="e">
        <f t="shared" si="28"/>
        <v>#VALUE!</v>
      </c>
    </row>
    <row r="1033" spans="8:31" x14ac:dyDescent="0.2"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AC1033" t="e">
        <f ca="1">RANK(AB1033,OFFSET($AB$2,0,0,#REF!,1))</f>
        <v>#REF!</v>
      </c>
      <c r="AD1033" s="4" t="e">
        <f>InsurerSize(#REF!)</f>
        <v>#VALUE!</v>
      </c>
      <c r="AE1033" s="4" t="e">
        <f t="shared" si="28"/>
        <v>#VALUE!</v>
      </c>
    </row>
    <row r="1034" spans="8:31" x14ac:dyDescent="0.2"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AC1034" t="e">
        <f ca="1">RANK(AB1034,OFFSET($AB$2,0,0,#REF!,1))</f>
        <v>#REF!</v>
      </c>
      <c r="AD1034" s="4" t="e">
        <f>InsurerSize(#REF!)</f>
        <v>#VALUE!</v>
      </c>
      <c r="AE1034" s="4" t="e">
        <f t="shared" si="28"/>
        <v>#VALUE!</v>
      </c>
    </row>
    <row r="1035" spans="8:31" x14ac:dyDescent="0.2"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AC1035" t="e">
        <f ca="1">RANK(AB1035,OFFSET($AB$2,0,0,#REF!,1))</f>
        <v>#REF!</v>
      </c>
      <c r="AD1035" s="4" t="e">
        <f>InsurerSize(#REF!)</f>
        <v>#VALUE!</v>
      </c>
      <c r="AE1035" s="4" t="e">
        <f t="shared" si="28"/>
        <v>#VALUE!</v>
      </c>
    </row>
    <row r="1036" spans="8:31" x14ac:dyDescent="0.2"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AC1036" t="e">
        <f ca="1">RANK(AB1036,OFFSET($AB$2,0,0,#REF!,1))</f>
        <v>#REF!</v>
      </c>
      <c r="AD1036" s="4" t="e">
        <f>InsurerSize(#REF!)</f>
        <v>#VALUE!</v>
      </c>
      <c r="AE1036" s="4" t="e">
        <f t="shared" si="28"/>
        <v>#VALUE!</v>
      </c>
    </row>
    <row r="1037" spans="8:31" x14ac:dyDescent="0.2"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AC1037" t="e">
        <f ca="1">RANK(AB1037,OFFSET($AB$2,0,0,#REF!,1))</f>
        <v>#REF!</v>
      </c>
      <c r="AD1037" s="4" t="e">
        <f>InsurerSize(#REF!)</f>
        <v>#VALUE!</v>
      </c>
      <c r="AE1037" s="4" t="e">
        <f t="shared" si="28"/>
        <v>#VALUE!</v>
      </c>
    </row>
    <row r="1038" spans="8:31" x14ac:dyDescent="0.2"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AC1038" t="e">
        <f ca="1">RANK(AB1038,OFFSET($AB$2,0,0,#REF!,1))</f>
        <v>#REF!</v>
      </c>
      <c r="AD1038" s="4" t="e">
        <f>InsurerSize(#REF!)</f>
        <v>#VALUE!</v>
      </c>
      <c r="AE1038" s="4" t="e">
        <f t="shared" si="28"/>
        <v>#VALUE!</v>
      </c>
    </row>
    <row r="1039" spans="8:31" x14ac:dyDescent="0.2"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AC1039" t="e">
        <f ca="1">RANK(AB1039,OFFSET($AB$2,0,0,#REF!,1))</f>
        <v>#REF!</v>
      </c>
      <c r="AD1039" s="4" t="e">
        <f>InsurerSize(#REF!)</f>
        <v>#VALUE!</v>
      </c>
      <c r="AE1039" s="4" t="e">
        <f t="shared" si="28"/>
        <v>#VALUE!</v>
      </c>
    </row>
    <row r="1040" spans="8:31" x14ac:dyDescent="0.2"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AC1040" t="e">
        <f ca="1">RANK(AB1040,OFFSET($AB$2,0,0,#REF!,1))</f>
        <v>#REF!</v>
      </c>
      <c r="AD1040" s="4" t="e">
        <f>InsurerSize(#REF!)</f>
        <v>#VALUE!</v>
      </c>
      <c r="AE1040" s="4" t="e">
        <f t="shared" si="28"/>
        <v>#VALUE!</v>
      </c>
    </row>
    <row r="1041" spans="8:31" x14ac:dyDescent="0.2"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AC1041" t="e">
        <f ca="1">RANK(AB1041,OFFSET($AB$2,0,0,#REF!,1))</f>
        <v>#REF!</v>
      </c>
      <c r="AD1041" s="4" t="e">
        <f>InsurerSize(#REF!)</f>
        <v>#VALUE!</v>
      </c>
      <c r="AE1041" s="4" t="e">
        <f t="shared" si="28"/>
        <v>#VALUE!</v>
      </c>
    </row>
    <row r="1042" spans="8:31" x14ac:dyDescent="0.2"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AC1042" t="e">
        <f ca="1">RANK(AB1042,OFFSET($AB$2,0,0,#REF!,1))</f>
        <v>#REF!</v>
      </c>
      <c r="AD1042" s="4" t="e">
        <f>InsurerSize(#REF!)</f>
        <v>#VALUE!</v>
      </c>
      <c r="AE1042" s="4" t="e">
        <f t="shared" si="28"/>
        <v>#VALUE!</v>
      </c>
    </row>
    <row r="1043" spans="8:31" x14ac:dyDescent="0.2"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AC1043" t="e">
        <f ca="1">RANK(AB1043,OFFSET($AB$2,0,0,#REF!,1))</f>
        <v>#REF!</v>
      </c>
      <c r="AD1043" s="4" t="e">
        <f>InsurerSize(#REF!)</f>
        <v>#VALUE!</v>
      </c>
      <c r="AE1043" s="4" t="e">
        <f t="shared" si="28"/>
        <v>#VALUE!</v>
      </c>
    </row>
    <row r="1044" spans="8:31" x14ac:dyDescent="0.2"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AC1044" t="e">
        <f ca="1">RANK(AB1044,OFFSET($AB$2,0,0,#REF!,1))</f>
        <v>#REF!</v>
      </c>
      <c r="AD1044" s="4" t="e">
        <f>InsurerSize(#REF!)</f>
        <v>#VALUE!</v>
      </c>
      <c r="AE1044" s="4" t="e">
        <f t="shared" si="28"/>
        <v>#VALUE!</v>
      </c>
    </row>
    <row r="1045" spans="8:31" x14ac:dyDescent="0.2"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AC1045" t="e">
        <f ca="1">RANK(AB1045,OFFSET($AB$2,0,0,#REF!,1))</f>
        <v>#REF!</v>
      </c>
      <c r="AD1045" s="4" t="e">
        <f>InsurerSize(#REF!)</f>
        <v>#VALUE!</v>
      </c>
      <c r="AE1045" s="4" t="e">
        <f t="shared" si="28"/>
        <v>#VALUE!</v>
      </c>
    </row>
    <row r="1046" spans="8:31" x14ac:dyDescent="0.2"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AC1046" t="e">
        <f ca="1">RANK(AB1046,OFFSET($AB$2,0,0,#REF!,1))</f>
        <v>#REF!</v>
      </c>
      <c r="AD1046" s="4" t="e">
        <f>InsurerSize(#REF!)</f>
        <v>#VALUE!</v>
      </c>
      <c r="AE1046" s="4" t="e">
        <f t="shared" si="28"/>
        <v>#VALUE!</v>
      </c>
    </row>
    <row r="1047" spans="8:31" x14ac:dyDescent="0.2"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AC1047" t="e">
        <f ca="1">RANK(AB1047,OFFSET($AB$2,0,0,#REF!,1))</f>
        <v>#REF!</v>
      </c>
      <c r="AD1047" s="4" t="e">
        <f>InsurerSize(#REF!)</f>
        <v>#VALUE!</v>
      </c>
      <c r="AE1047" s="4" t="e">
        <f t="shared" si="28"/>
        <v>#VALUE!</v>
      </c>
    </row>
    <row r="1048" spans="8:31" x14ac:dyDescent="0.2"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AC1048" t="e">
        <f ca="1">RANK(AB1048,OFFSET($AB$2,0,0,#REF!,1))</f>
        <v>#REF!</v>
      </c>
      <c r="AD1048" s="4" t="e">
        <f>InsurerSize(#REF!)</f>
        <v>#VALUE!</v>
      </c>
      <c r="AE1048" s="4" t="e">
        <f t="shared" si="28"/>
        <v>#VALUE!</v>
      </c>
    </row>
    <row r="1049" spans="8:31" x14ac:dyDescent="0.2"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AC1049" t="e">
        <f ca="1">RANK(AB1049,OFFSET($AB$2,0,0,#REF!,1))</f>
        <v>#REF!</v>
      </c>
      <c r="AD1049" s="4" t="e">
        <f>InsurerSize(#REF!)</f>
        <v>#VALUE!</v>
      </c>
      <c r="AE1049" s="4" t="e">
        <f t="shared" si="28"/>
        <v>#VALUE!</v>
      </c>
    </row>
    <row r="1050" spans="8:31" x14ac:dyDescent="0.2"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AC1050" t="e">
        <f ca="1">RANK(AB1050,OFFSET($AB$2,0,0,#REF!,1))</f>
        <v>#REF!</v>
      </c>
      <c r="AD1050" s="4" t="e">
        <f>InsurerSize(#REF!)</f>
        <v>#VALUE!</v>
      </c>
      <c r="AE1050" s="4" t="e">
        <f t="shared" si="28"/>
        <v>#VALUE!</v>
      </c>
    </row>
    <row r="1051" spans="8:31" x14ac:dyDescent="0.2"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AC1051" t="e">
        <f ca="1">RANK(AB1051,OFFSET($AB$2,0,0,#REF!,1))</f>
        <v>#REF!</v>
      </c>
      <c r="AD1051" s="4" t="e">
        <f>InsurerSize(#REF!)</f>
        <v>#VALUE!</v>
      </c>
      <c r="AE1051" s="4" t="e">
        <f t="shared" si="28"/>
        <v>#VALUE!</v>
      </c>
    </row>
    <row r="1052" spans="8:31" x14ac:dyDescent="0.2"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AC1052" t="e">
        <f ca="1">RANK(AB1052,OFFSET($AB$2,0,0,#REF!,1))</f>
        <v>#REF!</v>
      </c>
      <c r="AD1052" s="4" t="e">
        <f>InsurerSize(#REF!)</f>
        <v>#VALUE!</v>
      </c>
      <c r="AE1052" s="4" t="e">
        <f t="shared" si="28"/>
        <v>#VALUE!</v>
      </c>
    </row>
    <row r="1053" spans="8:31" x14ac:dyDescent="0.2"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AC1053" t="e">
        <f ca="1">RANK(AB1053,OFFSET($AB$2,0,0,#REF!,1))</f>
        <v>#REF!</v>
      </c>
      <c r="AD1053" s="4" t="e">
        <f>InsurerSize(#REF!)</f>
        <v>#VALUE!</v>
      </c>
      <c r="AE1053" s="4" t="e">
        <f t="shared" si="28"/>
        <v>#VALUE!</v>
      </c>
    </row>
    <row r="1054" spans="8:31" x14ac:dyDescent="0.2"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AC1054" t="e">
        <f ca="1">RANK(AB1054,OFFSET($AB$2,0,0,#REF!,1))</f>
        <v>#REF!</v>
      </c>
      <c r="AD1054" s="4" t="e">
        <f>InsurerSize(#REF!)</f>
        <v>#VALUE!</v>
      </c>
      <c r="AE1054" s="4" t="e">
        <f t="shared" si="28"/>
        <v>#VALUE!</v>
      </c>
    </row>
    <row r="1055" spans="8:31" x14ac:dyDescent="0.2"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AC1055" t="e">
        <f ca="1">RANK(AB1055,OFFSET($AB$2,0,0,#REF!,1))</f>
        <v>#REF!</v>
      </c>
      <c r="AD1055" s="4" t="e">
        <f>InsurerSize(#REF!)</f>
        <v>#VALUE!</v>
      </c>
      <c r="AE1055" s="4" t="e">
        <f t="shared" si="28"/>
        <v>#VALUE!</v>
      </c>
    </row>
    <row r="1056" spans="8:31" x14ac:dyDescent="0.2"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AC1056" t="e">
        <f ca="1">RANK(AB1056,OFFSET($AB$2,0,0,#REF!,1))</f>
        <v>#REF!</v>
      </c>
      <c r="AD1056" s="4" t="e">
        <f>InsurerSize(#REF!)</f>
        <v>#VALUE!</v>
      </c>
      <c r="AE1056" s="4" t="e">
        <f t="shared" si="28"/>
        <v>#VALUE!</v>
      </c>
    </row>
    <row r="1057" spans="8:31" x14ac:dyDescent="0.2"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AC1057" t="e">
        <f ca="1">RANK(AB1057,OFFSET($AB$2,0,0,#REF!,1))</f>
        <v>#REF!</v>
      </c>
      <c r="AD1057" s="4" t="e">
        <f>InsurerSize(#REF!)</f>
        <v>#VALUE!</v>
      </c>
      <c r="AE1057" s="4" t="e">
        <f t="shared" si="28"/>
        <v>#VALUE!</v>
      </c>
    </row>
    <row r="1058" spans="8:31" x14ac:dyDescent="0.2"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AC1058" t="e">
        <f ca="1">RANK(AB1058,OFFSET($AB$2,0,0,#REF!,1))</f>
        <v>#REF!</v>
      </c>
      <c r="AD1058" s="4" t="e">
        <f>InsurerSize(#REF!)</f>
        <v>#VALUE!</v>
      </c>
      <c r="AE1058" s="4" t="e">
        <f t="shared" si="28"/>
        <v>#VALUE!</v>
      </c>
    </row>
    <row r="1059" spans="8:31" x14ac:dyDescent="0.2"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AC1059" t="e">
        <f ca="1">RANK(AB1059,OFFSET($AB$2,0,0,#REF!,1))</f>
        <v>#REF!</v>
      </c>
      <c r="AD1059" s="4" t="e">
        <f>InsurerSize(#REF!)</f>
        <v>#VALUE!</v>
      </c>
      <c r="AE1059" s="4" t="e">
        <f t="shared" si="28"/>
        <v>#VALUE!</v>
      </c>
    </row>
    <row r="1060" spans="8:31" x14ac:dyDescent="0.2"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AC1060" t="e">
        <f ca="1">RANK(AB1060,OFFSET($AB$2,0,0,#REF!,1))</f>
        <v>#REF!</v>
      </c>
      <c r="AD1060" s="4" t="e">
        <f>InsurerSize(#REF!)</f>
        <v>#VALUE!</v>
      </c>
      <c r="AE1060" s="4" t="e">
        <f t="shared" si="28"/>
        <v>#VALUE!</v>
      </c>
    </row>
    <row r="1061" spans="8:31" x14ac:dyDescent="0.2"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AC1061" t="e">
        <f ca="1">RANK(AB1061,OFFSET($AB$2,0,0,#REF!,1))</f>
        <v>#REF!</v>
      </c>
      <c r="AD1061" s="4" t="e">
        <f>InsurerSize(#REF!)</f>
        <v>#VALUE!</v>
      </c>
      <c r="AE1061" s="4" t="e">
        <f t="shared" si="28"/>
        <v>#VALUE!</v>
      </c>
    </row>
    <row r="1062" spans="8:31" x14ac:dyDescent="0.2"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AC1062" t="e">
        <f ca="1">RANK(AB1062,OFFSET($AB$2,0,0,#REF!,1))</f>
        <v>#REF!</v>
      </c>
      <c r="AD1062" s="4" t="e">
        <f>InsurerSize(#REF!)</f>
        <v>#VALUE!</v>
      </c>
      <c r="AE1062" s="4" t="e">
        <f t="shared" si="28"/>
        <v>#VALUE!</v>
      </c>
    </row>
    <row r="1063" spans="8:31" x14ac:dyDescent="0.2"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AC1063" t="e">
        <f ca="1">RANK(AB1063,OFFSET($AB$2,0,0,#REF!,1))</f>
        <v>#REF!</v>
      </c>
      <c r="AD1063" s="4" t="e">
        <f>InsurerSize(#REF!)</f>
        <v>#VALUE!</v>
      </c>
      <c r="AE1063" s="4" t="e">
        <f t="shared" si="28"/>
        <v>#VALUE!</v>
      </c>
    </row>
    <row r="1064" spans="8:31" x14ac:dyDescent="0.2"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AC1064" t="e">
        <f ca="1">RANK(AB1064,OFFSET($AB$2,0,0,#REF!,1))</f>
        <v>#REF!</v>
      </c>
      <c r="AD1064" s="4" t="e">
        <f>InsurerSize(#REF!)</f>
        <v>#VALUE!</v>
      </c>
      <c r="AE1064" s="4" t="e">
        <f t="shared" si="28"/>
        <v>#VALUE!</v>
      </c>
    </row>
    <row r="1065" spans="8:31" x14ac:dyDescent="0.2"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AC1065" t="e">
        <f ca="1">RANK(AB1065,OFFSET($AB$2,0,0,#REF!,1))</f>
        <v>#REF!</v>
      </c>
      <c r="AD1065" s="4" t="e">
        <f>InsurerSize(#REF!)</f>
        <v>#VALUE!</v>
      </c>
      <c r="AE1065" s="4" t="e">
        <f t="shared" si="28"/>
        <v>#VALUE!</v>
      </c>
    </row>
    <row r="1066" spans="8:31" x14ac:dyDescent="0.2"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AC1066" t="e">
        <f ca="1">RANK(AB1066,OFFSET($AB$2,0,0,#REF!,1))</f>
        <v>#REF!</v>
      </c>
      <c r="AD1066" s="4" t="e">
        <f>InsurerSize(#REF!)</f>
        <v>#VALUE!</v>
      </c>
      <c r="AE1066" s="4" t="e">
        <f t="shared" si="28"/>
        <v>#VALUE!</v>
      </c>
    </row>
    <row r="1067" spans="8:31" x14ac:dyDescent="0.2"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AC1067" t="e">
        <f ca="1">RANK(AB1067,OFFSET($AB$2,0,0,#REF!,1))</f>
        <v>#REF!</v>
      </c>
      <c r="AD1067" s="4" t="e">
        <f>InsurerSize(#REF!)</f>
        <v>#VALUE!</v>
      </c>
      <c r="AE1067" s="4" t="e">
        <f t="shared" si="28"/>
        <v>#VALUE!</v>
      </c>
    </row>
    <row r="1068" spans="8:31" x14ac:dyDescent="0.2"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AC1068" t="e">
        <f ca="1">RANK(AB1068,OFFSET($AB$2,0,0,#REF!,1))</f>
        <v>#REF!</v>
      </c>
      <c r="AD1068" s="4" t="e">
        <f>InsurerSize(#REF!)</f>
        <v>#VALUE!</v>
      </c>
      <c r="AE1068" s="4" t="e">
        <f t="shared" si="28"/>
        <v>#VALUE!</v>
      </c>
    </row>
    <row r="1069" spans="8:31" x14ac:dyDescent="0.2"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AC1069" t="e">
        <f ca="1">RANK(AB1069,OFFSET($AB$2,0,0,#REF!,1))</f>
        <v>#REF!</v>
      </c>
      <c r="AD1069" s="4" t="e">
        <f>InsurerSize(#REF!)</f>
        <v>#VALUE!</v>
      </c>
      <c r="AE1069" s="4" t="e">
        <f t="shared" si="28"/>
        <v>#VALUE!</v>
      </c>
    </row>
    <row r="1070" spans="8:31" x14ac:dyDescent="0.2"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AC1070" t="e">
        <f ca="1">RANK(AB1070,OFFSET($AB$2,0,0,#REF!,1))</f>
        <v>#REF!</v>
      </c>
      <c r="AD1070" s="4" t="e">
        <f>InsurerSize(#REF!)</f>
        <v>#VALUE!</v>
      </c>
      <c r="AE1070" s="4" t="e">
        <f t="shared" si="28"/>
        <v>#VALUE!</v>
      </c>
    </row>
    <row r="1071" spans="8:31" x14ac:dyDescent="0.2"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AC1071" t="e">
        <f ca="1">RANK(AB1071,OFFSET($AB$2,0,0,#REF!,1))</f>
        <v>#REF!</v>
      </c>
      <c r="AD1071" s="4" t="e">
        <f>InsurerSize(#REF!)</f>
        <v>#VALUE!</v>
      </c>
      <c r="AE1071" s="4" t="e">
        <f t="shared" si="28"/>
        <v>#VALUE!</v>
      </c>
    </row>
    <row r="1072" spans="8:31" x14ac:dyDescent="0.2"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AC1072" t="e">
        <f ca="1">RANK(AB1072,OFFSET($AB$2,0,0,#REF!,1))</f>
        <v>#REF!</v>
      </c>
      <c r="AD1072" s="4" t="e">
        <f>InsurerSize(#REF!)</f>
        <v>#VALUE!</v>
      </c>
      <c r="AE1072" s="4" t="e">
        <f t="shared" si="28"/>
        <v>#VALUE!</v>
      </c>
    </row>
    <row r="1073" spans="8:31" x14ac:dyDescent="0.2"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AC1073" t="e">
        <f ca="1">RANK(AB1073,OFFSET($AB$2,0,0,#REF!,1))</f>
        <v>#REF!</v>
      </c>
      <c r="AD1073" s="4" t="e">
        <f>InsurerSize(#REF!)</f>
        <v>#VALUE!</v>
      </c>
      <c r="AE1073" s="4" t="e">
        <f t="shared" si="28"/>
        <v>#VALUE!</v>
      </c>
    </row>
    <row r="1074" spans="8:31" x14ac:dyDescent="0.2"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AC1074" t="e">
        <f ca="1">RANK(AB1074,OFFSET($AB$2,0,0,#REF!,1))</f>
        <v>#REF!</v>
      </c>
      <c r="AD1074" s="4" t="e">
        <f>InsurerSize(#REF!)</f>
        <v>#VALUE!</v>
      </c>
      <c r="AE1074" s="4" t="e">
        <f t="shared" si="28"/>
        <v>#VALUE!</v>
      </c>
    </row>
    <row r="1075" spans="8:31" x14ac:dyDescent="0.2"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AC1075" t="e">
        <f ca="1">RANK(AB1075,OFFSET($AB$2,0,0,#REF!,1))</f>
        <v>#REF!</v>
      </c>
      <c r="AD1075" s="4" t="e">
        <f>InsurerSize(#REF!)</f>
        <v>#VALUE!</v>
      </c>
      <c r="AE1075" s="4" t="e">
        <f t="shared" si="28"/>
        <v>#VALUE!</v>
      </c>
    </row>
    <row r="1076" spans="8:31" x14ac:dyDescent="0.2"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AC1076" t="e">
        <f ca="1">RANK(AB1076,OFFSET($AB$2,0,0,#REF!,1))</f>
        <v>#REF!</v>
      </c>
      <c r="AD1076" s="4" t="e">
        <f>InsurerSize(#REF!)</f>
        <v>#VALUE!</v>
      </c>
      <c r="AE1076" s="4" t="e">
        <f t="shared" si="28"/>
        <v>#VALUE!</v>
      </c>
    </row>
    <row r="1077" spans="8:31" x14ac:dyDescent="0.2"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AC1077" t="e">
        <f ca="1">RANK(AB1077,OFFSET($AB$2,0,0,#REF!,1))</f>
        <v>#REF!</v>
      </c>
      <c r="AD1077" s="4" t="e">
        <f>InsurerSize(#REF!)</f>
        <v>#VALUE!</v>
      </c>
      <c r="AE1077" s="4" t="e">
        <f t="shared" si="28"/>
        <v>#VALUE!</v>
      </c>
    </row>
    <row r="1078" spans="8:31" x14ac:dyDescent="0.2"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AC1078" t="e">
        <f ca="1">RANK(AB1078,OFFSET($AB$2,0,0,#REF!,1))</f>
        <v>#REF!</v>
      </c>
      <c r="AD1078" s="4" t="e">
        <f>InsurerSize(#REF!)</f>
        <v>#VALUE!</v>
      </c>
      <c r="AE1078" s="4" t="e">
        <f t="shared" si="28"/>
        <v>#VALUE!</v>
      </c>
    </row>
    <row r="1079" spans="8:31" x14ac:dyDescent="0.2"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AC1079" t="e">
        <f ca="1">RANK(AB1079,OFFSET($AB$2,0,0,#REF!,1))</f>
        <v>#REF!</v>
      </c>
      <c r="AD1079" s="4" t="e">
        <f>InsurerSize(#REF!)</f>
        <v>#VALUE!</v>
      </c>
      <c r="AE1079" s="4" t="e">
        <f t="shared" si="28"/>
        <v>#VALUE!</v>
      </c>
    </row>
    <row r="1080" spans="8:31" x14ac:dyDescent="0.2"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AC1080" t="e">
        <f ca="1">RANK(AB1080,OFFSET($AB$2,0,0,#REF!,1))</f>
        <v>#REF!</v>
      </c>
      <c r="AD1080" s="4" t="e">
        <f>InsurerSize(#REF!)</f>
        <v>#VALUE!</v>
      </c>
      <c r="AE1080" s="4" t="e">
        <f t="shared" si="28"/>
        <v>#VALUE!</v>
      </c>
    </row>
    <row r="1081" spans="8:31" x14ac:dyDescent="0.2"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AC1081" t="e">
        <f ca="1">RANK(AB1081,OFFSET($AB$2,0,0,#REF!,1))</f>
        <v>#REF!</v>
      </c>
      <c r="AD1081" s="4" t="e">
        <f>InsurerSize(#REF!)</f>
        <v>#VALUE!</v>
      </c>
      <c r="AE1081" s="4" t="e">
        <f t="shared" si="28"/>
        <v>#VALUE!</v>
      </c>
    </row>
    <row r="1082" spans="8:31" x14ac:dyDescent="0.2"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AC1082" t="e">
        <f ca="1">RANK(AB1082,OFFSET($AB$2,0,0,#REF!,1))</f>
        <v>#REF!</v>
      </c>
      <c r="AD1082" s="4" t="e">
        <f>InsurerSize(#REF!)</f>
        <v>#VALUE!</v>
      </c>
      <c r="AE1082" s="4" t="e">
        <f t="shared" si="28"/>
        <v>#VALUE!</v>
      </c>
    </row>
    <row r="1083" spans="8:31" x14ac:dyDescent="0.2"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AC1083" t="e">
        <f ca="1">RANK(AB1083,OFFSET($AB$2,0,0,#REF!,1))</f>
        <v>#REF!</v>
      </c>
      <c r="AD1083" s="4" t="e">
        <f>InsurerSize(#REF!)</f>
        <v>#VALUE!</v>
      </c>
      <c r="AE1083" s="4" t="e">
        <f t="shared" si="28"/>
        <v>#VALUE!</v>
      </c>
    </row>
    <row r="1084" spans="8:31" x14ac:dyDescent="0.2"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AC1084" t="e">
        <f ca="1">RANK(AB1084,OFFSET($AB$2,0,0,#REF!,1))</f>
        <v>#REF!</v>
      </c>
      <c r="AD1084" s="4" t="e">
        <f>InsurerSize(#REF!)</f>
        <v>#VALUE!</v>
      </c>
      <c r="AE1084" s="4" t="e">
        <f t="shared" si="28"/>
        <v>#VALUE!</v>
      </c>
    </row>
    <row r="1085" spans="8:31" x14ac:dyDescent="0.2"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AC1085" t="e">
        <f ca="1">RANK(AB1085,OFFSET($AB$2,0,0,#REF!,1))</f>
        <v>#REF!</v>
      </c>
      <c r="AD1085" s="4" t="e">
        <f>InsurerSize(#REF!)</f>
        <v>#VALUE!</v>
      </c>
      <c r="AE1085" s="4" t="e">
        <f t="shared" si="28"/>
        <v>#VALUE!</v>
      </c>
    </row>
    <row r="1086" spans="8:31" x14ac:dyDescent="0.2"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AC1086" t="e">
        <f ca="1">RANK(AB1086,OFFSET($AB$2,0,0,#REF!,1))</f>
        <v>#REF!</v>
      </c>
      <c r="AD1086" s="4" t="e">
        <f>InsurerSize(#REF!)</f>
        <v>#VALUE!</v>
      </c>
      <c r="AE1086" s="4" t="e">
        <f t="shared" si="28"/>
        <v>#VALUE!</v>
      </c>
    </row>
    <row r="1087" spans="8:31" x14ac:dyDescent="0.2"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AC1087" t="e">
        <f ca="1">RANK(AB1087,OFFSET($AB$2,0,0,#REF!,1))</f>
        <v>#REF!</v>
      </c>
      <c r="AD1087" s="4" t="e">
        <f>InsurerSize(#REF!)</f>
        <v>#VALUE!</v>
      </c>
      <c r="AE1087" s="4" t="e">
        <f t="shared" si="28"/>
        <v>#VALUE!</v>
      </c>
    </row>
    <row r="1088" spans="8:31" x14ac:dyDescent="0.2"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AC1088" t="e">
        <f ca="1">RANK(AB1088,OFFSET($AB$2,0,0,#REF!,1))</f>
        <v>#REF!</v>
      </c>
      <c r="AD1088" s="4" t="e">
        <f>InsurerSize(#REF!)</f>
        <v>#VALUE!</v>
      </c>
      <c r="AE1088" s="4" t="e">
        <f t="shared" si="28"/>
        <v>#VALUE!</v>
      </c>
    </row>
    <row r="1089" spans="8:31" x14ac:dyDescent="0.2"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AC1089" t="e">
        <f ca="1">RANK(AB1089,OFFSET($AB$2,0,0,#REF!,1))</f>
        <v>#REF!</v>
      </c>
      <c r="AD1089" s="4" t="e">
        <f>InsurerSize(#REF!)</f>
        <v>#VALUE!</v>
      </c>
      <c r="AE1089" s="4" t="e">
        <f t="shared" si="28"/>
        <v>#VALUE!</v>
      </c>
    </row>
    <row r="1090" spans="8:31" x14ac:dyDescent="0.2"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AC1090" t="e">
        <f ca="1">RANK(AB1090,OFFSET($AB$2,0,0,#REF!,1))</f>
        <v>#REF!</v>
      </c>
      <c r="AD1090" s="4" t="e">
        <f>InsurerSize(#REF!)</f>
        <v>#VALUE!</v>
      </c>
      <c r="AE1090" s="4" t="e">
        <f t="shared" ref="AE1090:AE1153" si="29">A1090&amp;AD1090</f>
        <v>#VALUE!</v>
      </c>
    </row>
    <row r="1091" spans="8:31" x14ac:dyDescent="0.2"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AC1091" t="e">
        <f ca="1">RANK(AB1091,OFFSET($AB$2,0,0,#REF!,1))</f>
        <v>#REF!</v>
      </c>
      <c r="AD1091" s="4" t="e">
        <f>InsurerSize(#REF!)</f>
        <v>#VALUE!</v>
      </c>
      <c r="AE1091" s="4" t="e">
        <f t="shared" si="29"/>
        <v>#VALUE!</v>
      </c>
    </row>
    <row r="1092" spans="8:31" x14ac:dyDescent="0.2"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AC1092" t="e">
        <f ca="1">RANK(AB1092,OFFSET($AB$2,0,0,#REF!,1))</f>
        <v>#REF!</v>
      </c>
      <c r="AD1092" s="4" t="e">
        <f>InsurerSize(#REF!)</f>
        <v>#VALUE!</v>
      </c>
      <c r="AE1092" s="4" t="e">
        <f t="shared" si="29"/>
        <v>#VALUE!</v>
      </c>
    </row>
    <row r="1093" spans="8:31" x14ac:dyDescent="0.2"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AC1093" t="e">
        <f ca="1">RANK(AB1093,OFFSET($AB$2,0,0,#REF!,1))</f>
        <v>#REF!</v>
      </c>
      <c r="AD1093" s="4" t="e">
        <f>InsurerSize(#REF!)</f>
        <v>#VALUE!</v>
      </c>
      <c r="AE1093" s="4" t="e">
        <f t="shared" si="29"/>
        <v>#VALUE!</v>
      </c>
    </row>
    <row r="1094" spans="8:31" x14ac:dyDescent="0.2"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AC1094" t="e">
        <f ca="1">RANK(AB1094,OFFSET($AB$2,0,0,#REF!,1))</f>
        <v>#REF!</v>
      </c>
      <c r="AD1094" s="4" t="e">
        <f>InsurerSize(#REF!)</f>
        <v>#VALUE!</v>
      </c>
      <c r="AE1094" s="4" t="e">
        <f t="shared" si="29"/>
        <v>#VALUE!</v>
      </c>
    </row>
    <row r="1095" spans="8:31" x14ac:dyDescent="0.2"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AC1095" t="e">
        <f ca="1">RANK(AB1095,OFFSET($AB$2,0,0,#REF!,1))</f>
        <v>#REF!</v>
      </c>
      <c r="AD1095" s="4" t="e">
        <f>InsurerSize(#REF!)</f>
        <v>#VALUE!</v>
      </c>
      <c r="AE1095" s="4" t="e">
        <f t="shared" si="29"/>
        <v>#VALUE!</v>
      </c>
    </row>
    <row r="1096" spans="8:31" x14ac:dyDescent="0.2"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AC1096" t="e">
        <f ca="1">RANK(AB1096,OFFSET($AB$2,0,0,#REF!,1))</f>
        <v>#REF!</v>
      </c>
      <c r="AD1096" s="4" t="e">
        <f>InsurerSize(#REF!)</f>
        <v>#VALUE!</v>
      </c>
      <c r="AE1096" s="4" t="e">
        <f t="shared" si="29"/>
        <v>#VALUE!</v>
      </c>
    </row>
    <row r="1097" spans="8:31" x14ac:dyDescent="0.2"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AC1097" t="e">
        <f ca="1">RANK(AB1097,OFFSET($AB$2,0,0,#REF!,1))</f>
        <v>#REF!</v>
      </c>
      <c r="AD1097" s="4" t="e">
        <f>InsurerSize(#REF!)</f>
        <v>#VALUE!</v>
      </c>
      <c r="AE1097" s="4" t="e">
        <f t="shared" si="29"/>
        <v>#VALUE!</v>
      </c>
    </row>
    <row r="1098" spans="8:31" x14ac:dyDescent="0.2"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AC1098" t="e">
        <f ca="1">RANK(AB1098,OFFSET($AB$2,0,0,#REF!,1))</f>
        <v>#REF!</v>
      </c>
      <c r="AD1098" s="4" t="e">
        <f>InsurerSize(#REF!)</f>
        <v>#VALUE!</v>
      </c>
      <c r="AE1098" s="4" t="e">
        <f t="shared" si="29"/>
        <v>#VALUE!</v>
      </c>
    </row>
    <row r="1099" spans="8:31" x14ac:dyDescent="0.2"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AC1099" t="e">
        <f ca="1">RANK(AB1099,OFFSET($AB$2,0,0,#REF!,1))</f>
        <v>#REF!</v>
      </c>
      <c r="AD1099" s="4" t="e">
        <f>InsurerSize(#REF!)</f>
        <v>#VALUE!</v>
      </c>
      <c r="AE1099" s="4" t="e">
        <f t="shared" si="29"/>
        <v>#VALUE!</v>
      </c>
    </row>
    <row r="1100" spans="8:31" x14ac:dyDescent="0.2"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AC1100" t="e">
        <f ca="1">RANK(AB1100,OFFSET($AB$2,0,0,#REF!,1))</f>
        <v>#REF!</v>
      </c>
      <c r="AD1100" s="4" t="e">
        <f>InsurerSize(#REF!)</f>
        <v>#VALUE!</v>
      </c>
      <c r="AE1100" s="4" t="e">
        <f t="shared" si="29"/>
        <v>#VALUE!</v>
      </c>
    </row>
    <row r="1101" spans="8:31" x14ac:dyDescent="0.2"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AC1101" t="e">
        <f ca="1">RANK(AB1101,OFFSET($AB$2,0,0,#REF!,1))</f>
        <v>#REF!</v>
      </c>
      <c r="AD1101" s="4" t="e">
        <f>InsurerSize(#REF!)</f>
        <v>#VALUE!</v>
      </c>
      <c r="AE1101" s="4" t="e">
        <f t="shared" si="29"/>
        <v>#VALUE!</v>
      </c>
    </row>
    <row r="1102" spans="8:31" x14ac:dyDescent="0.2"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AC1102" t="e">
        <f ca="1">RANK(AB1102,OFFSET($AB$2,0,0,#REF!,1))</f>
        <v>#REF!</v>
      </c>
      <c r="AD1102" s="4" t="e">
        <f>InsurerSize(#REF!)</f>
        <v>#VALUE!</v>
      </c>
      <c r="AE1102" s="4" t="e">
        <f t="shared" si="29"/>
        <v>#VALUE!</v>
      </c>
    </row>
    <row r="1103" spans="8:31" x14ac:dyDescent="0.2"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AC1103" t="e">
        <f ca="1">RANK(AB1103,OFFSET($AB$2,0,0,#REF!,1))</f>
        <v>#REF!</v>
      </c>
      <c r="AD1103" s="4" t="e">
        <f>InsurerSize(#REF!)</f>
        <v>#VALUE!</v>
      </c>
      <c r="AE1103" s="4" t="e">
        <f t="shared" si="29"/>
        <v>#VALUE!</v>
      </c>
    </row>
    <row r="1104" spans="8:31" x14ac:dyDescent="0.2"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AC1104" t="e">
        <f ca="1">RANK(AB1104,OFFSET($AB$2,0,0,#REF!,1))</f>
        <v>#REF!</v>
      </c>
      <c r="AD1104" s="4" t="e">
        <f>InsurerSize(#REF!)</f>
        <v>#VALUE!</v>
      </c>
      <c r="AE1104" s="4" t="e">
        <f t="shared" si="29"/>
        <v>#VALUE!</v>
      </c>
    </row>
    <row r="1105" spans="8:31" x14ac:dyDescent="0.2"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AC1105" t="e">
        <f ca="1">RANK(AB1105,OFFSET($AB$2,0,0,#REF!,1))</f>
        <v>#REF!</v>
      </c>
      <c r="AD1105" s="4" t="e">
        <f>InsurerSize(#REF!)</f>
        <v>#VALUE!</v>
      </c>
      <c r="AE1105" s="4" t="e">
        <f t="shared" si="29"/>
        <v>#VALUE!</v>
      </c>
    </row>
    <row r="1106" spans="8:31" x14ac:dyDescent="0.2"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AC1106" t="e">
        <f ca="1">RANK(AB1106,OFFSET($AB$2,0,0,#REF!,1))</f>
        <v>#REF!</v>
      </c>
      <c r="AD1106" s="4" t="e">
        <f>InsurerSize(#REF!)</f>
        <v>#VALUE!</v>
      </c>
      <c r="AE1106" s="4" t="e">
        <f t="shared" si="29"/>
        <v>#VALUE!</v>
      </c>
    </row>
    <row r="1107" spans="8:31" x14ac:dyDescent="0.2"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AC1107" t="e">
        <f ca="1">RANK(AB1107,OFFSET($AB$2,0,0,#REF!,1))</f>
        <v>#REF!</v>
      </c>
      <c r="AD1107" s="4" t="e">
        <f>InsurerSize(#REF!)</f>
        <v>#VALUE!</v>
      </c>
      <c r="AE1107" s="4" t="e">
        <f t="shared" si="29"/>
        <v>#VALUE!</v>
      </c>
    </row>
    <row r="1108" spans="8:31" x14ac:dyDescent="0.2"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AC1108" t="e">
        <f ca="1">RANK(AB1108,OFFSET($AB$2,0,0,#REF!,1))</f>
        <v>#REF!</v>
      </c>
      <c r="AD1108" s="4" t="e">
        <f>InsurerSize(#REF!)</f>
        <v>#VALUE!</v>
      </c>
      <c r="AE1108" s="4" t="e">
        <f t="shared" si="29"/>
        <v>#VALUE!</v>
      </c>
    </row>
    <row r="1109" spans="8:31" x14ac:dyDescent="0.2"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AC1109" t="e">
        <f ca="1">RANK(AB1109,OFFSET($AB$2,0,0,#REF!,1))</f>
        <v>#REF!</v>
      </c>
      <c r="AD1109" s="4" t="e">
        <f>InsurerSize(#REF!)</f>
        <v>#VALUE!</v>
      </c>
      <c r="AE1109" s="4" t="e">
        <f t="shared" si="29"/>
        <v>#VALUE!</v>
      </c>
    </row>
    <row r="1110" spans="8:31" x14ac:dyDescent="0.2"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AC1110" t="e">
        <f ca="1">RANK(AB1110,OFFSET($AB$2,0,0,#REF!,1))</f>
        <v>#REF!</v>
      </c>
      <c r="AD1110" s="4" t="e">
        <f>InsurerSize(#REF!)</f>
        <v>#VALUE!</v>
      </c>
      <c r="AE1110" s="4" t="e">
        <f t="shared" si="29"/>
        <v>#VALUE!</v>
      </c>
    </row>
    <row r="1111" spans="8:31" x14ac:dyDescent="0.2"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AC1111" t="e">
        <f ca="1">RANK(AB1111,OFFSET($AB$2,0,0,#REF!,1))</f>
        <v>#REF!</v>
      </c>
      <c r="AD1111" s="4" t="e">
        <f>InsurerSize(#REF!)</f>
        <v>#VALUE!</v>
      </c>
      <c r="AE1111" s="4" t="e">
        <f t="shared" si="29"/>
        <v>#VALUE!</v>
      </c>
    </row>
    <row r="1112" spans="8:31" x14ac:dyDescent="0.2"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AC1112" t="e">
        <f ca="1">RANK(AB1112,OFFSET($AB$2,0,0,#REF!,1))</f>
        <v>#REF!</v>
      </c>
      <c r="AD1112" s="4" t="e">
        <f>InsurerSize(#REF!)</f>
        <v>#VALUE!</v>
      </c>
      <c r="AE1112" s="4" t="e">
        <f t="shared" si="29"/>
        <v>#VALUE!</v>
      </c>
    </row>
    <row r="1113" spans="8:31" x14ac:dyDescent="0.2"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AC1113" t="e">
        <f ca="1">RANK(AB1113,OFFSET($AB$2,0,0,#REF!,1))</f>
        <v>#REF!</v>
      </c>
      <c r="AD1113" s="4" t="e">
        <f>InsurerSize(#REF!)</f>
        <v>#VALUE!</v>
      </c>
      <c r="AE1113" s="4" t="e">
        <f t="shared" si="29"/>
        <v>#VALUE!</v>
      </c>
    </row>
    <row r="1114" spans="8:31" x14ac:dyDescent="0.2"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AC1114" t="e">
        <f ca="1">RANK(AB1114,OFFSET($AB$2,0,0,#REF!,1))</f>
        <v>#REF!</v>
      </c>
      <c r="AD1114" s="4" t="e">
        <f>InsurerSize(#REF!)</f>
        <v>#VALUE!</v>
      </c>
      <c r="AE1114" s="4" t="e">
        <f t="shared" si="29"/>
        <v>#VALUE!</v>
      </c>
    </row>
    <row r="1115" spans="8:31" x14ac:dyDescent="0.2"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AC1115" t="e">
        <f ca="1">RANK(AB1115,OFFSET($AB$2,0,0,#REF!,1))</f>
        <v>#REF!</v>
      </c>
      <c r="AD1115" s="4" t="e">
        <f>InsurerSize(#REF!)</f>
        <v>#VALUE!</v>
      </c>
      <c r="AE1115" s="4" t="e">
        <f t="shared" si="29"/>
        <v>#VALUE!</v>
      </c>
    </row>
    <row r="1116" spans="8:31" x14ac:dyDescent="0.2"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AC1116" t="e">
        <f ca="1">RANK(AB1116,OFFSET($AB$2,0,0,#REF!,1))</f>
        <v>#REF!</v>
      </c>
      <c r="AD1116" s="4" t="e">
        <f>InsurerSize(#REF!)</f>
        <v>#VALUE!</v>
      </c>
      <c r="AE1116" s="4" t="e">
        <f t="shared" si="29"/>
        <v>#VALUE!</v>
      </c>
    </row>
    <row r="1117" spans="8:31" x14ac:dyDescent="0.2"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AC1117" t="e">
        <f ca="1">RANK(AB1117,OFFSET($AB$2,0,0,#REF!,1))</f>
        <v>#REF!</v>
      </c>
      <c r="AD1117" s="4" t="e">
        <f>InsurerSize(#REF!)</f>
        <v>#VALUE!</v>
      </c>
      <c r="AE1117" s="4" t="e">
        <f t="shared" si="29"/>
        <v>#VALUE!</v>
      </c>
    </row>
    <row r="1118" spans="8:31" x14ac:dyDescent="0.2"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AC1118" t="e">
        <f ca="1">RANK(AB1118,OFFSET($AB$2,0,0,#REF!,1))</f>
        <v>#REF!</v>
      </c>
      <c r="AD1118" s="4" t="e">
        <f>InsurerSize(#REF!)</f>
        <v>#VALUE!</v>
      </c>
      <c r="AE1118" s="4" t="e">
        <f t="shared" si="29"/>
        <v>#VALUE!</v>
      </c>
    </row>
    <row r="1119" spans="8:31" x14ac:dyDescent="0.2"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AC1119" t="e">
        <f ca="1">RANK(AB1119,OFFSET($AB$2,0,0,#REF!,1))</f>
        <v>#REF!</v>
      </c>
      <c r="AD1119" s="4" t="e">
        <f>InsurerSize(#REF!)</f>
        <v>#VALUE!</v>
      </c>
      <c r="AE1119" s="4" t="e">
        <f t="shared" si="29"/>
        <v>#VALUE!</v>
      </c>
    </row>
    <row r="1120" spans="8:31" x14ac:dyDescent="0.2"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AC1120" t="e">
        <f ca="1">RANK(AB1120,OFFSET($AB$2,0,0,#REF!,1))</f>
        <v>#REF!</v>
      </c>
      <c r="AD1120" s="4" t="e">
        <f>InsurerSize(#REF!)</f>
        <v>#VALUE!</v>
      </c>
      <c r="AE1120" s="4" t="e">
        <f t="shared" si="29"/>
        <v>#VALUE!</v>
      </c>
    </row>
    <row r="1121" spans="8:31" x14ac:dyDescent="0.2"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AC1121" t="e">
        <f ca="1">RANK(AB1121,OFFSET($AB$2,0,0,#REF!,1))</f>
        <v>#REF!</v>
      </c>
      <c r="AD1121" s="4" t="e">
        <f>InsurerSize(#REF!)</f>
        <v>#VALUE!</v>
      </c>
      <c r="AE1121" s="4" t="e">
        <f t="shared" si="29"/>
        <v>#VALUE!</v>
      </c>
    </row>
    <row r="1122" spans="8:31" x14ac:dyDescent="0.2"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AC1122" t="e">
        <f ca="1">RANK(AB1122,OFFSET($AB$2,0,0,#REF!,1))</f>
        <v>#REF!</v>
      </c>
      <c r="AD1122" s="4" t="e">
        <f>InsurerSize(#REF!)</f>
        <v>#VALUE!</v>
      </c>
      <c r="AE1122" s="4" t="e">
        <f t="shared" si="29"/>
        <v>#VALUE!</v>
      </c>
    </row>
    <row r="1123" spans="8:31" x14ac:dyDescent="0.2"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AC1123" t="e">
        <f ca="1">RANK(AB1123,OFFSET($AB$2,0,0,#REF!,1))</f>
        <v>#REF!</v>
      </c>
      <c r="AD1123" s="4" t="e">
        <f>InsurerSize(#REF!)</f>
        <v>#VALUE!</v>
      </c>
      <c r="AE1123" s="4" t="e">
        <f t="shared" si="29"/>
        <v>#VALUE!</v>
      </c>
    </row>
    <row r="1124" spans="8:31" x14ac:dyDescent="0.2"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AC1124" t="e">
        <f ca="1">RANK(AB1124,OFFSET($AB$2,0,0,#REF!,1))</f>
        <v>#REF!</v>
      </c>
      <c r="AD1124" s="4" t="e">
        <f>InsurerSize(#REF!)</f>
        <v>#VALUE!</v>
      </c>
      <c r="AE1124" s="4" t="e">
        <f t="shared" si="29"/>
        <v>#VALUE!</v>
      </c>
    </row>
    <row r="1125" spans="8:31" x14ac:dyDescent="0.2"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AC1125" t="e">
        <f ca="1">RANK(AB1125,OFFSET($AB$2,0,0,#REF!,1))</f>
        <v>#REF!</v>
      </c>
      <c r="AD1125" s="4" t="e">
        <f>InsurerSize(#REF!)</f>
        <v>#VALUE!</v>
      </c>
      <c r="AE1125" s="4" t="e">
        <f t="shared" si="29"/>
        <v>#VALUE!</v>
      </c>
    </row>
    <row r="1126" spans="8:31" x14ac:dyDescent="0.2"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AC1126" t="e">
        <f ca="1">RANK(AB1126,OFFSET($AB$2,0,0,#REF!,1))</f>
        <v>#REF!</v>
      </c>
      <c r="AD1126" s="4" t="e">
        <f>InsurerSize(#REF!)</f>
        <v>#VALUE!</v>
      </c>
      <c r="AE1126" s="4" t="e">
        <f t="shared" si="29"/>
        <v>#VALUE!</v>
      </c>
    </row>
    <row r="1127" spans="8:31" x14ac:dyDescent="0.2"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AC1127" t="e">
        <f ca="1">RANK(AB1127,OFFSET($AB$2,0,0,#REF!,1))</f>
        <v>#REF!</v>
      </c>
      <c r="AD1127" s="4" t="e">
        <f>InsurerSize(#REF!)</f>
        <v>#VALUE!</v>
      </c>
      <c r="AE1127" s="4" t="e">
        <f t="shared" si="29"/>
        <v>#VALUE!</v>
      </c>
    </row>
    <row r="1128" spans="8:31" x14ac:dyDescent="0.2"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AC1128" t="e">
        <f ca="1">RANK(AB1128,OFFSET($AB$2,0,0,#REF!,1))</f>
        <v>#REF!</v>
      </c>
      <c r="AD1128" s="4" t="e">
        <f>InsurerSize(#REF!)</f>
        <v>#VALUE!</v>
      </c>
      <c r="AE1128" s="4" t="e">
        <f t="shared" si="29"/>
        <v>#VALUE!</v>
      </c>
    </row>
    <row r="1129" spans="8:31" x14ac:dyDescent="0.2"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AC1129" t="e">
        <f ca="1">RANK(AB1129,OFFSET($AB$2,0,0,#REF!,1))</f>
        <v>#REF!</v>
      </c>
      <c r="AD1129" s="4" t="e">
        <f>InsurerSize(#REF!)</f>
        <v>#VALUE!</v>
      </c>
      <c r="AE1129" s="4" t="e">
        <f t="shared" si="29"/>
        <v>#VALUE!</v>
      </c>
    </row>
    <row r="1130" spans="8:31" x14ac:dyDescent="0.2"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AC1130" t="e">
        <f ca="1">RANK(AB1130,OFFSET($AB$2,0,0,#REF!,1))</f>
        <v>#REF!</v>
      </c>
      <c r="AD1130" s="4" t="e">
        <f>InsurerSize(#REF!)</f>
        <v>#VALUE!</v>
      </c>
      <c r="AE1130" s="4" t="e">
        <f t="shared" si="29"/>
        <v>#VALUE!</v>
      </c>
    </row>
    <row r="1131" spans="8:31" x14ac:dyDescent="0.2"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AC1131" t="e">
        <f ca="1">RANK(AB1131,OFFSET($AB$2,0,0,#REF!,1))</f>
        <v>#REF!</v>
      </c>
      <c r="AD1131" s="4" t="e">
        <f>InsurerSize(#REF!)</f>
        <v>#VALUE!</v>
      </c>
      <c r="AE1131" s="4" t="e">
        <f t="shared" si="29"/>
        <v>#VALUE!</v>
      </c>
    </row>
    <row r="1132" spans="8:31" x14ac:dyDescent="0.2"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AC1132" t="e">
        <f ca="1">RANK(AB1132,OFFSET($AB$2,0,0,#REF!,1))</f>
        <v>#REF!</v>
      </c>
      <c r="AD1132" s="4" t="e">
        <f>InsurerSize(#REF!)</f>
        <v>#VALUE!</v>
      </c>
      <c r="AE1132" s="4" t="e">
        <f t="shared" si="29"/>
        <v>#VALUE!</v>
      </c>
    </row>
    <row r="1133" spans="8:31" x14ac:dyDescent="0.2"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AC1133" t="e">
        <f ca="1">RANK(AB1133,OFFSET($AB$2,0,0,#REF!,1))</f>
        <v>#REF!</v>
      </c>
      <c r="AD1133" s="4" t="e">
        <f>InsurerSize(#REF!)</f>
        <v>#VALUE!</v>
      </c>
      <c r="AE1133" s="4" t="e">
        <f t="shared" si="29"/>
        <v>#VALUE!</v>
      </c>
    </row>
    <row r="1134" spans="8:31" x14ac:dyDescent="0.2"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AC1134" t="e">
        <f ca="1">RANK(AB1134,OFFSET($AB$2,0,0,#REF!,1))</f>
        <v>#REF!</v>
      </c>
      <c r="AD1134" s="4" t="e">
        <f>InsurerSize(#REF!)</f>
        <v>#VALUE!</v>
      </c>
      <c r="AE1134" s="4" t="e">
        <f t="shared" si="29"/>
        <v>#VALUE!</v>
      </c>
    </row>
    <row r="1135" spans="8:31" x14ac:dyDescent="0.2"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AC1135" t="e">
        <f ca="1">RANK(AB1135,OFFSET($AB$2,0,0,#REF!,1))</f>
        <v>#REF!</v>
      </c>
      <c r="AD1135" s="4" t="e">
        <f>InsurerSize(#REF!)</f>
        <v>#VALUE!</v>
      </c>
      <c r="AE1135" s="4" t="e">
        <f t="shared" si="29"/>
        <v>#VALUE!</v>
      </c>
    </row>
    <row r="1136" spans="8:31" x14ac:dyDescent="0.2"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AC1136" t="e">
        <f ca="1">RANK(AB1136,OFFSET($AB$2,0,0,#REF!,1))</f>
        <v>#REF!</v>
      </c>
      <c r="AD1136" s="4" t="e">
        <f>InsurerSize(#REF!)</f>
        <v>#VALUE!</v>
      </c>
      <c r="AE1136" s="4" t="e">
        <f t="shared" si="29"/>
        <v>#VALUE!</v>
      </c>
    </row>
    <row r="1137" spans="8:31" x14ac:dyDescent="0.2"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AC1137" t="e">
        <f ca="1">RANK(AB1137,OFFSET($AB$2,0,0,#REF!,1))</f>
        <v>#REF!</v>
      </c>
      <c r="AD1137" s="4" t="e">
        <f>InsurerSize(#REF!)</f>
        <v>#VALUE!</v>
      </c>
      <c r="AE1137" s="4" t="e">
        <f t="shared" si="29"/>
        <v>#VALUE!</v>
      </c>
    </row>
    <row r="1138" spans="8:31" x14ac:dyDescent="0.2"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AC1138" t="e">
        <f ca="1">RANK(AB1138,OFFSET($AB$2,0,0,#REF!,1))</f>
        <v>#REF!</v>
      </c>
      <c r="AD1138" s="4" t="e">
        <f>InsurerSize(#REF!)</f>
        <v>#VALUE!</v>
      </c>
      <c r="AE1138" s="4" t="e">
        <f t="shared" si="29"/>
        <v>#VALUE!</v>
      </c>
    </row>
    <row r="1139" spans="8:31" x14ac:dyDescent="0.2"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AC1139" t="e">
        <f ca="1">RANK(AB1139,OFFSET($AB$2,0,0,#REF!,1))</f>
        <v>#REF!</v>
      </c>
      <c r="AD1139" s="4" t="e">
        <f>InsurerSize(#REF!)</f>
        <v>#VALUE!</v>
      </c>
      <c r="AE1139" s="4" t="e">
        <f t="shared" si="29"/>
        <v>#VALUE!</v>
      </c>
    </row>
    <row r="1140" spans="8:31" x14ac:dyDescent="0.2"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AC1140" t="e">
        <f ca="1">RANK(AB1140,OFFSET($AB$2,0,0,#REF!,1))</f>
        <v>#REF!</v>
      </c>
      <c r="AD1140" s="4" t="e">
        <f>InsurerSize(#REF!)</f>
        <v>#VALUE!</v>
      </c>
      <c r="AE1140" s="4" t="e">
        <f t="shared" si="29"/>
        <v>#VALUE!</v>
      </c>
    </row>
    <row r="1141" spans="8:31" x14ac:dyDescent="0.2"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AC1141" t="e">
        <f ca="1">RANK(AB1141,OFFSET($AB$2,0,0,#REF!,1))</f>
        <v>#REF!</v>
      </c>
      <c r="AD1141" s="4" t="e">
        <f>InsurerSize(#REF!)</f>
        <v>#VALUE!</v>
      </c>
      <c r="AE1141" s="4" t="e">
        <f t="shared" si="29"/>
        <v>#VALUE!</v>
      </c>
    </row>
    <row r="1142" spans="8:31" x14ac:dyDescent="0.2"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AC1142" t="e">
        <f ca="1">RANK(AB1142,OFFSET($AB$2,0,0,#REF!,1))</f>
        <v>#REF!</v>
      </c>
      <c r="AD1142" s="4" t="e">
        <f>InsurerSize(#REF!)</f>
        <v>#VALUE!</v>
      </c>
      <c r="AE1142" s="4" t="e">
        <f t="shared" si="29"/>
        <v>#VALUE!</v>
      </c>
    </row>
    <row r="1143" spans="8:31" x14ac:dyDescent="0.2"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AC1143" t="e">
        <f ca="1">RANK(AB1143,OFFSET($AB$2,0,0,#REF!,1))</f>
        <v>#REF!</v>
      </c>
      <c r="AD1143" s="4" t="e">
        <f>InsurerSize(#REF!)</f>
        <v>#VALUE!</v>
      </c>
      <c r="AE1143" s="4" t="e">
        <f t="shared" si="29"/>
        <v>#VALUE!</v>
      </c>
    </row>
    <row r="1144" spans="8:31" x14ac:dyDescent="0.2"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AC1144" t="e">
        <f ca="1">RANK(AB1144,OFFSET($AB$2,0,0,#REF!,1))</f>
        <v>#REF!</v>
      </c>
      <c r="AD1144" s="4" t="e">
        <f>InsurerSize(#REF!)</f>
        <v>#VALUE!</v>
      </c>
      <c r="AE1144" s="4" t="e">
        <f t="shared" si="29"/>
        <v>#VALUE!</v>
      </c>
    </row>
    <row r="1145" spans="8:31" x14ac:dyDescent="0.2"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AC1145" t="e">
        <f ca="1">RANK(AB1145,OFFSET($AB$2,0,0,#REF!,1))</f>
        <v>#REF!</v>
      </c>
      <c r="AD1145" s="4" t="e">
        <f>InsurerSize(#REF!)</f>
        <v>#VALUE!</v>
      </c>
      <c r="AE1145" s="4" t="e">
        <f t="shared" si="29"/>
        <v>#VALUE!</v>
      </c>
    </row>
    <row r="1146" spans="8:31" x14ac:dyDescent="0.2"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AC1146" t="e">
        <f ca="1">RANK(AB1146,OFFSET($AB$2,0,0,#REF!,1))</f>
        <v>#REF!</v>
      </c>
      <c r="AD1146" s="4" t="e">
        <f>InsurerSize(#REF!)</f>
        <v>#VALUE!</v>
      </c>
      <c r="AE1146" s="4" t="e">
        <f t="shared" si="29"/>
        <v>#VALUE!</v>
      </c>
    </row>
    <row r="1147" spans="8:31" x14ac:dyDescent="0.2"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AC1147" t="e">
        <f ca="1">RANK(AB1147,OFFSET($AB$2,0,0,#REF!,1))</f>
        <v>#REF!</v>
      </c>
      <c r="AD1147" s="4" t="e">
        <f>InsurerSize(#REF!)</f>
        <v>#VALUE!</v>
      </c>
      <c r="AE1147" s="4" t="e">
        <f t="shared" si="29"/>
        <v>#VALUE!</v>
      </c>
    </row>
    <row r="1148" spans="8:31" x14ac:dyDescent="0.2"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AC1148" t="e">
        <f ca="1">RANK(AB1148,OFFSET($AB$2,0,0,#REF!,1))</f>
        <v>#REF!</v>
      </c>
      <c r="AD1148" s="4" t="e">
        <f>InsurerSize(#REF!)</f>
        <v>#VALUE!</v>
      </c>
      <c r="AE1148" s="4" t="e">
        <f t="shared" si="29"/>
        <v>#VALUE!</v>
      </c>
    </row>
    <row r="1149" spans="8:31" x14ac:dyDescent="0.2"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AC1149" t="e">
        <f ca="1">RANK(AB1149,OFFSET($AB$2,0,0,#REF!,1))</f>
        <v>#REF!</v>
      </c>
      <c r="AD1149" s="4" t="e">
        <f>InsurerSize(#REF!)</f>
        <v>#VALUE!</v>
      </c>
      <c r="AE1149" s="4" t="e">
        <f t="shared" si="29"/>
        <v>#VALUE!</v>
      </c>
    </row>
    <row r="1150" spans="8:31" x14ac:dyDescent="0.2"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AC1150" t="e">
        <f ca="1">RANK(AB1150,OFFSET($AB$2,0,0,#REF!,1))</f>
        <v>#REF!</v>
      </c>
      <c r="AD1150" s="4" t="e">
        <f>InsurerSize(#REF!)</f>
        <v>#VALUE!</v>
      </c>
      <c r="AE1150" s="4" t="e">
        <f t="shared" si="29"/>
        <v>#VALUE!</v>
      </c>
    </row>
    <row r="1151" spans="8:31" x14ac:dyDescent="0.2"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AC1151" t="e">
        <f ca="1">RANK(AB1151,OFFSET($AB$2,0,0,#REF!,1))</f>
        <v>#REF!</v>
      </c>
      <c r="AD1151" s="4" t="e">
        <f>InsurerSize(#REF!)</f>
        <v>#VALUE!</v>
      </c>
      <c r="AE1151" s="4" t="e">
        <f t="shared" si="29"/>
        <v>#VALUE!</v>
      </c>
    </row>
    <row r="1152" spans="8:31" x14ac:dyDescent="0.2"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AC1152" t="e">
        <f ca="1">RANK(AB1152,OFFSET($AB$2,0,0,#REF!,1))</f>
        <v>#REF!</v>
      </c>
      <c r="AD1152" s="4" t="e">
        <f>InsurerSize(#REF!)</f>
        <v>#VALUE!</v>
      </c>
      <c r="AE1152" s="4" t="e">
        <f t="shared" si="29"/>
        <v>#VALUE!</v>
      </c>
    </row>
    <row r="1153" spans="8:31" x14ac:dyDescent="0.2"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AC1153" t="e">
        <f ca="1">RANK(AB1153,OFFSET($AB$2,0,0,#REF!,1))</f>
        <v>#REF!</v>
      </c>
      <c r="AD1153" s="4" t="e">
        <f>InsurerSize(#REF!)</f>
        <v>#VALUE!</v>
      </c>
      <c r="AE1153" s="4" t="e">
        <f t="shared" si="29"/>
        <v>#VALUE!</v>
      </c>
    </row>
    <row r="1154" spans="8:31" x14ac:dyDescent="0.2"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AC1154" t="e">
        <f ca="1">RANK(AB1154,OFFSET($AB$2,0,0,#REF!,1))</f>
        <v>#REF!</v>
      </c>
      <c r="AD1154" s="4" t="e">
        <f>InsurerSize(#REF!)</f>
        <v>#VALUE!</v>
      </c>
      <c r="AE1154" s="4" t="e">
        <f t="shared" ref="AE1154:AE1217" si="30">A1154&amp;AD1154</f>
        <v>#VALUE!</v>
      </c>
    </row>
    <row r="1155" spans="8:31" x14ac:dyDescent="0.2"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AC1155" t="e">
        <f ca="1">RANK(AB1155,OFFSET($AB$2,0,0,#REF!,1))</f>
        <v>#REF!</v>
      </c>
      <c r="AD1155" s="4" t="e">
        <f>InsurerSize(#REF!)</f>
        <v>#VALUE!</v>
      </c>
      <c r="AE1155" s="4" t="e">
        <f t="shared" si="30"/>
        <v>#VALUE!</v>
      </c>
    </row>
    <row r="1156" spans="8:31" x14ac:dyDescent="0.2"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AC1156" t="e">
        <f ca="1">RANK(AB1156,OFFSET($AB$2,0,0,#REF!,1))</f>
        <v>#REF!</v>
      </c>
      <c r="AD1156" s="4" t="e">
        <f>InsurerSize(#REF!)</f>
        <v>#VALUE!</v>
      </c>
      <c r="AE1156" s="4" t="e">
        <f t="shared" si="30"/>
        <v>#VALUE!</v>
      </c>
    </row>
    <row r="1157" spans="8:31" x14ac:dyDescent="0.2"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AC1157" t="e">
        <f ca="1">RANK(AB1157,OFFSET($AB$2,0,0,#REF!,1))</f>
        <v>#REF!</v>
      </c>
      <c r="AD1157" s="4" t="e">
        <f>InsurerSize(#REF!)</f>
        <v>#VALUE!</v>
      </c>
      <c r="AE1157" s="4" t="e">
        <f t="shared" si="30"/>
        <v>#VALUE!</v>
      </c>
    </row>
    <row r="1158" spans="8:31" x14ac:dyDescent="0.2"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AC1158" t="e">
        <f ca="1">RANK(AB1158,OFFSET($AB$2,0,0,#REF!,1))</f>
        <v>#REF!</v>
      </c>
      <c r="AD1158" s="4" t="e">
        <f>InsurerSize(#REF!)</f>
        <v>#VALUE!</v>
      </c>
      <c r="AE1158" s="4" t="e">
        <f t="shared" si="30"/>
        <v>#VALUE!</v>
      </c>
    </row>
    <row r="1159" spans="8:31" x14ac:dyDescent="0.2"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AC1159" t="e">
        <f ca="1">RANK(AB1159,OFFSET($AB$2,0,0,#REF!,1))</f>
        <v>#REF!</v>
      </c>
      <c r="AD1159" s="4" t="e">
        <f>InsurerSize(#REF!)</f>
        <v>#VALUE!</v>
      </c>
      <c r="AE1159" s="4" t="e">
        <f t="shared" si="30"/>
        <v>#VALUE!</v>
      </c>
    </row>
    <row r="1160" spans="8:31" x14ac:dyDescent="0.2"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AC1160" t="e">
        <f ca="1">RANK(AB1160,OFFSET($AB$2,0,0,#REF!,1))</f>
        <v>#REF!</v>
      </c>
      <c r="AD1160" s="4" t="e">
        <f>InsurerSize(#REF!)</f>
        <v>#VALUE!</v>
      </c>
      <c r="AE1160" s="4" t="e">
        <f t="shared" si="30"/>
        <v>#VALUE!</v>
      </c>
    </row>
    <row r="1161" spans="8:31" x14ac:dyDescent="0.2"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AC1161" t="e">
        <f ca="1">RANK(AB1161,OFFSET($AB$2,0,0,#REF!,1))</f>
        <v>#REF!</v>
      </c>
      <c r="AD1161" s="4" t="e">
        <f>InsurerSize(#REF!)</f>
        <v>#VALUE!</v>
      </c>
      <c r="AE1161" s="4" t="e">
        <f t="shared" si="30"/>
        <v>#VALUE!</v>
      </c>
    </row>
    <row r="1162" spans="8:31" x14ac:dyDescent="0.2"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AC1162" t="e">
        <f ca="1">RANK(AB1162,OFFSET($AB$2,0,0,#REF!,1))</f>
        <v>#REF!</v>
      </c>
      <c r="AD1162" s="4" t="e">
        <f>InsurerSize(#REF!)</f>
        <v>#VALUE!</v>
      </c>
      <c r="AE1162" s="4" t="e">
        <f t="shared" si="30"/>
        <v>#VALUE!</v>
      </c>
    </row>
    <row r="1163" spans="8:31" x14ac:dyDescent="0.2"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AC1163" t="e">
        <f ca="1">RANK(AB1163,OFFSET($AB$2,0,0,#REF!,1))</f>
        <v>#REF!</v>
      </c>
      <c r="AD1163" s="4" t="e">
        <f>InsurerSize(#REF!)</f>
        <v>#VALUE!</v>
      </c>
      <c r="AE1163" s="4" t="e">
        <f t="shared" si="30"/>
        <v>#VALUE!</v>
      </c>
    </row>
    <row r="1164" spans="8:31" x14ac:dyDescent="0.2"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AC1164" t="e">
        <f ca="1">RANK(AB1164,OFFSET($AB$2,0,0,#REF!,1))</f>
        <v>#REF!</v>
      </c>
      <c r="AD1164" s="4" t="e">
        <f>InsurerSize(#REF!)</f>
        <v>#VALUE!</v>
      </c>
      <c r="AE1164" s="4" t="e">
        <f t="shared" si="30"/>
        <v>#VALUE!</v>
      </c>
    </row>
    <row r="1165" spans="8:31" x14ac:dyDescent="0.2"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AC1165" t="e">
        <f ca="1">RANK(AB1165,OFFSET($AB$2,0,0,#REF!,1))</f>
        <v>#REF!</v>
      </c>
      <c r="AD1165" s="4" t="e">
        <f>InsurerSize(#REF!)</f>
        <v>#VALUE!</v>
      </c>
      <c r="AE1165" s="4" t="e">
        <f t="shared" si="30"/>
        <v>#VALUE!</v>
      </c>
    </row>
    <row r="1166" spans="8:31" x14ac:dyDescent="0.2"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AC1166" t="e">
        <f ca="1">RANK(AB1166,OFFSET($AB$2,0,0,#REF!,1))</f>
        <v>#REF!</v>
      </c>
      <c r="AD1166" s="4" t="e">
        <f>InsurerSize(#REF!)</f>
        <v>#VALUE!</v>
      </c>
      <c r="AE1166" s="4" t="e">
        <f t="shared" si="30"/>
        <v>#VALUE!</v>
      </c>
    </row>
    <row r="1167" spans="8:31" x14ac:dyDescent="0.2"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AC1167" t="e">
        <f ca="1">RANK(AB1167,OFFSET($AB$2,0,0,#REF!,1))</f>
        <v>#REF!</v>
      </c>
      <c r="AD1167" s="4" t="e">
        <f>InsurerSize(#REF!)</f>
        <v>#VALUE!</v>
      </c>
      <c r="AE1167" s="4" t="e">
        <f t="shared" si="30"/>
        <v>#VALUE!</v>
      </c>
    </row>
    <row r="1168" spans="8:31" x14ac:dyDescent="0.2"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AC1168" t="e">
        <f ca="1">RANK(AB1168,OFFSET($AB$2,0,0,#REF!,1))</f>
        <v>#REF!</v>
      </c>
      <c r="AD1168" s="4" t="e">
        <f>InsurerSize(#REF!)</f>
        <v>#VALUE!</v>
      </c>
      <c r="AE1168" s="4" t="e">
        <f t="shared" si="30"/>
        <v>#VALUE!</v>
      </c>
    </row>
    <row r="1169" spans="8:31" x14ac:dyDescent="0.2"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AC1169" t="e">
        <f ca="1">RANK(AB1169,OFFSET($AB$2,0,0,#REF!,1))</f>
        <v>#REF!</v>
      </c>
      <c r="AD1169" s="4" t="e">
        <f>InsurerSize(#REF!)</f>
        <v>#VALUE!</v>
      </c>
      <c r="AE1169" s="4" t="e">
        <f t="shared" si="30"/>
        <v>#VALUE!</v>
      </c>
    </row>
    <row r="1170" spans="8:31" x14ac:dyDescent="0.2"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AC1170" t="e">
        <f ca="1">RANK(AB1170,OFFSET($AB$2,0,0,#REF!,1))</f>
        <v>#REF!</v>
      </c>
      <c r="AD1170" s="4" t="e">
        <f>InsurerSize(#REF!)</f>
        <v>#VALUE!</v>
      </c>
      <c r="AE1170" s="4" t="e">
        <f t="shared" si="30"/>
        <v>#VALUE!</v>
      </c>
    </row>
    <row r="1171" spans="8:31" x14ac:dyDescent="0.2"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AC1171" t="e">
        <f ca="1">RANK(AB1171,OFFSET($AB$2,0,0,#REF!,1))</f>
        <v>#REF!</v>
      </c>
      <c r="AD1171" s="4" t="e">
        <f>InsurerSize(#REF!)</f>
        <v>#VALUE!</v>
      </c>
      <c r="AE1171" s="4" t="e">
        <f t="shared" si="30"/>
        <v>#VALUE!</v>
      </c>
    </row>
    <row r="1172" spans="8:31" x14ac:dyDescent="0.2"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AC1172" t="e">
        <f ca="1">RANK(AB1172,OFFSET($AB$2,0,0,#REF!,1))</f>
        <v>#REF!</v>
      </c>
      <c r="AD1172" s="4" t="e">
        <f>InsurerSize(#REF!)</f>
        <v>#VALUE!</v>
      </c>
      <c r="AE1172" s="4" t="e">
        <f t="shared" si="30"/>
        <v>#VALUE!</v>
      </c>
    </row>
    <row r="1173" spans="8:31" x14ac:dyDescent="0.2"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AC1173" t="e">
        <f ca="1">RANK(AB1173,OFFSET($AB$2,0,0,#REF!,1))</f>
        <v>#REF!</v>
      </c>
      <c r="AD1173" s="4" t="e">
        <f>InsurerSize(#REF!)</f>
        <v>#VALUE!</v>
      </c>
      <c r="AE1173" s="4" t="e">
        <f t="shared" si="30"/>
        <v>#VALUE!</v>
      </c>
    </row>
    <row r="1174" spans="8:31" x14ac:dyDescent="0.2"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AC1174" t="e">
        <f ca="1">RANK(AB1174,OFFSET($AB$2,0,0,#REF!,1))</f>
        <v>#REF!</v>
      </c>
      <c r="AD1174" s="4" t="e">
        <f>InsurerSize(#REF!)</f>
        <v>#VALUE!</v>
      </c>
      <c r="AE1174" s="4" t="e">
        <f t="shared" si="30"/>
        <v>#VALUE!</v>
      </c>
    </row>
    <row r="1175" spans="8:31" x14ac:dyDescent="0.2"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AC1175" t="e">
        <f ca="1">RANK(AB1175,OFFSET($AB$2,0,0,#REF!,1))</f>
        <v>#REF!</v>
      </c>
      <c r="AD1175" s="4" t="e">
        <f>InsurerSize(#REF!)</f>
        <v>#VALUE!</v>
      </c>
      <c r="AE1175" s="4" t="e">
        <f t="shared" si="30"/>
        <v>#VALUE!</v>
      </c>
    </row>
    <row r="1176" spans="8:31" x14ac:dyDescent="0.2"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AC1176" t="e">
        <f ca="1">RANK(AB1176,OFFSET($AB$2,0,0,#REF!,1))</f>
        <v>#REF!</v>
      </c>
      <c r="AD1176" s="4" t="e">
        <f>InsurerSize(#REF!)</f>
        <v>#VALUE!</v>
      </c>
      <c r="AE1176" s="4" t="e">
        <f t="shared" si="30"/>
        <v>#VALUE!</v>
      </c>
    </row>
    <row r="1177" spans="8:31" x14ac:dyDescent="0.2"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AC1177" t="e">
        <f ca="1">RANK(AB1177,OFFSET($AB$2,0,0,#REF!,1))</f>
        <v>#REF!</v>
      </c>
      <c r="AD1177" s="4" t="e">
        <f>InsurerSize(#REF!)</f>
        <v>#VALUE!</v>
      </c>
      <c r="AE1177" s="4" t="e">
        <f t="shared" si="30"/>
        <v>#VALUE!</v>
      </c>
    </row>
    <row r="1178" spans="8:31" x14ac:dyDescent="0.2"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AC1178" t="e">
        <f ca="1">RANK(AB1178,OFFSET($AB$2,0,0,#REF!,1))</f>
        <v>#REF!</v>
      </c>
      <c r="AD1178" s="4" t="e">
        <f>InsurerSize(#REF!)</f>
        <v>#VALUE!</v>
      </c>
      <c r="AE1178" s="4" t="e">
        <f t="shared" si="30"/>
        <v>#VALUE!</v>
      </c>
    </row>
    <row r="1179" spans="8:31" x14ac:dyDescent="0.2"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AC1179" t="e">
        <f ca="1">RANK(AB1179,OFFSET($AB$2,0,0,#REF!,1))</f>
        <v>#REF!</v>
      </c>
      <c r="AD1179" s="4" t="e">
        <f>InsurerSize(#REF!)</f>
        <v>#VALUE!</v>
      </c>
      <c r="AE1179" s="4" t="e">
        <f t="shared" si="30"/>
        <v>#VALUE!</v>
      </c>
    </row>
    <row r="1180" spans="8:31" x14ac:dyDescent="0.2"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AC1180" t="e">
        <f ca="1">RANK(AB1180,OFFSET($AB$2,0,0,#REF!,1))</f>
        <v>#REF!</v>
      </c>
      <c r="AD1180" s="4" t="e">
        <f>InsurerSize(#REF!)</f>
        <v>#VALUE!</v>
      </c>
      <c r="AE1180" s="4" t="e">
        <f t="shared" si="30"/>
        <v>#VALUE!</v>
      </c>
    </row>
    <row r="1181" spans="8:31" x14ac:dyDescent="0.2"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AC1181" t="e">
        <f ca="1">RANK(AB1181,OFFSET($AB$2,0,0,#REF!,1))</f>
        <v>#REF!</v>
      </c>
      <c r="AD1181" s="4" t="e">
        <f>InsurerSize(#REF!)</f>
        <v>#VALUE!</v>
      </c>
      <c r="AE1181" s="4" t="e">
        <f t="shared" si="30"/>
        <v>#VALUE!</v>
      </c>
    </row>
    <row r="1182" spans="8:31" x14ac:dyDescent="0.2"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AC1182" t="e">
        <f ca="1">RANK(AB1182,OFFSET($AB$2,0,0,#REF!,1))</f>
        <v>#REF!</v>
      </c>
      <c r="AD1182" s="4" t="e">
        <f>InsurerSize(#REF!)</f>
        <v>#VALUE!</v>
      </c>
      <c r="AE1182" s="4" t="e">
        <f t="shared" si="30"/>
        <v>#VALUE!</v>
      </c>
    </row>
    <row r="1183" spans="8:31" x14ac:dyDescent="0.2"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AC1183" t="e">
        <f ca="1">RANK(AB1183,OFFSET($AB$2,0,0,#REF!,1))</f>
        <v>#REF!</v>
      </c>
      <c r="AD1183" s="4" t="e">
        <f>InsurerSize(#REF!)</f>
        <v>#VALUE!</v>
      </c>
      <c r="AE1183" s="4" t="e">
        <f t="shared" si="30"/>
        <v>#VALUE!</v>
      </c>
    </row>
    <row r="1184" spans="8:31" x14ac:dyDescent="0.2"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AC1184" t="e">
        <f ca="1">RANK(AB1184,OFFSET($AB$2,0,0,#REF!,1))</f>
        <v>#REF!</v>
      </c>
      <c r="AD1184" s="4" t="e">
        <f>InsurerSize(#REF!)</f>
        <v>#VALUE!</v>
      </c>
      <c r="AE1184" s="4" t="e">
        <f t="shared" si="30"/>
        <v>#VALUE!</v>
      </c>
    </row>
    <row r="1185" spans="8:31" x14ac:dyDescent="0.2"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AC1185" t="e">
        <f ca="1">RANK(AB1185,OFFSET($AB$2,0,0,#REF!,1))</f>
        <v>#REF!</v>
      </c>
      <c r="AD1185" s="4" t="e">
        <f>InsurerSize(#REF!)</f>
        <v>#VALUE!</v>
      </c>
      <c r="AE1185" s="4" t="e">
        <f t="shared" si="30"/>
        <v>#VALUE!</v>
      </c>
    </row>
    <row r="1186" spans="8:31" x14ac:dyDescent="0.2"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AC1186" t="e">
        <f ca="1">RANK(AB1186,OFFSET($AB$2,0,0,#REF!,1))</f>
        <v>#REF!</v>
      </c>
      <c r="AD1186" s="4" t="e">
        <f>InsurerSize(#REF!)</f>
        <v>#VALUE!</v>
      </c>
      <c r="AE1186" s="4" t="e">
        <f t="shared" si="30"/>
        <v>#VALUE!</v>
      </c>
    </row>
    <row r="1187" spans="8:31" x14ac:dyDescent="0.2"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AC1187" t="e">
        <f ca="1">RANK(AB1187,OFFSET($AB$2,0,0,#REF!,1))</f>
        <v>#REF!</v>
      </c>
      <c r="AD1187" s="4" t="e">
        <f>InsurerSize(#REF!)</f>
        <v>#VALUE!</v>
      </c>
      <c r="AE1187" s="4" t="e">
        <f t="shared" si="30"/>
        <v>#VALUE!</v>
      </c>
    </row>
    <row r="1188" spans="8:31" x14ac:dyDescent="0.2"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AC1188" t="e">
        <f ca="1">RANK(AB1188,OFFSET($AB$2,0,0,#REF!,1))</f>
        <v>#REF!</v>
      </c>
      <c r="AD1188" s="4" t="e">
        <f>InsurerSize(#REF!)</f>
        <v>#VALUE!</v>
      </c>
      <c r="AE1188" s="4" t="e">
        <f t="shared" si="30"/>
        <v>#VALUE!</v>
      </c>
    </row>
    <row r="1189" spans="8:31" x14ac:dyDescent="0.2"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AC1189" t="e">
        <f ca="1">RANK(AB1189,OFFSET($AB$2,0,0,#REF!,1))</f>
        <v>#REF!</v>
      </c>
      <c r="AD1189" s="4" t="e">
        <f>InsurerSize(#REF!)</f>
        <v>#VALUE!</v>
      </c>
      <c r="AE1189" s="4" t="e">
        <f t="shared" si="30"/>
        <v>#VALUE!</v>
      </c>
    </row>
    <row r="1190" spans="8:31" x14ac:dyDescent="0.2"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AC1190" t="e">
        <f ca="1">RANK(AB1190,OFFSET($AB$2,0,0,#REF!,1))</f>
        <v>#REF!</v>
      </c>
      <c r="AD1190" s="4" t="e">
        <f>InsurerSize(#REF!)</f>
        <v>#VALUE!</v>
      </c>
      <c r="AE1190" s="4" t="e">
        <f t="shared" si="30"/>
        <v>#VALUE!</v>
      </c>
    </row>
    <row r="1191" spans="8:31" x14ac:dyDescent="0.2"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AC1191" t="e">
        <f ca="1">RANK(AB1191,OFFSET($AB$2,0,0,#REF!,1))</f>
        <v>#REF!</v>
      </c>
      <c r="AD1191" s="4" t="e">
        <f>InsurerSize(#REF!)</f>
        <v>#VALUE!</v>
      </c>
      <c r="AE1191" s="4" t="e">
        <f t="shared" si="30"/>
        <v>#VALUE!</v>
      </c>
    </row>
    <row r="1192" spans="8:31" x14ac:dyDescent="0.2"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AC1192" t="e">
        <f ca="1">RANK(AB1192,OFFSET($AB$2,0,0,#REF!,1))</f>
        <v>#REF!</v>
      </c>
      <c r="AD1192" s="4" t="e">
        <f>InsurerSize(#REF!)</f>
        <v>#VALUE!</v>
      </c>
      <c r="AE1192" s="4" t="e">
        <f t="shared" si="30"/>
        <v>#VALUE!</v>
      </c>
    </row>
    <row r="1193" spans="8:31" x14ac:dyDescent="0.2"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AC1193" t="e">
        <f ca="1">RANK(AB1193,OFFSET($AB$2,0,0,#REF!,1))</f>
        <v>#REF!</v>
      </c>
      <c r="AD1193" s="4" t="e">
        <f>InsurerSize(#REF!)</f>
        <v>#VALUE!</v>
      </c>
      <c r="AE1193" s="4" t="e">
        <f t="shared" si="30"/>
        <v>#VALUE!</v>
      </c>
    </row>
    <row r="1194" spans="8:31" x14ac:dyDescent="0.2"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AC1194" t="e">
        <f ca="1">RANK(AB1194,OFFSET($AB$2,0,0,#REF!,1))</f>
        <v>#REF!</v>
      </c>
      <c r="AD1194" s="4" t="e">
        <f>InsurerSize(#REF!)</f>
        <v>#VALUE!</v>
      </c>
      <c r="AE1194" s="4" t="e">
        <f t="shared" si="30"/>
        <v>#VALUE!</v>
      </c>
    </row>
    <row r="1195" spans="8:31" x14ac:dyDescent="0.2"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AC1195" t="e">
        <f ca="1">RANK(AB1195,OFFSET($AB$2,0,0,#REF!,1))</f>
        <v>#REF!</v>
      </c>
      <c r="AD1195" s="4" t="e">
        <f>InsurerSize(#REF!)</f>
        <v>#VALUE!</v>
      </c>
      <c r="AE1195" s="4" t="e">
        <f t="shared" si="30"/>
        <v>#VALUE!</v>
      </c>
    </row>
    <row r="1196" spans="8:31" x14ac:dyDescent="0.2"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AC1196" t="e">
        <f ca="1">RANK(AB1196,OFFSET($AB$2,0,0,#REF!,1))</f>
        <v>#REF!</v>
      </c>
      <c r="AD1196" s="4" t="e">
        <f>InsurerSize(#REF!)</f>
        <v>#VALUE!</v>
      </c>
      <c r="AE1196" s="4" t="e">
        <f t="shared" si="30"/>
        <v>#VALUE!</v>
      </c>
    </row>
    <row r="1197" spans="8:31" x14ac:dyDescent="0.2"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AC1197" t="e">
        <f ca="1">RANK(AB1197,OFFSET($AB$2,0,0,#REF!,1))</f>
        <v>#REF!</v>
      </c>
      <c r="AD1197" s="4" t="e">
        <f>InsurerSize(#REF!)</f>
        <v>#VALUE!</v>
      </c>
      <c r="AE1197" s="4" t="e">
        <f t="shared" si="30"/>
        <v>#VALUE!</v>
      </c>
    </row>
    <row r="1198" spans="8:31" x14ac:dyDescent="0.2"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AC1198" t="e">
        <f ca="1">RANK(AB1198,OFFSET($AB$2,0,0,#REF!,1))</f>
        <v>#REF!</v>
      </c>
      <c r="AD1198" s="4" t="e">
        <f>InsurerSize(#REF!)</f>
        <v>#VALUE!</v>
      </c>
      <c r="AE1198" s="4" t="e">
        <f t="shared" si="30"/>
        <v>#VALUE!</v>
      </c>
    </row>
    <row r="1199" spans="8:31" x14ac:dyDescent="0.2"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AC1199" t="e">
        <f ca="1">RANK(AB1199,OFFSET($AB$2,0,0,#REF!,1))</f>
        <v>#REF!</v>
      </c>
      <c r="AD1199" s="4" t="e">
        <f>InsurerSize(#REF!)</f>
        <v>#VALUE!</v>
      </c>
      <c r="AE1199" s="4" t="e">
        <f t="shared" si="30"/>
        <v>#VALUE!</v>
      </c>
    </row>
    <row r="1200" spans="8:31" x14ac:dyDescent="0.2"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AC1200" t="e">
        <f ca="1">RANK(AB1200,OFFSET($AB$2,0,0,#REF!,1))</f>
        <v>#REF!</v>
      </c>
      <c r="AD1200" s="4" t="e">
        <f>InsurerSize(#REF!)</f>
        <v>#VALUE!</v>
      </c>
      <c r="AE1200" s="4" t="e">
        <f t="shared" si="30"/>
        <v>#VALUE!</v>
      </c>
    </row>
    <row r="1201" spans="8:31" x14ac:dyDescent="0.2"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AC1201" t="e">
        <f ca="1">RANK(AB1201,OFFSET($AB$2,0,0,#REF!,1))</f>
        <v>#REF!</v>
      </c>
      <c r="AD1201" s="4" t="e">
        <f>InsurerSize(#REF!)</f>
        <v>#VALUE!</v>
      </c>
      <c r="AE1201" s="4" t="e">
        <f t="shared" si="30"/>
        <v>#VALUE!</v>
      </c>
    </row>
    <row r="1202" spans="8:31" x14ac:dyDescent="0.2"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AC1202" t="e">
        <f ca="1">RANK(AB1202,OFFSET($AB$2,0,0,#REF!,1))</f>
        <v>#REF!</v>
      </c>
      <c r="AD1202" s="4" t="e">
        <f>InsurerSize(#REF!)</f>
        <v>#VALUE!</v>
      </c>
      <c r="AE1202" s="4" t="e">
        <f t="shared" si="30"/>
        <v>#VALUE!</v>
      </c>
    </row>
    <row r="1203" spans="8:31" x14ac:dyDescent="0.2"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AC1203" t="e">
        <f ca="1">RANK(AB1203,OFFSET($AB$2,0,0,#REF!,1))</f>
        <v>#REF!</v>
      </c>
      <c r="AD1203" s="4" t="e">
        <f>InsurerSize(#REF!)</f>
        <v>#VALUE!</v>
      </c>
      <c r="AE1203" s="4" t="e">
        <f t="shared" si="30"/>
        <v>#VALUE!</v>
      </c>
    </row>
    <row r="1204" spans="8:31" x14ac:dyDescent="0.2"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AC1204" t="e">
        <f ca="1">RANK(AB1204,OFFSET($AB$2,0,0,#REF!,1))</f>
        <v>#REF!</v>
      </c>
      <c r="AD1204" s="4" t="e">
        <f>InsurerSize(#REF!)</f>
        <v>#VALUE!</v>
      </c>
      <c r="AE1204" s="4" t="e">
        <f t="shared" si="30"/>
        <v>#VALUE!</v>
      </c>
    </row>
    <row r="1205" spans="8:31" x14ac:dyDescent="0.2"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AC1205" t="e">
        <f ca="1">RANK(AB1205,OFFSET($AB$2,0,0,#REF!,1))</f>
        <v>#REF!</v>
      </c>
      <c r="AD1205" s="4" t="e">
        <f>InsurerSize(#REF!)</f>
        <v>#VALUE!</v>
      </c>
      <c r="AE1205" s="4" t="e">
        <f t="shared" si="30"/>
        <v>#VALUE!</v>
      </c>
    </row>
    <row r="1206" spans="8:31" x14ac:dyDescent="0.2"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AC1206" t="e">
        <f ca="1">RANK(AB1206,OFFSET($AB$2,0,0,#REF!,1))</f>
        <v>#REF!</v>
      </c>
      <c r="AD1206" s="4" t="e">
        <f>InsurerSize(#REF!)</f>
        <v>#VALUE!</v>
      </c>
      <c r="AE1206" s="4" t="e">
        <f t="shared" si="30"/>
        <v>#VALUE!</v>
      </c>
    </row>
    <row r="1207" spans="8:31" x14ac:dyDescent="0.2"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AC1207" t="e">
        <f ca="1">RANK(AB1207,OFFSET($AB$2,0,0,#REF!,1))</f>
        <v>#REF!</v>
      </c>
      <c r="AD1207" s="4" t="e">
        <f>InsurerSize(#REF!)</f>
        <v>#VALUE!</v>
      </c>
      <c r="AE1207" s="4" t="e">
        <f t="shared" si="30"/>
        <v>#VALUE!</v>
      </c>
    </row>
    <row r="1208" spans="8:31" x14ac:dyDescent="0.2"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AC1208" t="e">
        <f ca="1">RANK(AB1208,OFFSET($AB$2,0,0,#REF!,1))</f>
        <v>#REF!</v>
      </c>
      <c r="AD1208" s="4" t="e">
        <f>InsurerSize(#REF!)</f>
        <v>#VALUE!</v>
      </c>
      <c r="AE1208" s="4" t="e">
        <f t="shared" si="30"/>
        <v>#VALUE!</v>
      </c>
    </row>
    <row r="1209" spans="8:31" x14ac:dyDescent="0.2"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AC1209" t="e">
        <f ca="1">RANK(AB1209,OFFSET($AB$2,0,0,#REF!,1))</f>
        <v>#REF!</v>
      </c>
      <c r="AD1209" s="4" t="e">
        <f>InsurerSize(#REF!)</f>
        <v>#VALUE!</v>
      </c>
      <c r="AE1209" s="4" t="e">
        <f t="shared" si="30"/>
        <v>#VALUE!</v>
      </c>
    </row>
    <row r="1210" spans="8:31" x14ac:dyDescent="0.2"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AC1210" t="e">
        <f ca="1">RANK(AB1210,OFFSET($AB$2,0,0,#REF!,1))</f>
        <v>#REF!</v>
      </c>
      <c r="AD1210" s="4" t="e">
        <f>InsurerSize(#REF!)</f>
        <v>#VALUE!</v>
      </c>
      <c r="AE1210" s="4" t="e">
        <f t="shared" si="30"/>
        <v>#VALUE!</v>
      </c>
    </row>
    <row r="1211" spans="8:31" x14ac:dyDescent="0.2"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AC1211" t="e">
        <f ca="1">RANK(AB1211,OFFSET($AB$2,0,0,#REF!,1))</f>
        <v>#REF!</v>
      </c>
      <c r="AD1211" s="4" t="e">
        <f>InsurerSize(#REF!)</f>
        <v>#VALUE!</v>
      </c>
      <c r="AE1211" s="4" t="e">
        <f t="shared" si="30"/>
        <v>#VALUE!</v>
      </c>
    </row>
    <row r="1212" spans="8:31" x14ac:dyDescent="0.2"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AC1212" t="e">
        <f ca="1">RANK(AB1212,OFFSET($AB$2,0,0,#REF!,1))</f>
        <v>#REF!</v>
      </c>
      <c r="AD1212" s="4" t="e">
        <f>InsurerSize(#REF!)</f>
        <v>#VALUE!</v>
      </c>
      <c r="AE1212" s="4" t="e">
        <f t="shared" si="30"/>
        <v>#VALUE!</v>
      </c>
    </row>
    <row r="1213" spans="8:31" x14ac:dyDescent="0.2"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AC1213" t="e">
        <f ca="1">RANK(AB1213,OFFSET($AB$2,0,0,#REF!,1))</f>
        <v>#REF!</v>
      </c>
      <c r="AD1213" s="4" t="e">
        <f>InsurerSize(#REF!)</f>
        <v>#VALUE!</v>
      </c>
      <c r="AE1213" s="4" t="e">
        <f t="shared" si="30"/>
        <v>#VALUE!</v>
      </c>
    </row>
    <row r="1214" spans="8:31" x14ac:dyDescent="0.2"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AC1214" t="e">
        <f ca="1">RANK(AB1214,OFFSET($AB$2,0,0,#REF!,1))</f>
        <v>#REF!</v>
      </c>
      <c r="AD1214" s="4" t="e">
        <f>InsurerSize(#REF!)</f>
        <v>#VALUE!</v>
      </c>
      <c r="AE1214" s="4" t="e">
        <f t="shared" si="30"/>
        <v>#VALUE!</v>
      </c>
    </row>
    <row r="1215" spans="8:31" x14ac:dyDescent="0.2"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AC1215" t="e">
        <f ca="1">RANK(AB1215,OFFSET($AB$2,0,0,#REF!,1))</f>
        <v>#REF!</v>
      </c>
      <c r="AD1215" s="4" t="e">
        <f>InsurerSize(#REF!)</f>
        <v>#VALUE!</v>
      </c>
      <c r="AE1215" s="4" t="e">
        <f t="shared" si="30"/>
        <v>#VALUE!</v>
      </c>
    </row>
    <row r="1216" spans="8:31" x14ac:dyDescent="0.2"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AC1216" t="e">
        <f ca="1">RANK(AB1216,OFFSET($AB$2,0,0,#REF!,1))</f>
        <v>#REF!</v>
      </c>
      <c r="AD1216" s="4" t="e">
        <f>InsurerSize(#REF!)</f>
        <v>#VALUE!</v>
      </c>
      <c r="AE1216" s="4" t="e">
        <f t="shared" si="30"/>
        <v>#VALUE!</v>
      </c>
    </row>
    <row r="1217" spans="8:31" x14ac:dyDescent="0.2"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AC1217" t="e">
        <f ca="1">RANK(AB1217,OFFSET($AB$2,0,0,#REF!,1))</f>
        <v>#REF!</v>
      </c>
      <c r="AD1217" s="4" t="e">
        <f>InsurerSize(#REF!)</f>
        <v>#VALUE!</v>
      </c>
      <c r="AE1217" s="4" t="e">
        <f t="shared" si="30"/>
        <v>#VALUE!</v>
      </c>
    </row>
    <row r="1218" spans="8:31" x14ac:dyDescent="0.2"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AC1218" t="e">
        <f ca="1">RANK(AB1218,OFFSET($AB$2,0,0,#REF!,1))</f>
        <v>#REF!</v>
      </c>
      <c r="AD1218" s="4" t="e">
        <f>InsurerSize(#REF!)</f>
        <v>#VALUE!</v>
      </c>
      <c r="AE1218" s="4" t="e">
        <f t="shared" ref="AE1218:AE1281" si="31">A1218&amp;AD1218</f>
        <v>#VALUE!</v>
      </c>
    </row>
    <row r="1219" spans="8:31" x14ac:dyDescent="0.2"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AC1219" t="e">
        <f ca="1">RANK(AB1219,OFFSET($AB$2,0,0,#REF!,1))</f>
        <v>#REF!</v>
      </c>
      <c r="AD1219" s="4" t="e">
        <f>InsurerSize(#REF!)</f>
        <v>#VALUE!</v>
      </c>
      <c r="AE1219" s="4" t="e">
        <f t="shared" si="31"/>
        <v>#VALUE!</v>
      </c>
    </row>
    <row r="1220" spans="8:31" x14ac:dyDescent="0.2"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AC1220" t="e">
        <f ca="1">RANK(AB1220,OFFSET($AB$2,0,0,#REF!,1))</f>
        <v>#REF!</v>
      </c>
      <c r="AD1220" s="4" t="e">
        <f>InsurerSize(#REF!)</f>
        <v>#VALUE!</v>
      </c>
      <c r="AE1220" s="4" t="e">
        <f t="shared" si="31"/>
        <v>#VALUE!</v>
      </c>
    </row>
    <row r="1221" spans="8:31" x14ac:dyDescent="0.2"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AC1221" t="e">
        <f ca="1">RANK(AB1221,OFFSET($AB$2,0,0,#REF!,1))</f>
        <v>#REF!</v>
      </c>
      <c r="AD1221" s="4" t="e">
        <f>InsurerSize(#REF!)</f>
        <v>#VALUE!</v>
      </c>
      <c r="AE1221" s="4" t="e">
        <f t="shared" si="31"/>
        <v>#VALUE!</v>
      </c>
    </row>
    <row r="1222" spans="8:31" x14ac:dyDescent="0.2"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AC1222" t="e">
        <f ca="1">RANK(AB1222,OFFSET($AB$2,0,0,#REF!,1))</f>
        <v>#REF!</v>
      </c>
      <c r="AD1222" s="4" t="e">
        <f>InsurerSize(#REF!)</f>
        <v>#VALUE!</v>
      </c>
      <c r="AE1222" s="4" t="e">
        <f t="shared" si="31"/>
        <v>#VALUE!</v>
      </c>
    </row>
    <row r="1223" spans="8:31" x14ac:dyDescent="0.2"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AC1223" t="e">
        <f ca="1">RANK(AB1223,OFFSET($AB$2,0,0,#REF!,1))</f>
        <v>#REF!</v>
      </c>
      <c r="AD1223" s="4" t="e">
        <f>InsurerSize(#REF!)</f>
        <v>#VALUE!</v>
      </c>
      <c r="AE1223" s="4" t="e">
        <f t="shared" si="31"/>
        <v>#VALUE!</v>
      </c>
    </row>
    <row r="1224" spans="8:31" x14ac:dyDescent="0.2"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AC1224" t="e">
        <f ca="1">RANK(AB1224,OFFSET($AB$2,0,0,#REF!,1))</f>
        <v>#REF!</v>
      </c>
      <c r="AD1224" s="4" t="e">
        <f>InsurerSize(#REF!)</f>
        <v>#VALUE!</v>
      </c>
      <c r="AE1224" s="4" t="e">
        <f t="shared" si="31"/>
        <v>#VALUE!</v>
      </c>
    </row>
    <row r="1225" spans="8:31" x14ac:dyDescent="0.2"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AC1225" t="e">
        <f ca="1">RANK(AB1225,OFFSET($AB$2,0,0,#REF!,1))</f>
        <v>#REF!</v>
      </c>
      <c r="AD1225" s="4" t="e">
        <f>InsurerSize(#REF!)</f>
        <v>#VALUE!</v>
      </c>
      <c r="AE1225" s="4" t="e">
        <f t="shared" si="31"/>
        <v>#VALUE!</v>
      </c>
    </row>
    <row r="1226" spans="8:31" x14ac:dyDescent="0.2"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AC1226" t="e">
        <f ca="1">RANK(AB1226,OFFSET($AB$2,0,0,#REF!,1))</f>
        <v>#REF!</v>
      </c>
      <c r="AD1226" s="4" t="e">
        <f>InsurerSize(#REF!)</f>
        <v>#VALUE!</v>
      </c>
      <c r="AE1226" s="4" t="e">
        <f t="shared" si="31"/>
        <v>#VALUE!</v>
      </c>
    </row>
    <row r="1227" spans="8:31" x14ac:dyDescent="0.2"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AC1227" t="e">
        <f ca="1">RANK(AB1227,OFFSET($AB$2,0,0,#REF!,1))</f>
        <v>#REF!</v>
      </c>
      <c r="AD1227" s="4" t="e">
        <f>InsurerSize(#REF!)</f>
        <v>#VALUE!</v>
      </c>
      <c r="AE1227" s="4" t="e">
        <f t="shared" si="31"/>
        <v>#VALUE!</v>
      </c>
    </row>
    <row r="1228" spans="8:31" x14ac:dyDescent="0.2"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AC1228" t="e">
        <f ca="1">RANK(AB1228,OFFSET($AB$2,0,0,#REF!,1))</f>
        <v>#REF!</v>
      </c>
      <c r="AD1228" s="4" t="e">
        <f>InsurerSize(#REF!)</f>
        <v>#VALUE!</v>
      </c>
      <c r="AE1228" s="4" t="e">
        <f t="shared" si="31"/>
        <v>#VALUE!</v>
      </c>
    </row>
    <row r="1229" spans="8:31" x14ac:dyDescent="0.2"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AC1229" t="e">
        <f ca="1">RANK(AB1229,OFFSET($AB$2,0,0,#REF!,1))</f>
        <v>#REF!</v>
      </c>
      <c r="AD1229" s="4" t="e">
        <f>InsurerSize(#REF!)</f>
        <v>#VALUE!</v>
      </c>
      <c r="AE1229" s="4" t="e">
        <f t="shared" si="31"/>
        <v>#VALUE!</v>
      </c>
    </row>
    <row r="1230" spans="8:31" x14ac:dyDescent="0.2"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AC1230" t="e">
        <f ca="1">RANK(AB1230,OFFSET($AB$2,0,0,#REF!,1))</f>
        <v>#REF!</v>
      </c>
      <c r="AD1230" s="4" t="e">
        <f>InsurerSize(#REF!)</f>
        <v>#VALUE!</v>
      </c>
      <c r="AE1230" s="4" t="e">
        <f t="shared" si="31"/>
        <v>#VALUE!</v>
      </c>
    </row>
    <row r="1231" spans="8:31" x14ac:dyDescent="0.2"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AC1231" t="e">
        <f ca="1">RANK(AB1231,OFFSET($AB$2,0,0,#REF!,1))</f>
        <v>#REF!</v>
      </c>
      <c r="AD1231" s="4" t="e">
        <f>InsurerSize(#REF!)</f>
        <v>#VALUE!</v>
      </c>
      <c r="AE1231" s="4" t="e">
        <f t="shared" si="31"/>
        <v>#VALUE!</v>
      </c>
    </row>
    <row r="1232" spans="8:31" x14ac:dyDescent="0.2"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AC1232" t="e">
        <f ca="1">RANK(AB1232,OFFSET($AB$2,0,0,#REF!,1))</f>
        <v>#REF!</v>
      </c>
      <c r="AD1232" s="4" t="e">
        <f>InsurerSize(#REF!)</f>
        <v>#VALUE!</v>
      </c>
      <c r="AE1232" s="4" t="e">
        <f t="shared" si="31"/>
        <v>#VALUE!</v>
      </c>
    </row>
    <row r="1233" spans="8:31" x14ac:dyDescent="0.2"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AC1233" t="e">
        <f ca="1">RANK(AB1233,OFFSET($AB$2,0,0,#REF!,1))</f>
        <v>#REF!</v>
      </c>
      <c r="AD1233" s="4" t="e">
        <f>InsurerSize(#REF!)</f>
        <v>#VALUE!</v>
      </c>
      <c r="AE1233" s="4" t="e">
        <f t="shared" si="31"/>
        <v>#VALUE!</v>
      </c>
    </row>
    <row r="1234" spans="8:31" x14ac:dyDescent="0.2"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AC1234" t="e">
        <f ca="1">RANK(AB1234,OFFSET($AB$2,0,0,#REF!,1))</f>
        <v>#REF!</v>
      </c>
      <c r="AD1234" s="4" t="e">
        <f>InsurerSize(#REF!)</f>
        <v>#VALUE!</v>
      </c>
      <c r="AE1234" s="4" t="e">
        <f t="shared" si="31"/>
        <v>#VALUE!</v>
      </c>
    </row>
    <row r="1235" spans="8:31" x14ac:dyDescent="0.2"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AC1235" t="e">
        <f ca="1">RANK(AB1235,OFFSET($AB$2,0,0,#REF!,1))</f>
        <v>#REF!</v>
      </c>
      <c r="AD1235" s="4" t="e">
        <f>InsurerSize(#REF!)</f>
        <v>#VALUE!</v>
      </c>
      <c r="AE1235" s="4" t="e">
        <f t="shared" si="31"/>
        <v>#VALUE!</v>
      </c>
    </row>
    <row r="1236" spans="8:31" x14ac:dyDescent="0.2"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AC1236" t="e">
        <f ca="1">RANK(AB1236,OFFSET($AB$2,0,0,#REF!,1))</f>
        <v>#REF!</v>
      </c>
      <c r="AD1236" s="4" t="e">
        <f>InsurerSize(#REF!)</f>
        <v>#VALUE!</v>
      </c>
      <c r="AE1236" s="4" t="e">
        <f t="shared" si="31"/>
        <v>#VALUE!</v>
      </c>
    </row>
    <row r="1237" spans="8:31" x14ac:dyDescent="0.2"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AC1237" t="e">
        <f ca="1">RANK(AB1237,OFFSET($AB$2,0,0,#REF!,1))</f>
        <v>#REF!</v>
      </c>
      <c r="AD1237" s="4" t="e">
        <f>InsurerSize(#REF!)</f>
        <v>#VALUE!</v>
      </c>
      <c r="AE1237" s="4" t="e">
        <f t="shared" si="31"/>
        <v>#VALUE!</v>
      </c>
    </row>
    <row r="1238" spans="8:31" x14ac:dyDescent="0.2"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AC1238" t="e">
        <f ca="1">RANK(AB1238,OFFSET($AB$2,0,0,#REF!,1))</f>
        <v>#REF!</v>
      </c>
      <c r="AD1238" s="4" t="e">
        <f>InsurerSize(#REF!)</f>
        <v>#VALUE!</v>
      </c>
      <c r="AE1238" s="4" t="e">
        <f t="shared" si="31"/>
        <v>#VALUE!</v>
      </c>
    </row>
    <row r="1239" spans="8:31" x14ac:dyDescent="0.2"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AC1239" t="e">
        <f ca="1">RANK(AB1239,OFFSET($AB$2,0,0,#REF!,1))</f>
        <v>#REF!</v>
      </c>
      <c r="AD1239" s="4" t="e">
        <f>InsurerSize(#REF!)</f>
        <v>#VALUE!</v>
      </c>
      <c r="AE1239" s="4" t="e">
        <f t="shared" si="31"/>
        <v>#VALUE!</v>
      </c>
    </row>
    <row r="1240" spans="8:31" x14ac:dyDescent="0.2"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AC1240" t="e">
        <f ca="1">RANK(AB1240,OFFSET($AB$2,0,0,#REF!,1))</f>
        <v>#REF!</v>
      </c>
      <c r="AD1240" s="4" t="e">
        <f>InsurerSize(#REF!)</f>
        <v>#VALUE!</v>
      </c>
      <c r="AE1240" s="4" t="e">
        <f t="shared" si="31"/>
        <v>#VALUE!</v>
      </c>
    </row>
    <row r="1241" spans="8:31" x14ac:dyDescent="0.2"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AC1241" t="e">
        <f ca="1">RANK(AB1241,OFFSET($AB$2,0,0,#REF!,1))</f>
        <v>#REF!</v>
      </c>
      <c r="AD1241" s="4" t="e">
        <f>InsurerSize(#REF!)</f>
        <v>#VALUE!</v>
      </c>
      <c r="AE1241" s="4" t="e">
        <f t="shared" si="31"/>
        <v>#VALUE!</v>
      </c>
    </row>
    <row r="1242" spans="8:31" x14ac:dyDescent="0.2"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AC1242" t="e">
        <f ca="1">RANK(AB1242,OFFSET($AB$2,0,0,#REF!,1))</f>
        <v>#REF!</v>
      </c>
      <c r="AD1242" s="4" t="e">
        <f>InsurerSize(#REF!)</f>
        <v>#VALUE!</v>
      </c>
      <c r="AE1242" s="4" t="e">
        <f t="shared" si="31"/>
        <v>#VALUE!</v>
      </c>
    </row>
    <row r="1243" spans="8:31" x14ac:dyDescent="0.2"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AC1243" t="e">
        <f ca="1">RANK(AB1243,OFFSET($AB$2,0,0,#REF!,1))</f>
        <v>#REF!</v>
      </c>
      <c r="AD1243" s="4" t="e">
        <f>InsurerSize(#REF!)</f>
        <v>#VALUE!</v>
      </c>
      <c r="AE1243" s="4" t="e">
        <f t="shared" si="31"/>
        <v>#VALUE!</v>
      </c>
    </row>
    <row r="1244" spans="8:31" x14ac:dyDescent="0.2"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AC1244" t="e">
        <f ca="1">RANK(AB1244,OFFSET($AB$2,0,0,#REF!,1))</f>
        <v>#REF!</v>
      </c>
      <c r="AD1244" s="4" t="e">
        <f>InsurerSize(#REF!)</f>
        <v>#VALUE!</v>
      </c>
      <c r="AE1244" s="4" t="e">
        <f t="shared" si="31"/>
        <v>#VALUE!</v>
      </c>
    </row>
    <row r="1245" spans="8:31" x14ac:dyDescent="0.2"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AC1245" t="e">
        <f ca="1">RANK(AB1245,OFFSET($AB$2,0,0,#REF!,1))</f>
        <v>#REF!</v>
      </c>
      <c r="AD1245" s="4" t="e">
        <f>InsurerSize(#REF!)</f>
        <v>#VALUE!</v>
      </c>
      <c r="AE1245" s="4" t="e">
        <f t="shared" si="31"/>
        <v>#VALUE!</v>
      </c>
    </row>
    <row r="1246" spans="8:31" x14ac:dyDescent="0.2"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AC1246" t="e">
        <f ca="1">RANK(AB1246,OFFSET($AB$2,0,0,#REF!,1))</f>
        <v>#REF!</v>
      </c>
      <c r="AD1246" s="4" t="e">
        <f>InsurerSize(#REF!)</f>
        <v>#VALUE!</v>
      </c>
      <c r="AE1246" s="4" t="e">
        <f t="shared" si="31"/>
        <v>#VALUE!</v>
      </c>
    </row>
    <row r="1247" spans="8:31" x14ac:dyDescent="0.2"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AC1247" t="e">
        <f ca="1">RANK(AB1247,OFFSET($AB$2,0,0,#REF!,1))</f>
        <v>#REF!</v>
      </c>
      <c r="AD1247" s="4" t="e">
        <f>InsurerSize(#REF!)</f>
        <v>#VALUE!</v>
      </c>
      <c r="AE1247" s="4" t="e">
        <f t="shared" si="31"/>
        <v>#VALUE!</v>
      </c>
    </row>
    <row r="1248" spans="8:31" x14ac:dyDescent="0.2"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AC1248" t="e">
        <f ca="1">RANK(AB1248,OFFSET($AB$2,0,0,#REF!,1))</f>
        <v>#REF!</v>
      </c>
      <c r="AD1248" s="4" t="e">
        <f>InsurerSize(#REF!)</f>
        <v>#VALUE!</v>
      </c>
      <c r="AE1248" s="4" t="e">
        <f t="shared" si="31"/>
        <v>#VALUE!</v>
      </c>
    </row>
    <row r="1249" spans="8:31" x14ac:dyDescent="0.2"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AC1249" t="e">
        <f ca="1">RANK(AB1249,OFFSET($AB$2,0,0,#REF!,1))</f>
        <v>#REF!</v>
      </c>
      <c r="AD1249" s="4" t="e">
        <f>InsurerSize(#REF!)</f>
        <v>#VALUE!</v>
      </c>
      <c r="AE1249" s="4" t="e">
        <f t="shared" si="31"/>
        <v>#VALUE!</v>
      </c>
    </row>
    <row r="1250" spans="8:31" x14ac:dyDescent="0.2"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AC1250" t="e">
        <f ca="1">RANK(AB1250,OFFSET($AB$2,0,0,#REF!,1))</f>
        <v>#REF!</v>
      </c>
      <c r="AD1250" s="4" t="e">
        <f>InsurerSize(#REF!)</f>
        <v>#VALUE!</v>
      </c>
      <c r="AE1250" s="4" t="e">
        <f t="shared" si="31"/>
        <v>#VALUE!</v>
      </c>
    </row>
    <row r="1251" spans="8:31" x14ac:dyDescent="0.2"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AC1251" t="e">
        <f ca="1">RANK(AB1251,OFFSET($AB$2,0,0,#REF!,1))</f>
        <v>#REF!</v>
      </c>
      <c r="AD1251" s="4" t="e">
        <f>InsurerSize(#REF!)</f>
        <v>#VALUE!</v>
      </c>
      <c r="AE1251" s="4" t="e">
        <f t="shared" si="31"/>
        <v>#VALUE!</v>
      </c>
    </row>
    <row r="1252" spans="8:31" x14ac:dyDescent="0.2"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AC1252" t="e">
        <f ca="1">RANK(AB1252,OFFSET($AB$2,0,0,#REF!,1))</f>
        <v>#REF!</v>
      </c>
      <c r="AD1252" s="4" t="e">
        <f>InsurerSize(#REF!)</f>
        <v>#VALUE!</v>
      </c>
      <c r="AE1252" s="4" t="e">
        <f t="shared" si="31"/>
        <v>#VALUE!</v>
      </c>
    </row>
    <row r="1253" spans="8:31" x14ac:dyDescent="0.2"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AC1253" t="e">
        <f ca="1">RANK(AB1253,OFFSET($AB$2,0,0,#REF!,1))</f>
        <v>#REF!</v>
      </c>
      <c r="AD1253" s="4" t="e">
        <f>InsurerSize(#REF!)</f>
        <v>#VALUE!</v>
      </c>
      <c r="AE1253" s="4" t="e">
        <f t="shared" si="31"/>
        <v>#VALUE!</v>
      </c>
    </row>
    <row r="1254" spans="8:31" x14ac:dyDescent="0.2"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AC1254" t="e">
        <f ca="1">RANK(AB1254,OFFSET($AB$2,0,0,#REF!,1))</f>
        <v>#REF!</v>
      </c>
      <c r="AD1254" s="4" t="e">
        <f>InsurerSize(#REF!)</f>
        <v>#VALUE!</v>
      </c>
      <c r="AE1254" s="4" t="e">
        <f t="shared" si="31"/>
        <v>#VALUE!</v>
      </c>
    </row>
    <row r="1255" spans="8:31" x14ac:dyDescent="0.2"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AC1255" t="e">
        <f ca="1">RANK(AB1255,OFFSET($AB$2,0,0,#REF!,1))</f>
        <v>#REF!</v>
      </c>
      <c r="AD1255" s="4" t="e">
        <f>InsurerSize(#REF!)</f>
        <v>#VALUE!</v>
      </c>
      <c r="AE1255" s="4" t="e">
        <f t="shared" si="31"/>
        <v>#VALUE!</v>
      </c>
    </row>
    <row r="1256" spans="8:31" x14ac:dyDescent="0.2"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AC1256" t="e">
        <f ca="1">RANK(AB1256,OFFSET($AB$2,0,0,#REF!,1))</f>
        <v>#REF!</v>
      </c>
      <c r="AD1256" s="4" t="e">
        <f>InsurerSize(#REF!)</f>
        <v>#VALUE!</v>
      </c>
      <c r="AE1256" s="4" t="e">
        <f t="shared" si="31"/>
        <v>#VALUE!</v>
      </c>
    </row>
    <row r="1257" spans="8:31" x14ac:dyDescent="0.2"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AC1257" t="e">
        <f ca="1">RANK(AB1257,OFFSET($AB$2,0,0,#REF!,1))</f>
        <v>#REF!</v>
      </c>
      <c r="AD1257" s="4" t="e">
        <f>InsurerSize(#REF!)</f>
        <v>#VALUE!</v>
      </c>
      <c r="AE1257" s="4" t="e">
        <f t="shared" si="31"/>
        <v>#VALUE!</v>
      </c>
    </row>
    <row r="1258" spans="8:31" x14ac:dyDescent="0.2"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AC1258" t="e">
        <f ca="1">RANK(AB1258,OFFSET($AB$2,0,0,#REF!,1))</f>
        <v>#REF!</v>
      </c>
      <c r="AD1258" s="4" t="e">
        <f>InsurerSize(#REF!)</f>
        <v>#VALUE!</v>
      </c>
      <c r="AE1258" s="4" t="e">
        <f t="shared" si="31"/>
        <v>#VALUE!</v>
      </c>
    </row>
    <row r="1259" spans="8:31" x14ac:dyDescent="0.2"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AC1259" t="e">
        <f ca="1">RANK(AB1259,OFFSET($AB$2,0,0,#REF!,1))</f>
        <v>#REF!</v>
      </c>
      <c r="AD1259" s="4" t="e">
        <f>InsurerSize(#REF!)</f>
        <v>#VALUE!</v>
      </c>
      <c r="AE1259" s="4" t="e">
        <f t="shared" si="31"/>
        <v>#VALUE!</v>
      </c>
    </row>
    <row r="1260" spans="8:31" x14ac:dyDescent="0.2"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AC1260" t="e">
        <f ca="1">RANK(AB1260,OFFSET($AB$2,0,0,#REF!,1))</f>
        <v>#REF!</v>
      </c>
      <c r="AD1260" s="4" t="e">
        <f>InsurerSize(#REF!)</f>
        <v>#VALUE!</v>
      </c>
      <c r="AE1260" s="4" t="e">
        <f t="shared" si="31"/>
        <v>#VALUE!</v>
      </c>
    </row>
    <row r="1261" spans="8:31" x14ac:dyDescent="0.2"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AC1261" t="e">
        <f ca="1">RANK(AB1261,OFFSET($AB$2,0,0,#REF!,1))</f>
        <v>#REF!</v>
      </c>
      <c r="AD1261" s="4" t="e">
        <f>InsurerSize(#REF!)</f>
        <v>#VALUE!</v>
      </c>
      <c r="AE1261" s="4" t="e">
        <f t="shared" si="31"/>
        <v>#VALUE!</v>
      </c>
    </row>
    <row r="1262" spans="8:31" x14ac:dyDescent="0.2"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AC1262" t="e">
        <f ca="1">RANK(AB1262,OFFSET($AB$2,0,0,#REF!,1))</f>
        <v>#REF!</v>
      </c>
      <c r="AD1262" s="4" t="e">
        <f>InsurerSize(#REF!)</f>
        <v>#VALUE!</v>
      </c>
      <c r="AE1262" s="4" t="e">
        <f t="shared" si="31"/>
        <v>#VALUE!</v>
      </c>
    </row>
    <row r="1263" spans="8:31" x14ac:dyDescent="0.2"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AC1263" t="e">
        <f ca="1">RANK(AB1263,OFFSET($AB$2,0,0,#REF!,1))</f>
        <v>#REF!</v>
      </c>
      <c r="AD1263" s="4" t="e">
        <f>InsurerSize(#REF!)</f>
        <v>#VALUE!</v>
      </c>
      <c r="AE1263" s="4" t="e">
        <f t="shared" si="31"/>
        <v>#VALUE!</v>
      </c>
    </row>
    <row r="1264" spans="8:31" x14ac:dyDescent="0.2"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AC1264" t="e">
        <f ca="1">RANK(AB1264,OFFSET($AB$2,0,0,#REF!,1))</f>
        <v>#REF!</v>
      </c>
      <c r="AD1264" s="4" t="e">
        <f>InsurerSize(#REF!)</f>
        <v>#VALUE!</v>
      </c>
      <c r="AE1264" s="4" t="e">
        <f t="shared" si="31"/>
        <v>#VALUE!</v>
      </c>
    </row>
    <row r="1265" spans="8:31" x14ac:dyDescent="0.2"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AC1265" t="e">
        <f ca="1">RANK(AB1265,OFFSET($AB$2,0,0,#REF!,1))</f>
        <v>#REF!</v>
      </c>
      <c r="AD1265" s="4" t="e">
        <f>InsurerSize(#REF!)</f>
        <v>#VALUE!</v>
      </c>
      <c r="AE1265" s="4" t="e">
        <f t="shared" si="31"/>
        <v>#VALUE!</v>
      </c>
    </row>
    <row r="1266" spans="8:31" x14ac:dyDescent="0.2"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AC1266" t="e">
        <f ca="1">RANK(AB1266,OFFSET($AB$2,0,0,#REF!,1))</f>
        <v>#REF!</v>
      </c>
      <c r="AD1266" s="4" t="e">
        <f>InsurerSize(#REF!)</f>
        <v>#VALUE!</v>
      </c>
      <c r="AE1266" s="4" t="e">
        <f t="shared" si="31"/>
        <v>#VALUE!</v>
      </c>
    </row>
    <row r="1267" spans="8:31" x14ac:dyDescent="0.2"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AC1267" t="e">
        <f ca="1">RANK(AB1267,OFFSET($AB$2,0,0,#REF!,1))</f>
        <v>#REF!</v>
      </c>
      <c r="AD1267" s="4" t="e">
        <f>InsurerSize(#REF!)</f>
        <v>#VALUE!</v>
      </c>
      <c r="AE1267" s="4" t="e">
        <f t="shared" si="31"/>
        <v>#VALUE!</v>
      </c>
    </row>
    <row r="1268" spans="8:31" x14ac:dyDescent="0.2"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AC1268" t="e">
        <f ca="1">RANK(AB1268,OFFSET($AB$2,0,0,#REF!,1))</f>
        <v>#REF!</v>
      </c>
      <c r="AD1268" s="4" t="e">
        <f>InsurerSize(#REF!)</f>
        <v>#VALUE!</v>
      </c>
      <c r="AE1268" s="4" t="e">
        <f t="shared" si="31"/>
        <v>#VALUE!</v>
      </c>
    </row>
    <row r="1269" spans="8:31" x14ac:dyDescent="0.2"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AC1269" t="e">
        <f ca="1">RANK(AB1269,OFFSET($AB$2,0,0,#REF!,1))</f>
        <v>#REF!</v>
      </c>
      <c r="AD1269" s="4" t="e">
        <f>InsurerSize(#REF!)</f>
        <v>#VALUE!</v>
      </c>
      <c r="AE1269" s="4" t="e">
        <f t="shared" si="31"/>
        <v>#VALUE!</v>
      </c>
    </row>
    <row r="1270" spans="8:31" x14ac:dyDescent="0.2"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AC1270" t="e">
        <f ca="1">RANK(AB1270,OFFSET($AB$2,0,0,#REF!,1))</f>
        <v>#REF!</v>
      </c>
      <c r="AD1270" s="4" t="e">
        <f>InsurerSize(#REF!)</f>
        <v>#VALUE!</v>
      </c>
      <c r="AE1270" s="4" t="e">
        <f t="shared" si="31"/>
        <v>#VALUE!</v>
      </c>
    </row>
    <row r="1271" spans="8:31" x14ac:dyDescent="0.2"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AC1271" t="e">
        <f ca="1">RANK(AB1271,OFFSET($AB$2,0,0,#REF!,1))</f>
        <v>#REF!</v>
      </c>
      <c r="AD1271" s="4" t="e">
        <f>InsurerSize(#REF!)</f>
        <v>#VALUE!</v>
      </c>
      <c r="AE1271" s="4" t="e">
        <f t="shared" si="31"/>
        <v>#VALUE!</v>
      </c>
    </row>
    <row r="1272" spans="8:31" x14ac:dyDescent="0.2"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AC1272" t="e">
        <f ca="1">RANK(AB1272,OFFSET($AB$2,0,0,#REF!,1))</f>
        <v>#REF!</v>
      </c>
      <c r="AD1272" s="4" t="e">
        <f>InsurerSize(#REF!)</f>
        <v>#VALUE!</v>
      </c>
      <c r="AE1272" s="4" t="e">
        <f t="shared" si="31"/>
        <v>#VALUE!</v>
      </c>
    </row>
    <row r="1273" spans="8:31" x14ac:dyDescent="0.2"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AC1273" t="e">
        <f ca="1">RANK(AB1273,OFFSET($AB$2,0,0,#REF!,1))</f>
        <v>#REF!</v>
      </c>
      <c r="AD1273" s="4" t="e">
        <f>InsurerSize(#REF!)</f>
        <v>#VALUE!</v>
      </c>
      <c r="AE1273" s="4" t="e">
        <f t="shared" si="31"/>
        <v>#VALUE!</v>
      </c>
    </row>
    <row r="1274" spans="8:31" x14ac:dyDescent="0.2"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AC1274" t="e">
        <f ca="1">RANK(AB1274,OFFSET($AB$2,0,0,#REF!,1))</f>
        <v>#REF!</v>
      </c>
      <c r="AD1274" s="4" t="e">
        <f>InsurerSize(#REF!)</f>
        <v>#VALUE!</v>
      </c>
      <c r="AE1274" s="4" t="e">
        <f t="shared" si="31"/>
        <v>#VALUE!</v>
      </c>
    </row>
    <row r="1275" spans="8:31" x14ac:dyDescent="0.2"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AC1275" t="e">
        <f ca="1">RANK(AB1275,OFFSET($AB$2,0,0,#REF!,1))</f>
        <v>#REF!</v>
      </c>
      <c r="AD1275" s="4" t="e">
        <f>InsurerSize(#REF!)</f>
        <v>#VALUE!</v>
      </c>
      <c r="AE1275" s="4" t="e">
        <f t="shared" si="31"/>
        <v>#VALUE!</v>
      </c>
    </row>
    <row r="1276" spans="8:31" x14ac:dyDescent="0.2"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AC1276" t="e">
        <f ca="1">RANK(AB1276,OFFSET($AB$2,0,0,#REF!,1))</f>
        <v>#REF!</v>
      </c>
      <c r="AD1276" s="4" t="e">
        <f>InsurerSize(#REF!)</f>
        <v>#VALUE!</v>
      </c>
      <c r="AE1276" s="4" t="e">
        <f t="shared" si="31"/>
        <v>#VALUE!</v>
      </c>
    </row>
    <row r="1277" spans="8:31" x14ac:dyDescent="0.2"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AC1277" t="e">
        <f ca="1">RANK(AB1277,OFFSET($AB$2,0,0,#REF!,1))</f>
        <v>#REF!</v>
      </c>
      <c r="AD1277" s="4" t="e">
        <f>InsurerSize(#REF!)</f>
        <v>#VALUE!</v>
      </c>
      <c r="AE1277" s="4" t="e">
        <f t="shared" si="31"/>
        <v>#VALUE!</v>
      </c>
    </row>
    <row r="1278" spans="8:31" x14ac:dyDescent="0.2"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AC1278" t="e">
        <f ca="1">RANK(AB1278,OFFSET($AB$2,0,0,#REF!,1))</f>
        <v>#REF!</v>
      </c>
      <c r="AD1278" s="4" t="e">
        <f>InsurerSize(#REF!)</f>
        <v>#VALUE!</v>
      </c>
      <c r="AE1278" s="4" t="e">
        <f t="shared" si="31"/>
        <v>#VALUE!</v>
      </c>
    </row>
    <row r="1279" spans="8:31" x14ac:dyDescent="0.2"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AC1279" t="e">
        <f ca="1">RANK(AB1279,OFFSET($AB$2,0,0,#REF!,1))</f>
        <v>#REF!</v>
      </c>
      <c r="AD1279" s="4" t="e">
        <f>InsurerSize(#REF!)</f>
        <v>#VALUE!</v>
      </c>
      <c r="AE1279" s="4" t="e">
        <f t="shared" si="31"/>
        <v>#VALUE!</v>
      </c>
    </row>
    <row r="1280" spans="8:31" x14ac:dyDescent="0.2"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AC1280" t="e">
        <f ca="1">RANK(AB1280,OFFSET($AB$2,0,0,#REF!,1))</f>
        <v>#REF!</v>
      </c>
      <c r="AD1280" s="4" t="e">
        <f>InsurerSize(#REF!)</f>
        <v>#VALUE!</v>
      </c>
      <c r="AE1280" s="4" t="e">
        <f t="shared" si="31"/>
        <v>#VALUE!</v>
      </c>
    </row>
    <row r="1281" spans="8:31" x14ac:dyDescent="0.2"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AC1281" t="e">
        <f ca="1">RANK(AB1281,OFFSET($AB$2,0,0,#REF!,1))</f>
        <v>#REF!</v>
      </c>
      <c r="AD1281" s="4" t="e">
        <f>InsurerSize(#REF!)</f>
        <v>#VALUE!</v>
      </c>
      <c r="AE1281" s="4" t="e">
        <f t="shared" si="31"/>
        <v>#VALUE!</v>
      </c>
    </row>
    <row r="1282" spans="8:31" x14ac:dyDescent="0.2"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AC1282" t="e">
        <f ca="1">RANK(AB1282,OFFSET($AB$2,0,0,#REF!,1))</f>
        <v>#REF!</v>
      </c>
      <c r="AD1282" s="4" t="e">
        <f>InsurerSize(#REF!)</f>
        <v>#VALUE!</v>
      </c>
      <c r="AE1282" s="4" t="e">
        <f t="shared" ref="AE1282:AE1345" si="32">A1282&amp;AD1282</f>
        <v>#VALUE!</v>
      </c>
    </row>
    <row r="1283" spans="8:31" x14ac:dyDescent="0.2"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AC1283" t="e">
        <f ca="1">RANK(AB1283,OFFSET($AB$2,0,0,#REF!,1))</f>
        <v>#REF!</v>
      </c>
      <c r="AD1283" s="4" t="e">
        <f>InsurerSize(#REF!)</f>
        <v>#VALUE!</v>
      </c>
      <c r="AE1283" s="4" t="e">
        <f t="shared" si="32"/>
        <v>#VALUE!</v>
      </c>
    </row>
    <row r="1284" spans="8:31" x14ac:dyDescent="0.2"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AC1284" t="e">
        <f ca="1">RANK(AB1284,OFFSET($AB$2,0,0,#REF!,1))</f>
        <v>#REF!</v>
      </c>
      <c r="AD1284" s="4" t="e">
        <f>InsurerSize(#REF!)</f>
        <v>#VALUE!</v>
      </c>
      <c r="AE1284" s="4" t="e">
        <f t="shared" si="32"/>
        <v>#VALUE!</v>
      </c>
    </row>
    <row r="1285" spans="8:31" x14ac:dyDescent="0.2"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AC1285" t="e">
        <f ca="1">RANK(AB1285,OFFSET($AB$2,0,0,#REF!,1))</f>
        <v>#REF!</v>
      </c>
      <c r="AD1285" s="4" t="e">
        <f>InsurerSize(#REF!)</f>
        <v>#VALUE!</v>
      </c>
      <c r="AE1285" s="4" t="e">
        <f t="shared" si="32"/>
        <v>#VALUE!</v>
      </c>
    </row>
    <row r="1286" spans="8:31" x14ac:dyDescent="0.2"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AC1286" t="e">
        <f ca="1">RANK(AB1286,OFFSET($AB$2,0,0,#REF!,1))</f>
        <v>#REF!</v>
      </c>
      <c r="AD1286" s="4" t="e">
        <f>InsurerSize(#REF!)</f>
        <v>#VALUE!</v>
      </c>
      <c r="AE1286" s="4" t="e">
        <f t="shared" si="32"/>
        <v>#VALUE!</v>
      </c>
    </row>
    <row r="1287" spans="8:31" x14ac:dyDescent="0.2"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AC1287" t="e">
        <f ca="1">RANK(AB1287,OFFSET($AB$2,0,0,#REF!,1))</f>
        <v>#REF!</v>
      </c>
      <c r="AD1287" s="4" t="e">
        <f>InsurerSize(#REF!)</f>
        <v>#VALUE!</v>
      </c>
      <c r="AE1287" s="4" t="e">
        <f t="shared" si="32"/>
        <v>#VALUE!</v>
      </c>
    </row>
    <row r="1288" spans="8:31" x14ac:dyDescent="0.2"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AC1288" t="e">
        <f ca="1">RANK(AB1288,OFFSET($AB$2,0,0,#REF!,1))</f>
        <v>#REF!</v>
      </c>
      <c r="AD1288" s="4" t="e">
        <f>InsurerSize(#REF!)</f>
        <v>#VALUE!</v>
      </c>
      <c r="AE1288" s="4" t="e">
        <f t="shared" si="32"/>
        <v>#VALUE!</v>
      </c>
    </row>
    <row r="1289" spans="8:31" x14ac:dyDescent="0.2"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AC1289" t="e">
        <f ca="1">RANK(AB1289,OFFSET($AB$2,0,0,#REF!,1))</f>
        <v>#REF!</v>
      </c>
      <c r="AD1289" s="4" t="e">
        <f>InsurerSize(#REF!)</f>
        <v>#VALUE!</v>
      </c>
      <c r="AE1289" s="4" t="e">
        <f t="shared" si="32"/>
        <v>#VALUE!</v>
      </c>
    </row>
    <row r="1290" spans="8:31" x14ac:dyDescent="0.2"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AC1290" t="e">
        <f ca="1">RANK(AB1290,OFFSET($AB$2,0,0,#REF!,1))</f>
        <v>#REF!</v>
      </c>
      <c r="AD1290" s="4" t="e">
        <f>InsurerSize(#REF!)</f>
        <v>#VALUE!</v>
      </c>
      <c r="AE1290" s="4" t="e">
        <f t="shared" si="32"/>
        <v>#VALUE!</v>
      </c>
    </row>
    <row r="1291" spans="8:31" x14ac:dyDescent="0.2"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AC1291" t="e">
        <f ca="1">RANK(AB1291,OFFSET($AB$2,0,0,#REF!,1))</f>
        <v>#REF!</v>
      </c>
      <c r="AD1291" s="4" t="e">
        <f>InsurerSize(#REF!)</f>
        <v>#VALUE!</v>
      </c>
      <c r="AE1291" s="4" t="e">
        <f t="shared" si="32"/>
        <v>#VALUE!</v>
      </c>
    </row>
    <row r="1292" spans="8:31" x14ac:dyDescent="0.2"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AC1292" t="e">
        <f ca="1">RANK(AB1292,OFFSET($AB$2,0,0,#REF!,1))</f>
        <v>#REF!</v>
      </c>
      <c r="AD1292" s="4" t="e">
        <f>InsurerSize(#REF!)</f>
        <v>#VALUE!</v>
      </c>
      <c r="AE1292" s="4" t="e">
        <f t="shared" si="32"/>
        <v>#VALUE!</v>
      </c>
    </row>
    <row r="1293" spans="8:31" x14ac:dyDescent="0.2"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AC1293" t="e">
        <f ca="1">RANK(AB1293,OFFSET($AB$2,0,0,#REF!,1))</f>
        <v>#REF!</v>
      </c>
      <c r="AD1293" s="4" t="e">
        <f>InsurerSize(#REF!)</f>
        <v>#VALUE!</v>
      </c>
      <c r="AE1293" s="4" t="e">
        <f t="shared" si="32"/>
        <v>#VALUE!</v>
      </c>
    </row>
    <row r="1294" spans="8:31" x14ac:dyDescent="0.2"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AC1294" t="e">
        <f ca="1">RANK(AB1294,OFFSET($AB$2,0,0,#REF!,1))</f>
        <v>#REF!</v>
      </c>
      <c r="AD1294" s="4" t="e">
        <f>InsurerSize(#REF!)</f>
        <v>#VALUE!</v>
      </c>
      <c r="AE1294" s="4" t="e">
        <f t="shared" si="32"/>
        <v>#VALUE!</v>
      </c>
    </row>
    <row r="1295" spans="8:31" x14ac:dyDescent="0.2"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AC1295" t="e">
        <f ca="1">RANK(AB1295,OFFSET($AB$2,0,0,#REF!,1))</f>
        <v>#REF!</v>
      </c>
      <c r="AD1295" s="4" t="e">
        <f>InsurerSize(#REF!)</f>
        <v>#VALUE!</v>
      </c>
      <c r="AE1295" s="4" t="e">
        <f t="shared" si="32"/>
        <v>#VALUE!</v>
      </c>
    </row>
    <row r="1296" spans="8:31" x14ac:dyDescent="0.2"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AC1296" t="e">
        <f ca="1">RANK(AB1296,OFFSET($AB$2,0,0,#REF!,1))</f>
        <v>#REF!</v>
      </c>
      <c r="AD1296" s="4" t="e">
        <f>InsurerSize(#REF!)</f>
        <v>#VALUE!</v>
      </c>
      <c r="AE1296" s="4" t="e">
        <f t="shared" si="32"/>
        <v>#VALUE!</v>
      </c>
    </row>
    <row r="1297" spans="8:31" x14ac:dyDescent="0.2"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AC1297" t="e">
        <f ca="1">RANK(AB1297,OFFSET($AB$2,0,0,#REF!,1))</f>
        <v>#REF!</v>
      </c>
      <c r="AD1297" s="4" t="e">
        <f>InsurerSize(#REF!)</f>
        <v>#VALUE!</v>
      </c>
      <c r="AE1297" s="4" t="e">
        <f t="shared" si="32"/>
        <v>#VALUE!</v>
      </c>
    </row>
    <row r="1298" spans="8:31" x14ac:dyDescent="0.2"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AC1298" t="e">
        <f ca="1">RANK(AB1298,OFFSET($AB$2,0,0,#REF!,1))</f>
        <v>#REF!</v>
      </c>
      <c r="AD1298" s="4" t="e">
        <f>InsurerSize(#REF!)</f>
        <v>#VALUE!</v>
      </c>
      <c r="AE1298" s="4" t="e">
        <f t="shared" si="32"/>
        <v>#VALUE!</v>
      </c>
    </row>
    <row r="1299" spans="8:31" x14ac:dyDescent="0.2"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AC1299" t="e">
        <f ca="1">RANK(AB1299,OFFSET($AB$2,0,0,#REF!,1))</f>
        <v>#REF!</v>
      </c>
      <c r="AD1299" s="4" t="e">
        <f>InsurerSize(#REF!)</f>
        <v>#VALUE!</v>
      </c>
      <c r="AE1299" s="4" t="e">
        <f t="shared" si="32"/>
        <v>#VALUE!</v>
      </c>
    </row>
    <row r="1300" spans="8:31" x14ac:dyDescent="0.2"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AC1300" t="e">
        <f ca="1">RANK(AB1300,OFFSET($AB$2,0,0,#REF!,1))</f>
        <v>#REF!</v>
      </c>
      <c r="AD1300" s="4" t="e">
        <f>InsurerSize(#REF!)</f>
        <v>#VALUE!</v>
      </c>
      <c r="AE1300" s="4" t="e">
        <f t="shared" si="32"/>
        <v>#VALUE!</v>
      </c>
    </row>
    <row r="1301" spans="8:31" x14ac:dyDescent="0.2"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AC1301" t="e">
        <f ca="1">RANK(AB1301,OFFSET($AB$2,0,0,#REF!,1))</f>
        <v>#REF!</v>
      </c>
      <c r="AD1301" s="4" t="e">
        <f>InsurerSize(#REF!)</f>
        <v>#VALUE!</v>
      </c>
      <c r="AE1301" s="4" t="e">
        <f t="shared" si="32"/>
        <v>#VALUE!</v>
      </c>
    </row>
    <row r="1302" spans="8:31" x14ac:dyDescent="0.2"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AC1302" t="e">
        <f ca="1">RANK(AB1302,OFFSET($AB$2,0,0,#REF!,1))</f>
        <v>#REF!</v>
      </c>
      <c r="AD1302" s="4" t="e">
        <f>InsurerSize(#REF!)</f>
        <v>#VALUE!</v>
      </c>
      <c r="AE1302" s="4" t="e">
        <f t="shared" si="32"/>
        <v>#VALUE!</v>
      </c>
    </row>
    <row r="1303" spans="8:31" x14ac:dyDescent="0.2"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AC1303" t="e">
        <f ca="1">RANK(AB1303,OFFSET($AB$2,0,0,#REF!,1))</f>
        <v>#REF!</v>
      </c>
      <c r="AD1303" s="4" t="e">
        <f>InsurerSize(#REF!)</f>
        <v>#VALUE!</v>
      </c>
      <c r="AE1303" s="4" t="e">
        <f t="shared" si="32"/>
        <v>#VALUE!</v>
      </c>
    </row>
    <row r="1304" spans="8:31" x14ac:dyDescent="0.2"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AC1304" t="e">
        <f ca="1">RANK(AB1304,OFFSET($AB$2,0,0,#REF!,1))</f>
        <v>#REF!</v>
      </c>
      <c r="AD1304" s="4" t="e">
        <f>InsurerSize(#REF!)</f>
        <v>#VALUE!</v>
      </c>
      <c r="AE1304" s="4" t="e">
        <f t="shared" si="32"/>
        <v>#VALUE!</v>
      </c>
    </row>
    <row r="1305" spans="8:31" x14ac:dyDescent="0.2"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AC1305" t="e">
        <f ca="1">RANK(AB1305,OFFSET($AB$2,0,0,#REF!,1))</f>
        <v>#REF!</v>
      </c>
      <c r="AD1305" s="4" t="e">
        <f>InsurerSize(#REF!)</f>
        <v>#VALUE!</v>
      </c>
      <c r="AE1305" s="4" t="e">
        <f t="shared" si="32"/>
        <v>#VALUE!</v>
      </c>
    </row>
    <row r="1306" spans="8:31" x14ac:dyDescent="0.2"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AC1306" t="e">
        <f ca="1">RANK(AB1306,OFFSET($AB$2,0,0,#REF!,1))</f>
        <v>#REF!</v>
      </c>
      <c r="AD1306" s="4" t="e">
        <f>InsurerSize(#REF!)</f>
        <v>#VALUE!</v>
      </c>
      <c r="AE1306" s="4" t="e">
        <f t="shared" si="32"/>
        <v>#VALUE!</v>
      </c>
    </row>
    <row r="1307" spans="8:31" x14ac:dyDescent="0.2"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AC1307" t="e">
        <f ca="1">RANK(AB1307,OFFSET($AB$2,0,0,#REF!,1))</f>
        <v>#REF!</v>
      </c>
      <c r="AD1307" s="4" t="e">
        <f>InsurerSize(#REF!)</f>
        <v>#VALUE!</v>
      </c>
      <c r="AE1307" s="4" t="e">
        <f t="shared" si="32"/>
        <v>#VALUE!</v>
      </c>
    </row>
    <row r="1308" spans="8:31" x14ac:dyDescent="0.2"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AC1308" t="e">
        <f ca="1">RANK(AB1308,OFFSET($AB$2,0,0,#REF!,1))</f>
        <v>#REF!</v>
      </c>
      <c r="AD1308" s="4" t="e">
        <f>InsurerSize(#REF!)</f>
        <v>#VALUE!</v>
      </c>
      <c r="AE1308" s="4" t="e">
        <f t="shared" si="32"/>
        <v>#VALUE!</v>
      </c>
    </row>
    <row r="1309" spans="8:31" x14ac:dyDescent="0.2"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AC1309" t="e">
        <f ca="1">RANK(AB1309,OFFSET($AB$2,0,0,#REF!,1))</f>
        <v>#REF!</v>
      </c>
      <c r="AD1309" s="4" t="e">
        <f>InsurerSize(#REF!)</f>
        <v>#VALUE!</v>
      </c>
      <c r="AE1309" s="4" t="e">
        <f t="shared" si="32"/>
        <v>#VALUE!</v>
      </c>
    </row>
    <row r="1310" spans="8:31" x14ac:dyDescent="0.2"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AC1310" t="e">
        <f ca="1">RANK(AB1310,OFFSET($AB$2,0,0,#REF!,1))</f>
        <v>#REF!</v>
      </c>
      <c r="AD1310" s="4" t="e">
        <f>InsurerSize(#REF!)</f>
        <v>#VALUE!</v>
      </c>
      <c r="AE1310" s="4" t="e">
        <f t="shared" si="32"/>
        <v>#VALUE!</v>
      </c>
    </row>
    <row r="1311" spans="8:31" x14ac:dyDescent="0.2"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AC1311" t="e">
        <f ca="1">RANK(AB1311,OFFSET($AB$2,0,0,#REF!,1))</f>
        <v>#REF!</v>
      </c>
      <c r="AD1311" s="4" t="e">
        <f>InsurerSize(#REF!)</f>
        <v>#VALUE!</v>
      </c>
      <c r="AE1311" s="4" t="e">
        <f t="shared" si="32"/>
        <v>#VALUE!</v>
      </c>
    </row>
    <row r="1312" spans="8:31" x14ac:dyDescent="0.2"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AC1312" t="e">
        <f ca="1">RANK(AB1312,OFFSET($AB$2,0,0,#REF!,1))</f>
        <v>#REF!</v>
      </c>
      <c r="AD1312" s="4" t="e">
        <f>InsurerSize(#REF!)</f>
        <v>#VALUE!</v>
      </c>
      <c r="AE1312" s="4" t="e">
        <f t="shared" si="32"/>
        <v>#VALUE!</v>
      </c>
    </row>
    <row r="1313" spans="8:31" x14ac:dyDescent="0.2"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AC1313" t="e">
        <f ca="1">RANK(AB1313,OFFSET($AB$2,0,0,#REF!,1))</f>
        <v>#REF!</v>
      </c>
      <c r="AD1313" s="4" t="e">
        <f>InsurerSize(#REF!)</f>
        <v>#VALUE!</v>
      </c>
      <c r="AE1313" s="4" t="e">
        <f t="shared" si="32"/>
        <v>#VALUE!</v>
      </c>
    </row>
    <row r="1314" spans="8:31" x14ac:dyDescent="0.2"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AC1314" t="e">
        <f ca="1">RANK(AB1314,OFFSET($AB$2,0,0,#REF!,1))</f>
        <v>#REF!</v>
      </c>
      <c r="AD1314" s="4" t="e">
        <f>InsurerSize(#REF!)</f>
        <v>#VALUE!</v>
      </c>
      <c r="AE1314" s="4" t="e">
        <f t="shared" si="32"/>
        <v>#VALUE!</v>
      </c>
    </row>
    <row r="1315" spans="8:31" x14ac:dyDescent="0.2"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AC1315" t="e">
        <f ca="1">RANK(AB1315,OFFSET($AB$2,0,0,#REF!,1))</f>
        <v>#REF!</v>
      </c>
      <c r="AD1315" s="4" t="e">
        <f>InsurerSize(#REF!)</f>
        <v>#VALUE!</v>
      </c>
      <c r="AE1315" s="4" t="e">
        <f t="shared" si="32"/>
        <v>#VALUE!</v>
      </c>
    </row>
    <row r="1316" spans="8:31" x14ac:dyDescent="0.2"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AC1316" t="e">
        <f ca="1">RANK(AB1316,OFFSET($AB$2,0,0,#REF!,1))</f>
        <v>#REF!</v>
      </c>
      <c r="AD1316" s="4" t="e">
        <f>InsurerSize(#REF!)</f>
        <v>#VALUE!</v>
      </c>
      <c r="AE1316" s="4" t="e">
        <f t="shared" si="32"/>
        <v>#VALUE!</v>
      </c>
    </row>
    <row r="1317" spans="8:31" x14ac:dyDescent="0.2"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AC1317" t="e">
        <f ca="1">RANK(AB1317,OFFSET($AB$2,0,0,#REF!,1))</f>
        <v>#REF!</v>
      </c>
      <c r="AD1317" s="4" t="e">
        <f>InsurerSize(#REF!)</f>
        <v>#VALUE!</v>
      </c>
      <c r="AE1317" s="4" t="e">
        <f t="shared" si="32"/>
        <v>#VALUE!</v>
      </c>
    </row>
    <row r="1318" spans="8:31" x14ac:dyDescent="0.2"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AC1318" t="e">
        <f ca="1">RANK(AB1318,OFFSET($AB$2,0,0,#REF!,1))</f>
        <v>#REF!</v>
      </c>
      <c r="AD1318" s="4" t="e">
        <f>InsurerSize(#REF!)</f>
        <v>#VALUE!</v>
      </c>
      <c r="AE1318" s="4" t="e">
        <f t="shared" si="32"/>
        <v>#VALUE!</v>
      </c>
    </row>
    <row r="1319" spans="8:31" x14ac:dyDescent="0.2"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AC1319" t="e">
        <f ca="1">RANK(AB1319,OFFSET($AB$2,0,0,#REF!,1))</f>
        <v>#REF!</v>
      </c>
      <c r="AD1319" s="4" t="e">
        <f>InsurerSize(#REF!)</f>
        <v>#VALUE!</v>
      </c>
      <c r="AE1319" s="4" t="e">
        <f t="shared" si="32"/>
        <v>#VALUE!</v>
      </c>
    </row>
    <row r="1320" spans="8:31" x14ac:dyDescent="0.2"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AC1320" t="e">
        <f ca="1">RANK(AB1320,OFFSET($AB$2,0,0,#REF!,1))</f>
        <v>#REF!</v>
      </c>
      <c r="AD1320" s="4" t="e">
        <f>InsurerSize(#REF!)</f>
        <v>#VALUE!</v>
      </c>
      <c r="AE1320" s="4" t="e">
        <f t="shared" si="32"/>
        <v>#VALUE!</v>
      </c>
    </row>
    <row r="1321" spans="8:31" x14ac:dyDescent="0.2"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AC1321" t="e">
        <f ca="1">RANK(AB1321,OFFSET($AB$2,0,0,#REF!,1))</f>
        <v>#REF!</v>
      </c>
      <c r="AD1321" s="4" t="e">
        <f>InsurerSize(#REF!)</f>
        <v>#VALUE!</v>
      </c>
      <c r="AE1321" s="4" t="e">
        <f t="shared" si="32"/>
        <v>#VALUE!</v>
      </c>
    </row>
    <row r="1322" spans="8:31" x14ac:dyDescent="0.2"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AC1322" t="e">
        <f ca="1">RANK(AB1322,OFFSET($AB$2,0,0,#REF!,1))</f>
        <v>#REF!</v>
      </c>
      <c r="AD1322" s="4" t="e">
        <f>InsurerSize(#REF!)</f>
        <v>#VALUE!</v>
      </c>
      <c r="AE1322" s="4" t="e">
        <f t="shared" si="32"/>
        <v>#VALUE!</v>
      </c>
    </row>
    <row r="1323" spans="8:31" x14ac:dyDescent="0.2"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AC1323" t="e">
        <f ca="1">RANK(AB1323,OFFSET($AB$2,0,0,#REF!,1))</f>
        <v>#REF!</v>
      </c>
      <c r="AD1323" s="4" t="e">
        <f>InsurerSize(#REF!)</f>
        <v>#VALUE!</v>
      </c>
      <c r="AE1323" s="4" t="e">
        <f t="shared" si="32"/>
        <v>#VALUE!</v>
      </c>
    </row>
    <row r="1324" spans="8:31" x14ac:dyDescent="0.2"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AC1324" t="e">
        <f ca="1">RANK(AB1324,OFFSET($AB$2,0,0,#REF!,1))</f>
        <v>#REF!</v>
      </c>
      <c r="AD1324" s="4" t="e">
        <f>InsurerSize(#REF!)</f>
        <v>#VALUE!</v>
      </c>
      <c r="AE1324" s="4" t="e">
        <f t="shared" si="32"/>
        <v>#VALUE!</v>
      </c>
    </row>
    <row r="1325" spans="8:31" x14ac:dyDescent="0.2"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AC1325" t="e">
        <f ca="1">RANK(AB1325,OFFSET($AB$2,0,0,#REF!,1))</f>
        <v>#REF!</v>
      </c>
      <c r="AD1325" s="4" t="e">
        <f>InsurerSize(#REF!)</f>
        <v>#VALUE!</v>
      </c>
      <c r="AE1325" s="4" t="e">
        <f t="shared" si="32"/>
        <v>#VALUE!</v>
      </c>
    </row>
    <row r="1326" spans="8:31" x14ac:dyDescent="0.2"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AC1326" t="e">
        <f ca="1">RANK(AB1326,OFFSET($AB$2,0,0,#REF!,1))</f>
        <v>#REF!</v>
      </c>
      <c r="AD1326" s="4" t="e">
        <f>InsurerSize(#REF!)</f>
        <v>#VALUE!</v>
      </c>
      <c r="AE1326" s="4" t="e">
        <f t="shared" si="32"/>
        <v>#VALUE!</v>
      </c>
    </row>
    <row r="1327" spans="8:31" x14ac:dyDescent="0.2"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AC1327" t="e">
        <f ca="1">RANK(AB1327,OFFSET($AB$2,0,0,#REF!,1))</f>
        <v>#REF!</v>
      </c>
      <c r="AD1327" s="4" t="e">
        <f>InsurerSize(#REF!)</f>
        <v>#VALUE!</v>
      </c>
      <c r="AE1327" s="4" t="e">
        <f t="shared" si="32"/>
        <v>#VALUE!</v>
      </c>
    </row>
    <row r="1328" spans="8:31" x14ac:dyDescent="0.2"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AC1328" t="e">
        <f ca="1">RANK(AB1328,OFFSET($AB$2,0,0,#REF!,1))</f>
        <v>#REF!</v>
      </c>
      <c r="AD1328" s="4" t="e">
        <f>InsurerSize(#REF!)</f>
        <v>#VALUE!</v>
      </c>
      <c r="AE1328" s="4" t="e">
        <f t="shared" si="32"/>
        <v>#VALUE!</v>
      </c>
    </row>
    <row r="1329" spans="8:31" x14ac:dyDescent="0.2"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AC1329" t="e">
        <f ca="1">RANK(AB1329,OFFSET($AB$2,0,0,#REF!,1))</f>
        <v>#REF!</v>
      </c>
      <c r="AD1329" s="4" t="e">
        <f>InsurerSize(#REF!)</f>
        <v>#VALUE!</v>
      </c>
      <c r="AE1329" s="4" t="e">
        <f t="shared" si="32"/>
        <v>#VALUE!</v>
      </c>
    </row>
    <row r="1330" spans="8:31" x14ac:dyDescent="0.2"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AC1330" t="e">
        <f ca="1">RANK(AB1330,OFFSET($AB$2,0,0,#REF!,1))</f>
        <v>#REF!</v>
      </c>
      <c r="AD1330" s="4" t="e">
        <f>InsurerSize(#REF!)</f>
        <v>#VALUE!</v>
      </c>
      <c r="AE1330" s="4" t="e">
        <f t="shared" si="32"/>
        <v>#VALUE!</v>
      </c>
    </row>
    <row r="1331" spans="8:31" x14ac:dyDescent="0.2"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AC1331" t="e">
        <f ca="1">RANK(AB1331,OFFSET($AB$2,0,0,#REF!,1))</f>
        <v>#REF!</v>
      </c>
      <c r="AD1331" s="4" t="e">
        <f>InsurerSize(#REF!)</f>
        <v>#VALUE!</v>
      </c>
      <c r="AE1331" s="4" t="e">
        <f t="shared" si="32"/>
        <v>#VALUE!</v>
      </c>
    </row>
    <row r="1332" spans="8:31" x14ac:dyDescent="0.2"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AC1332" t="e">
        <f ca="1">RANK(AB1332,OFFSET($AB$2,0,0,#REF!,1))</f>
        <v>#REF!</v>
      </c>
      <c r="AD1332" s="4" t="e">
        <f>InsurerSize(#REF!)</f>
        <v>#VALUE!</v>
      </c>
      <c r="AE1332" s="4" t="e">
        <f t="shared" si="32"/>
        <v>#VALUE!</v>
      </c>
    </row>
    <row r="1333" spans="8:31" x14ac:dyDescent="0.2"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AC1333" t="e">
        <f ca="1">RANK(AB1333,OFFSET($AB$2,0,0,#REF!,1))</f>
        <v>#REF!</v>
      </c>
      <c r="AD1333" s="4" t="e">
        <f>InsurerSize(#REF!)</f>
        <v>#VALUE!</v>
      </c>
      <c r="AE1333" s="4" t="e">
        <f t="shared" si="32"/>
        <v>#VALUE!</v>
      </c>
    </row>
    <row r="1334" spans="8:31" x14ac:dyDescent="0.2"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AC1334" t="e">
        <f ca="1">RANK(AB1334,OFFSET($AB$2,0,0,#REF!,1))</f>
        <v>#REF!</v>
      </c>
      <c r="AD1334" s="4" t="e">
        <f>InsurerSize(#REF!)</f>
        <v>#VALUE!</v>
      </c>
      <c r="AE1334" s="4" t="e">
        <f t="shared" si="32"/>
        <v>#VALUE!</v>
      </c>
    </row>
    <row r="1335" spans="8:31" x14ac:dyDescent="0.2"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AC1335" t="e">
        <f ca="1">RANK(AB1335,OFFSET($AB$2,0,0,#REF!,1))</f>
        <v>#REF!</v>
      </c>
      <c r="AD1335" s="4" t="e">
        <f>InsurerSize(#REF!)</f>
        <v>#VALUE!</v>
      </c>
      <c r="AE1335" s="4" t="e">
        <f t="shared" si="32"/>
        <v>#VALUE!</v>
      </c>
    </row>
    <row r="1336" spans="8:31" x14ac:dyDescent="0.2"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AC1336" t="e">
        <f ca="1">RANK(AB1336,OFFSET($AB$2,0,0,#REF!,1))</f>
        <v>#REF!</v>
      </c>
      <c r="AD1336" s="4" t="e">
        <f>InsurerSize(#REF!)</f>
        <v>#VALUE!</v>
      </c>
      <c r="AE1336" s="4" t="e">
        <f t="shared" si="32"/>
        <v>#VALUE!</v>
      </c>
    </row>
    <row r="1337" spans="8:31" x14ac:dyDescent="0.2"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AC1337" t="e">
        <f ca="1">RANK(AB1337,OFFSET($AB$2,0,0,#REF!,1))</f>
        <v>#REF!</v>
      </c>
      <c r="AD1337" s="4" t="e">
        <f>InsurerSize(#REF!)</f>
        <v>#VALUE!</v>
      </c>
      <c r="AE1337" s="4" t="e">
        <f t="shared" si="32"/>
        <v>#VALUE!</v>
      </c>
    </row>
    <row r="1338" spans="8:31" x14ac:dyDescent="0.2"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AC1338" t="e">
        <f ca="1">RANK(AB1338,OFFSET($AB$2,0,0,#REF!,1))</f>
        <v>#REF!</v>
      </c>
      <c r="AD1338" s="4" t="e">
        <f>InsurerSize(#REF!)</f>
        <v>#VALUE!</v>
      </c>
      <c r="AE1338" s="4" t="e">
        <f t="shared" si="32"/>
        <v>#VALUE!</v>
      </c>
    </row>
    <row r="1339" spans="8:31" x14ac:dyDescent="0.2"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AC1339" t="e">
        <f ca="1">RANK(AB1339,OFFSET($AB$2,0,0,#REF!,1))</f>
        <v>#REF!</v>
      </c>
      <c r="AD1339" s="4" t="e">
        <f>InsurerSize(#REF!)</f>
        <v>#VALUE!</v>
      </c>
      <c r="AE1339" s="4" t="e">
        <f t="shared" si="32"/>
        <v>#VALUE!</v>
      </c>
    </row>
    <row r="1340" spans="8:31" x14ac:dyDescent="0.2"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AC1340" t="e">
        <f ca="1">RANK(AB1340,OFFSET($AB$2,0,0,#REF!,1))</f>
        <v>#REF!</v>
      </c>
      <c r="AD1340" s="4" t="e">
        <f>InsurerSize(#REF!)</f>
        <v>#VALUE!</v>
      </c>
      <c r="AE1340" s="4" t="e">
        <f t="shared" si="32"/>
        <v>#VALUE!</v>
      </c>
    </row>
    <row r="1341" spans="8:31" x14ac:dyDescent="0.2"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AC1341" t="e">
        <f ca="1">RANK(AB1341,OFFSET($AB$2,0,0,#REF!,1))</f>
        <v>#REF!</v>
      </c>
      <c r="AD1341" s="4" t="e">
        <f>InsurerSize(#REF!)</f>
        <v>#VALUE!</v>
      </c>
      <c r="AE1341" s="4" t="e">
        <f t="shared" si="32"/>
        <v>#VALUE!</v>
      </c>
    </row>
    <row r="1342" spans="8:31" x14ac:dyDescent="0.2"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AC1342" t="e">
        <f ca="1">RANK(AB1342,OFFSET($AB$2,0,0,#REF!,1))</f>
        <v>#REF!</v>
      </c>
      <c r="AD1342" s="4" t="e">
        <f>InsurerSize(#REF!)</f>
        <v>#VALUE!</v>
      </c>
      <c r="AE1342" s="4" t="e">
        <f t="shared" si="32"/>
        <v>#VALUE!</v>
      </c>
    </row>
    <row r="1343" spans="8:31" x14ac:dyDescent="0.2"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AC1343" t="e">
        <f ca="1">RANK(AB1343,OFFSET($AB$2,0,0,#REF!,1))</f>
        <v>#REF!</v>
      </c>
      <c r="AD1343" s="4" t="e">
        <f>InsurerSize(#REF!)</f>
        <v>#VALUE!</v>
      </c>
      <c r="AE1343" s="4" t="e">
        <f t="shared" si="32"/>
        <v>#VALUE!</v>
      </c>
    </row>
    <row r="1344" spans="8:31" x14ac:dyDescent="0.2"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AC1344" t="e">
        <f ca="1">RANK(AB1344,OFFSET($AB$2,0,0,#REF!,1))</f>
        <v>#REF!</v>
      </c>
      <c r="AD1344" s="4" t="e">
        <f>InsurerSize(#REF!)</f>
        <v>#VALUE!</v>
      </c>
      <c r="AE1344" s="4" t="e">
        <f t="shared" si="32"/>
        <v>#VALUE!</v>
      </c>
    </row>
    <row r="1345" spans="8:31" x14ac:dyDescent="0.2"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AC1345" t="e">
        <f ca="1">RANK(AB1345,OFFSET($AB$2,0,0,#REF!,1))</f>
        <v>#REF!</v>
      </c>
      <c r="AD1345" s="4" t="e">
        <f>InsurerSize(#REF!)</f>
        <v>#VALUE!</v>
      </c>
      <c r="AE1345" s="4" t="e">
        <f t="shared" si="32"/>
        <v>#VALUE!</v>
      </c>
    </row>
    <row r="1346" spans="8:31" x14ac:dyDescent="0.2"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AC1346" t="e">
        <f ca="1">RANK(AB1346,OFFSET($AB$2,0,0,#REF!,1))</f>
        <v>#REF!</v>
      </c>
      <c r="AD1346" s="4" t="e">
        <f>InsurerSize(#REF!)</f>
        <v>#VALUE!</v>
      </c>
      <c r="AE1346" s="4" t="e">
        <f t="shared" ref="AE1346:AE1409" si="33">A1346&amp;AD1346</f>
        <v>#VALUE!</v>
      </c>
    </row>
    <row r="1347" spans="8:31" x14ac:dyDescent="0.2"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AC1347" t="e">
        <f ca="1">RANK(AB1347,OFFSET($AB$2,0,0,#REF!,1))</f>
        <v>#REF!</v>
      </c>
      <c r="AD1347" s="4" t="e">
        <f>InsurerSize(#REF!)</f>
        <v>#VALUE!</v>
      </c>
      <c r="AE1347" s="4" t="e">
        <f t="shared" si="33"/>
        <v>#VALUE!</v>
      </c>
    </row>
    <row r="1348" spans="8:31" x14ac:dyDescent="0.2"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AC1348" t="e">
        <f ca="1">RANK(AB1348,OFFSET($AB$2,0,0,#REF!,1))</f>
        <v>#REF!</v>
      </c>
      <c r="AD1348" s="4" t="e">
        <f>InsurerSize(#REF!)</f>
        <v>#VALUE!</v>
      </c>
      <c r="AE1348" s="4" t="e">
        <f t="shared" si="33"/>
        <v>#VALUE!</v>
      </c>
    </row>
    <row r="1349" spans="8:31" x14ac:dyDescent="0.2"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AC1349" t="e">
        <f ca="1">RANK(AB1349,OFFSET($AB$2,0,0,#REF!,1))</f>
        <v>#REF!</v>
      </c>
      <c r="AD1349" s="4" t="e">
        <f>InsurerSize(#REF!)</f>
        <v>#VALUE!</v>
      </c>
      <c r="AE1349" s="4" t="e">
        <f t="shared" si="33"/>
        <v>#VALUE!</v>
      </c>
    </row>
    <row r="1350" spans="8:31" x14ac:dyDescent="0.2"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AC1350" t="e">
        <f ca="1">RANK(AB1350,OFFSET($AB$2,0,0,#REF!,1))</f>
        <v>#REF!</v>
      </c>
      <c r="AD1350" s="4" t="e">
        <f>InsurerSize(#REF!)</f>
        <v>#VALUE!</v>
      </c>
      <c r="AE1350" s="4" t="e">
        <f t="shared" si="33"/>
        <v>#VALUE!</v>
      </c>
    </row>
    <row r="1351" spans="8:31" x14ac:dyDescent="0.2"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AC1351" t="e">
        <f ca="1">RANK(AB1351,OFFSET($AB$2,0,0,#REF!,1))</f>
        <v>#REF!</v>
      </c>
      <c r="AD1351" s="4" t="e">
        <f>InsurerSize(#REF!)</f>
        <v>#VALUE!</v>
      </c>
      <c r="AE1351" s="4" t="e">
        <f t="shared" si="33"/>
        <v>#VALUE!</v>
      </c>
    </row>
    <row r="1352" spans="8:31" x14ac:dyDescent="0.2"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AC1352" t="e">
        <f ca="1">RANK(AB1352,OFFSET($AB$2,0,0,#REF!,1))</f>
        <v>#REF!</v>
      </c>
      <c r="AD1352" s="4" t="e">
        <f>InsurerSize(#REF!)</f>
        <v>#VALUE!</v>
      </c>
      <c r="AE1352" s="4" t="e">
        <f t="shared" si="33"/>
        <v>#VALUE!</v>
      </c>
    </row>
    <row r="1353" spans="8:31" x14ac:dyDescent="0.2"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AC1353" t="e">
        <f ca="1">RANK(AB1353,OFFSET($AB$2,0,0,#REF!,1))</f>
        <v>#REF!</v>
      </c>
      <c r="AD1353" s="4" t="e">
        <f>InsurerSize(#REF!)</f>
        <v>#VALUE!</v>
      </c>
      <c r="AE1353" s="4" t="e">
        <f t="shared" si="33"/>
        <v>#VALUE!</v>
      </c>
    </row>
    <row r="1354" spans="8:31" x14ac:dyDescent="0.2"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AC1354" t="e">
        <f ca="1">RANK(AB1354,OFFSET($AB$2,0,0,#REF!,1))</f>
        <v>#REF!</v>
      </c>
      <c r="AD1354" s="4" t="e">
        <f>InsurerSize(#REF!)</f>
        <v>#VALUE!</v>
      </c>
      <c r="AE1354" s="4" t="e">
        <f t="shared" si="33"/>
        <v>#VALUE!</v>
      </c>
    </row>
    <row r="1355" spans="8:31" x14ac:dyDescent="0.2"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AC1355" t="e">
        <f ca="1">RANK(AB1355,OFFSET($AB$2,0,0,#REF!,1))</f>
        <v>#REF!</v>
      </c>
      <c r="AD1355" s="4" t="e">
        <f>InsurerSize(#REF!)</f>
        <v>#VALUE!</v>
      </c>
      <c r="AE1355" s="4" t="e">
        <f t="shared" si="33"/>
        <v>#VALUE!</v>
      </c>
    </row>
    <row r="1356" spans="8:31" x14ac:dyDescent="0.2"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AC1356" t="e">
        <f ca="1">RANK(AB1356,OFFSET($AB$2,0,0,#REF!,1))</f>
        <v>#REF!</v>
      </c>
      <c r="AD1356" s="4" t="e">
        <f>InsurerSize(#REF!)</f>
        <v>#VALUE!</v>
      </c>
      <c r="AE1356" s="4" t="e">
        <f t="shared" si="33"/>
        <v>#VALUE!</v>
      </c>
    </row>
    <row r="1357" spans="8:31" x14ac:dyDescent="0.2"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AC1357" t="e">
        <f ca="1">RANK(AB1357,OFFSET($AB$2,0,0,#REF!,1))</f>
        <v>#REF!</v>
      </c>
      <c r="AD1357" s="4" t="e">
        <f>InsurerSize(#REF!)</f>
        <v>#VALUE!</v>
      </c>
      <c r="AE1357" s="4" t="e">
        <f t="shared" si="33"/>
        <v>#VALUE!</v>
      </c>
    </row>
    <row r="1358" spans="8:31" x14ac:dyDescent="0.2"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AC1358" t="e">
        <f ca="1">RANK(AB1358,OFFSET($AB$2,0,0,#REF!,1))</f>
        <v>#REF!</v>
      </c>
      <c r="AD1358" s="4" t="e">
        <f>InsurerSize(#REF!)</f>
        <v>#VALUE!</v>
      </c>
      <c r="AE1358" s="4" t="e">
        <f t="shared" si="33"/>
        <v>#VALUE!</v>
      </c>
    </row>
    <row r="1359" spans="8:31" x14ac:dyDescent="0.2"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AC1359" t="e">
        <f ca="1">RANK(AB1359,OFFSET($AB$2,0,0,#REF!,1))</f>
        <v>#REF!</v>
      </c>
      <c r="AD1359" s="4" t="e">
        <f>InsurerSize(#REF!)</f>
        <v>#VALUE!</v>
      </c>
      <c r="AE1359" s="4" t="e">
        <f t="shared" si="33"/>
        <v>#VALUE!</v>
      </c>
    </row>
    <row r="1360" spans="8:31" x14ac:dyDescent="0.2"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AC1360" t="e">
        <f ca="1">RANK(AB1360,OFFSET($AB$2,0,0,#REF!,1))</f>
        <v>#REF!</v>
      </c>
      <c r="AD1360" s="4" t="e">
        <f>InsurerSize(#REF!)</f>
        <v>#VALUE!</v>
      </c>
      <c r="AE1360" s="4" t="e">
        <f t="shared" si="33"/>
        <v>#VALUE!</v>
      </c>
    </row>
    <row r="1361" spans="8:31" x14ac:dyDescent="0.2"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AC1361" t="e">
        <f ca="1">RANK(AB1361,OFFSET($AB$2,0,0,#REF!,1))</f>
        <v>#REF!</v>
      </c>
      <c r="AD1361" s="4" t="e">
        <f>InsurerSize(#REF!)</f>
        <v>#VALUE!</v>
      </c>
      <c r="AE1361" s="4" t="e">
        <f t="shared" si="33"/>
        <v>#VALUE!</v>
      </c>
    </row>
    <row r="1362" spans="8:31" x14ac:dyDescent="0.2"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AC1362" t="e">
        <f ca="1">RANK(AB1362,OFFSET($AB$2,0,0,#REF!,1))</f>
        <v>#REF!</v>
      </c>
      <c r="AD1362" s="4" t="e">
        <f>InsurerSize(#REF!)</f>
        <v>#VALUE!</v>
      </c>
      <c r="AE1362" s="4" t="e">
        <f t="shared" si="33"/>
        <v>#VALUE!</v>
      </c>
    </row>
    <row r="1363" spans="8:31" x14ac:dyDescent="0.2"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AC1363" t="e">
        <f ca="1">RANK(AB1363,OFFSET($AB$2,0,0,#REF!,1))</f>
        <v>#REF!</v>
      </c>
      <c r="AD1363" s="4" t="e">
        <f>InsurerSize(#REF!)</f>
        <v>#VALUE!</v>
      </c>
      <c r="AE1363" s="4" t="e">
        <f t="shared" si="33"/>
        <v>#VALUE!</v>
      </c>
    </row>
    <row r="1364" spans="8:31" x14ac:dyDescent="0.2"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AC1364" t="e">
        <f ca="1">RANK(AB1364,OFFSET($AB$2,0,0,#REF!,1))</f>
        <v>#REF!</v>
      </c>
      <c r="AD1364" s="4" t="e">
        <f>InsurerSize(#REF!)</f>
        <v>#VALUE!</v>
      </c>
      <c r="AE1364" s="4" t="e">
        <f t="shared" si="33"/>
        <v>#VALUE!</v>
      </c>
    </row>
    <row r="1365" spans="8:31" x14ac:dyDescent="0.2"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AC1365" t="e">
        <f ca="1">RANK(AB1365,OFFSET($AB$2,0,0,#REF!,1))</f>
        <v>#REF!</v>
      </c>
      <c r="AD1365" s="4" t="e">
        <f>InsurerSize(#REF!)</f>
        <v>#VALUE!</v>
      </c>
      <c r="AE1365" s="4" t="e">
        <f t="shared" si="33"/>
        <v>#VALUE!</v>
      </c>
    </row>
    <row r="1366" spans="8:31" x14ac:dyDescent="0.2"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AC1366" t="e">
        <f ca="1">RANK(AB1366,OFFSET($AB$2,0,0,#REF!,1))</f>
        <v>#REF!</v>
      </c>
      <c r="AD1366" s="4" t="e">
        <f>InsurerSize(#REF!)</f>
        <v>#VALUE!</v>
      </c>
      <c r="AE1366" s="4" t="e">
        <f t="shared" si="33"/>
        <v>#VALUE!</v>
      </c>
    </row>
    <row r="1367" spans="8:31" x14ac:dyDescent="0.2"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AC1367" t="e">
        <f ca="1">RANK(AB1367,OFFSET($AB$2,0,0,#REF!,1))</f>
        <v>#REF!</v>
      </c>
      <c r="AD1367" s="4" t="e">
        <f>InsurerSize(#REF!)</f>
        <v>#VALUE!</v>
      </c>
      <c r="AE1367" s="4" t="e">
        <f t="shared" si="33"/>
        <v>#VALUE!</v>
      </c>
    </row>
    <row r="1368" spans="8:31" x14ac:dyDescent="0.2"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AC1368" t="e">
        <f ca="1">RANK(AB1368,OFFSET($AB$2,0,0,#REF!,1))</f>
        <v>#REF!</v>
      </c>
      <c r="AD1368" s="4" t="e">
        <f>InsurerSize(#REF!)</f>
        <v>#VALUE!</v>
      </c>
      <c r="AE1368" s="4" t="e">
        <f t="shared" si="33"/>
        <v>#VALUE!</v>
      </c>
    </row>
    <row r="1369" spans="8:31" x14ac:dyDescent="0.2"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AC1369" t="e">
        <f ca="1">RANK(AB1369,OFFSET($AB$2,0,0,#REF!,1))</f>
        <v>#REF!</v>
      </c>
      <c r="AD1369" s="4" t="e">
        <f>InsurerSize(#REF!)</f>
        <v>#VALUE!</v>
      </c>
      <c r="AE1369" s="4" t="e">
        <f t="shared" si="33"/>
        <v>#VALUE!</v>
      </c>
    </row>
    <row r="1370" spans="8:31" x14ac:dyDescent="0.2"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AC1370" t="e">
        <f ca="1">RANK(AB1370,OFFSET($AB$2,0,0,#REF!,1))</f>
        <v>#REF!</v>
      </c>
      <c r="AD1370" s="4" t="e">
        <f>InsurerSize(#REF!)</f>
        <v>#VALUE!</v>
      </c>
      <c r="AE1370" s="4" t="e">
        <f t="shared" si="33"/>
        <v>#VALUE!</v>
      </c>
    </row>
    <row r="1371" spans="8:31" x14ac:dyDescent="0.2"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AC1371" t="e">
        <f ca="1">RANK(AB1371,OFFSET($AB$2,0,0,#REF!,1))</f>
        <v>#REF!</v>
      </c>
      <c r="AD1371" s="4" t="e">
        <f>InsurerSize(#REF!)</f>
        <v>#VALUE!</v>
      </c>
      <c r="AE1371" s="4" t="e">
        <f t="shared" si="33"/>
        <v>#VALUE!</v>
      </c>
    </row>
    <row r="1372" spans="8:31" x14ac:dyDescent="0.2"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AC1372" t="e">
        <f ca="1">RANK(AB1372,OFFSET($AB$2,0,0,#REF!,1))</f>
        <v>#REF!</v>
      </c>
      <c r="AD1372" s="4" t="e">
        <f>InsurerSize(#REF!)</f>
        <v>#VALUE!</v>
      </c>
      <c r="AE1372" s="4" t="e">
        <f t="shared" si="33"/>
        <v>#VALUE!</v>
      </c>
    </row>
    <row r="1373" spans="8:31" x14ac:dyDescent="0.2"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AC1373" t="e">
        <f ca="1">RANK(AB1373,OFFSET($AB$2,0,0,#REF!,1))</f>
        <v>#REF!</v>
      </c>
      <c r="AD1373" s="4" t="e">
        <f>InsurerSize(#REF!)</f>
        <v>#VALUE!</v>
      </c>
      <c r="AE1373" s="4" t="e">
        <f t="shared" si="33"/>
        <v>#VALUE!</v>
      </c>
    </row>
    <row r="1374" spans="8:31" x14ac:dyDescent="0.2"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AC1374" t="e">
        <f ca="1">RANK(AB1374,OFFSET($AB$2,0,0,#REF!,1))</f>
        <v>#REF!</v>
      </c>
      <c r="AD1374" s="4" t="e">
        <f>InsurerSize(#REF!)</f>
        <v>#VALUE!</v>
      </c>
      <c r="AE1374" s="4" t="e">
        <f t="shared" si="33"/>
        <v>#VALUE!</v>
      </c>
    </row>
    <row r="1375" spans="8:31" x14ac:dyDescent="0.2"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AC1375" t="e">
        <f ca="1">RANK(AB1375,OFFSET($AB$2,0,0,#REF!,1))</f>
        <v>#REF!</v>
      </c>
      <c r="AD1375" s="4" t="e">
        <f>InsurerSize(#REF!)</f>
        <v>#VALUE!</v>
      </c>
      <c r="AE1375" s="4" t="e">
        <f t="shared" si="33"/>
        <v>#VALUE!</v>
      </c>
    </row>
    <row r="1376" spans="8:31" x14ac:dyDescent="0.2"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AC1376" t="e">
        <f ca="1">RANK(AB1376,OFFSET($AB$2,0,0,#REF!,1))</f>
        <v>#REF!</v>
      </c>
      <c r="AD1376" s="4" t="e">
        <f>InsurerSize(#REF!)</f>
        <v>#VALUE!</v>
      </c>
      <c r="AE1376" s="4" t="e">
        <f t="shared" si="33"/>
        <v>#VALUE!</v>
      </c>
    </row>
    <row r="1377" spans="8:31" x14ac:dyDescent="0.2"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AC1377" t="e">
        <f ca="1">RANK(AB1377,OFFSET($AB$2,0,0,#REF!,1))</f>
        <v>#REF!</v>
      </c>
      <c r="AD1377" s="4" t="e">
        <f>InsurerSize(#REF!)</f>
        <v>#VALUE!</v>
      </c>
      <c r="AE1377" s="4" t="e">
        <f t="shared" si="33"/>
        <v>#VALUE!</v>
      </c>
    </row>
    <row r="1378" spans="8:31" x14ac:dyDescent="0.2"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AC1378" t="e">
        <f ca="1">RANK(AB1378,OFFSET($AB$2,0,0,#REF!,1))</f>
        <v>#REF!</v>
      </c>
      <c r="AD1378" s="4" t="e">
        <f>InsurerSize(#REF!)</f>
        <v>#VALUE!</v>
      </c>
      <c r="AE1378" s="4" t="e">
        <f t="shared" si="33"/>
        <v>#VALUE!</v>
      </c>
    </row>
    <row r="1379" spans="8:31" x14ac:dyDescent="0.2"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AC1379" t="e">
        <f ca="1">RANK(AB1379,OFFSET($AB$2,0,0,#REF!,1))</f>
        <v>#REF!</v>
      </c>
      <c r="AD1379" s="4" t="e">
        <f>InsurerSize(#REF!)</f>
        <v>#VALUE!</v>
      </c>
      <c r="AE1379" s="4" t="e">
        <f t="shared" si="33"/>
        <v>#VALUE!</v>
      </c>
    </row>
    <row r="1380" spans="8:31" x14ac:dyDescent="0.2"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AC1380" t="e">
        <f ca="1">RANK(AB1380,OFFSET($AB$2,0,0,#REF!,1))</f>
        <v>#REF!</v>
      </c>
      <c r="AD1380" s="4" t="e">
        <f>InsurerSize(#REF!)</f>
        <v>#VALUE!</v>
      </c>
      <c r="AE1380" s="4" t="e">
        <f t="shared" si="33"/>
        <v>#VALUE!</v>
      </c>
    </row>
    <row r="1381" spans="8:31" x14ac:dyDescent="0.2"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AC1381" t="e">
        <f ca="1">RANK(AB1381,OFFSET($AB$2,0,0,#REF!,1))</f>
        <v>#REF!</v>
      </c>
      <c r="AD1381" s="4" t="e">
        <f>InsurerSize(#REF!)</f>
        <v>#VALUE!</v>
      </c>
      <c r="AE1381" s="4" t="e">
        <f t="shared" si="33"/>
        <v>#VALUE!</v>
      </c>
    </row>
    <row r="1382" spans="8:31" x14ac:dyDescent="0.2"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AC1382" t="e">
        <f ca="1">RANK(AB1382,OFFSET($AB$2,0,0,#REF!,1))</f>
        <v>#REF!</v>
      </c>
      <c r="AD1382" s="4" t="e">
        <f>InsurerSize(#REF!)</f>
        <v>#VALUE!</v>
      </c>
      <c r="AE1382" s="4" t="e">
        <f t="shared" si="33"/>
        <v>#VALUE!</v>
      </c>
    </row>
    <row r="1383" spans="8:31" x14ac:dyDescent="0.2"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AC1383" t="e">
        <f ca="1">RANK(AB1383,OFFSET($AB$2,0,0,#REF!,1))</f>
        <v>#REF!</v>
      </c>
      <c r="AD1383" s="4" t="e">
        <f>InsurerSize(#REF!)</f>
        <v>#VALUE!</v>
      </c>
      <c r="AE1383" s="4" t="e">
        <f t="shared" si="33"/>
        <v>#VALUE!</v>
      </c>
    </row>
    <row r="1384" spans="8:31" x14ac:dyDescent="0.2"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AC1384" t="e">
        <f ca="1">RANK(AB1384,OFFSET($AB$2,0,0,#REF!,1))</f>
        <v>#REF!</v>
      </c>
      <c r="AD1384" s="4" t="e">
        <f>InsurerSize(#REF!)</f>
        <v>#VALUE!</v>
      </c>
      <c r="AE1384" s="4" t="e">
        <f t="shared" si="33"/>
        <v>#VALUE!</v>
      </c>
    </row>
    <row r="1385" spans="8:31" x14ac:dyDescent="0.2"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AC1385" t="e">
        <f ca="1">RANK(AB1385,OFFSET($AB$2,0,0,#REF!,1))</f>
        <v>#REF!</v>
      </c>
      <c r="AD1385" s="4" t="e">
        <f>InsurerSize(#REF!)</f>
        <v>#VALUE!</v>
      </c>
      <c r="AE1385" s="4" t="e">
        <f t="shared" si="33"/>
        <v>#VALUE!</v>
      </c>
    </row>
    <row r="1386" spans="8:31" x14ac:dyDescent="0.2"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AC1386" t="e">
        <f ca="1">RANK(AB1386,OFFSET($AB$2,0,0,#REF!,1))</f>
        <v>#REF!</v>
      </c>
      <c r="AD1386" s="4" t="e">
        <f>InsurerSize(#REF!)</f>
        <v>#VALUE!</v>
      </c>
      <c r="AE1386" s="4" t="e">
        <f t="shared" si="33"/>
        <v>#VALUE!</v>
      </c>
    </row>
    <row r="1387" spans="8:31" x14ac:dyDescent="0.2"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AC1387" t="e">
        <f ca="1">RANK(AB1387,OFFSET($AB$2,0,0,#REF!,1))</f>
        <v>#REF!</v>
      </c>
      <c r="AD1387" s="4" t="e">
        <f>InsurerSize(#REF!)</f>
        <v>#VALUE!</v>
      </c>
      <c r="AE1387" s="4" t="e">
        <f t="shared" si="33"/>
        <v>#VALUE!</v>
      </c>
    </row>
    <row r="1388" spans="8:31" x14ac:dyDescent="0.2"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AC1388" t="e">
        <f ca="1">RANK(AB1388,OFFSET($AB$2,0,0,#REF!,1))</f>
        <v>#REF!</v>
      </c>
      <c r="AD1388" s="4" t="e">
        <f>InsurerSize(#REF!)</f>
        <v>#VALUE!</v>
      </c>
      <c r="AE1388" s="4" t="e">
        <f t="shared" si="33"/>
        <v>#VALUE!</v>
      </c>
    </row>
    <row r="1389" spans="8:31" x14ac:dyDescent="0.2"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AC1389" t="e">
        <f ca="1">RANK(AB1389,OFFSET($AB$2,0,0,#REF!,1))</f>
        <v>#REF!</v>
      </c>
      <c r="AD1389" s="4" t="e">
        <f>InsurerSize(#REF!)</f>
        <v>#VALUE!</v>
      </c>
      <c r="AE1389" s="4" t="e">
        <f t="shared" si="33"/>
        <v>#VALUE!</v>
      </c>
    </row>
    <row r="1390" spans="8:31" x14ac:dyDescent="0.2"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AC1390" t="e">
        <f ca="1">RANK(AB1390,OFFSET($AB$2,0,0,#REF!,1))</f>
        <v>#REF!</v>
      </c>
      <c r="AD1390" s="4" t="e">
        <f>InsurerSize(#REF!)</f>
        <v>#VALUE!</v>
      </c>
      <c r="AE1390" s="4" t="e">
        <f t="shared" si="33"/>
        <v>#VALUE!</v>
      </c>
    </row>
    <row r="1391" spans="8:31" x14ac:dyDescent="0.2"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AC1391" t="e">
        <f ca="1">RANK(AB1391,OFFSET($AB$2,0,0,#REF!,1))</f>
        <v>#REF!</v>
      </c>
      <c r="AD1391" s="4" t="e">
        <f>InsurerSize(#REF!)</f>
        <v>#VALUE!</v>
      </c>
      <c r="AE1391" s="4" t="e">
        <f t="shared" si="33"/>
        <v>#VALUE!</v>
      </c>
    </row>
    <row r="1392" spans="8:31" x14ac:dyDescent="0.2"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AC1392" t="e">
        <f ca="1">RANK(AB1392,OFFSET($AB$2,0,0,#REF!,1))</f>
        <v>#REF!</v>
      </c>
      <c r="AD1392" s="4" t="e">
        <f>InsurerSize(#REF!)</f>
        <v>#VALUE!</v>
      </c>
      <c r="AE1392" s="4" t="e">
        <f t="shared" si="33"/>
        <v>#VALUE!</v>
      </c>
    </row>
    <row r="1393" spans="8:31" x14ac:dyDescent="0.2"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AC1393" t="e">
        <f ca="1">RANK(AB1393,OFFSET($AB$2,0,0,#REF!,1))</f>
        <v>#REF!</v>
      </c>
      <c r="AD1393" s="4" t="e">
        <f>InsurerSize(#REF!)</f>
        <v>#VALUE!</v>
      </c>
      <c r="AE1393" s="4" t="e">
        <f t="shared" si="33"/>
        <v>#VALUE!</v>
      </c>
    </row>
    <row r="1394" spans="8:31" x14ac:dyDescent="0.2"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AC1394" t="e">
        <f ca="1">RANK(AB1394,OFFSET($AB$2,0,0,#REF!,1))</f>
        <v>#REF!</v>
      </c>
      <c r="AD1394" s="4" t="e">
        <f>InsurerSize(#REF!)</f>
        <v>#VALUE!</v>
      </c>
      <c r="AE1394" s="4" t="e">
        <f t="shared" si="33"/>
        <v>#VALUE!</v>
      </c>
    </row>
    <row r="1395" spans="8:31" x14ac:dyDescent="0.2"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AC1395" t="e">
        <f ca="1">RANK(AB1395,OFFSET($AB$2,0,0,#REF!,1))</f>
        <v>#REF!</v>
      </c>
      <c r="AD1395" s="4" t="e">
        <f>InsurerSize(#REF!)</f>
        <v>#VALUE!</v>
      </c>
      <c r="AE1395" s="4" t="e">
        <f t="shared" si="33"/>
        <v>#VALUE!</v>
      </c>
    </row>
    <row r="1396" spans="8:31" x14ac:dyDescent="0.2"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AC1396" t="e">
        <f ca="1">RANK(AB1396,OFFSET($AB$2,0,0,#REF!,1))</f>
        <v>#REF!</v>
      </c>
      <c r="AD1396" s="4" t="e">
        <f>InsurerSize(#REF!)</f>
        <v>#VALUE!</v>
      </c>
      <c r="AE1396" s="4" t="e">
        <f t="shared" si="33"/>
        <v>#VALUE!</v>
      </c>
    </row>
    <row r="1397" spans="8:31" x14ac:dyDescent="0.2"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AC1397" t="e">
        <f ca="1">RANK(AB1397,OFFSET($AB$2,0,0,#REF!,1))</f>
        <v>#REF!</v>
      </c>
      <c r="AD1397" s="4" t="e">
        <f>InsurerSize(#REF!)</f>
        <v>#VALUE!</v>
      </c>
      <c r="AE1397" s="4" t="e">
        <f t="shared" si="33"/>
        <v>#VALUE!</v>
      </c>
    </row>
    <row r="1398" spans="8:31" x14ac:dyDescent="0.2"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AC1398" t="e">
        <f ca="1">RANK(AB1398,OFFSET($AB$2,0,0,#REF!,1))</f>
        <v>#REF!</v>
      </c>
      <c r="AD1398" s="4" t="e">
        <f>InsurerSize(#REF!)</f>
        <v>#VALUE!</v>
      </c>
      <c r="AE1398" s="4" t="e">
        <f t="shared" si="33"/>
        <v>#VALUE!</v>
      </c>
    </row>
    <row r="1399" spans="8:31" x14ac:dyDescent="0.2"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AC1399" t="e">
        <f ca="1">RANK(AB1399,OFFSET($AB$2,0,0,#REF!,1))</f>
        <v>#REF!</v>
      </c>
      <c r="AD1399" s="4" t="e">
        <f>InsurerSize(#REF!)</f>
        <v>#VALUE!</v>
      </c>
      <c r="AE1399" s="4" t="e">
        <f t="shared" si="33"/>
        <v>#VALUE!</v>
      </c>
    </row>
    <row r="1400" spans="8:31" x14ac:dyDescent="0.2"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AC1400" t="e">
        <f ca="1">RANK(AB1400,OFFSET($AB$2,0,0,#REF!,1))</f>
        <v>#REF!</v>
      </c>
      <c r="AD1400" s="4" t="e">
        <f>InsurerSize(#REF!)</f>
        <v>#VALUE!</v>
      </c>
      <c r="AE1400" s="4" t="e">
        <f t="shared" si="33"/>
        <v>#VALUE!</v>
      </c>
    </row>
    <row r="1401" spans="8:31" x14ac:dyDescent="0.2"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AC1401" t="e">
        <f ca="1">RANK(AB1401,OFFSET($AB$2,0,0,#REF!,1))</f>
        <v>#REF!</v>
      </c>
      <c r="AD1401" s="4" t="e">
        <f>InsurerSize(#REF!)</f>
        <v>#VALUE!</v>
      </c>
      <c r="AE1401" s="4" t="e">
        <f t="shared" si="33"/>
        <v>#VALUE!</v>
      </c>
    </row>
    <row r="1402" spans="8:31" x14ac:dyDescent="0.2"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AC1402" t="e">
        <f ca="1">RANK(AB1402,OFFSET($AB$2,0,0,#REF!,1))</f>
        <v>#REF!</v>
      </c>
      <c r="AD1402" s="4" t="e">
        <f>InsurerSize(#REF!)</f>
        <v>#VALUE!</v>
      </c>
      <c r="AE1402" s="4" t="e">
        <f t="shared" si="33"/>
        <v>#VALUE!</v>
      </c>
    </row>
    <row r="1403" spans="8:31" x14ac:dyDescent="0.2"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AC1403" t="e">
        <f ca="1">RANK(AB1403,OFFSET($AB$2,0,0,#REF!,1))</f>
        <v>#REF!</v>
      </c>
      <c r="AD1403" s="4" t="e">
        <f>InsurerSize(#REF!)</f>
        <v>#VALUE!</v>
      </c>
      <c r="AE1403" s="4" t="e">
        <f t="shared" si="33"/>
        <v>#VALUE!</v>
      </c>
    </row>
    <row r="1404" spans="8:31" x14ac:dyDescent="0.2"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AC1404" t="e">
        <f ca="1">RANK(AB1404,OFFSET($AB$2,0,0,#REF!,1))</f>
        <v>#REF!</v>
      </c>
      <c r="AD1404" s="4" t="e">
        <f>InsurerSize(#REF!)</f>
        <v>#VALUE!</v>
      </c>
      <c r="AE1404" s="4" t="e">
        <f t="shared" si="33"/>
        <v>#VALUE!</v>
      </c>
    </row>
    <row r="1405" spans="8:31" x14ac:dyDescent="0.2"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AC1405" t="e">
        <f ca="1">RANK(AB1405,OFFSET($AB$2,0,0,#REF!,1))</f>
        <v>#REF!</v>
      </c>
      <c r="AD1405" s="4" t="e">
        <f>InsurerSize(#REF!)</f>
        <v>#VALUE!</v>
      </c>
      <c r="AE1405" s="4" t="e">
        <f t="shared" si="33"/>
        <v>#VALUE!</v>
      </c>
    </row>
    <row r="1406" spans="8:31" x14ac:dyDescent="0.2"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AC1406" t="e">
        <f ca="1">RANK(AB1406,OFFSET($AB$2,0,0,#REF!,1))</f>
        <v>#REF!</v>
      </c>
      <c r="AD1406" s="4" t="e">
        <f>InsurerSize(#REF!)</f>
        <v>#VALUE!</v>
      </c>
      <c r="AE1406" s="4" t="e">
        <f t="shared" si="33"/>
        <v>#VALUE!</v>
      </c>
    </row>
    <row r="1407" spans="8:31" x14ac:dyDescent="0.2"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AC1407" t="e">
        <f ca="1">RANK(AB1407,OFFSET($AB$2,0,0,#REF!,1))</f>
        <v>#REF!</v>
      </c>
      <c r="AD1407" s="4" t="e">
        <f>InsurerSize(#REF!)</f>
        <v>#VALUE!</v>
      </c>
      <c r="AE1407" s="4" t="e">
        <f t="shared" si="33"/>
        <v>#VALUE!</v>
      </c>
    </row>
    <row r="1408" spans="8:31" x14ac:dyDescent="0.2"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AC1408" t="e">
        <f ca="1">RANK(AB1408,OFFSET($AB$2,0,0,#REF!,1))</f>
        <v>#REF!</v>
      </c>
      <c r="AD1408" s="4" t="e">
        <f>InsurerSize(#REF!)</f>
        <v>#VALUE!</v>
      </c>
      <c r="AE1408" s="4" t="e">
        <f t="shared" si="33"/>
        <v>#VALUE!</v>
      </c>
    </row>
    <row r="1409" spans="8:31" x14ac:dyDescent="0.2"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AC1409" t="e">
        <f ca="1">RANK(AB1409,OFFSET($AB$2,0,0,#REF!,1))</f>
        <v>#REF!</v>
      </c>
      <c r="AD1409" s="4" t="e">
        <f>InsurerSize(#REF!)</f>
        <v>#VALUE!</v>
      </c>
      <c r="AE1409" s="4" t="e">
        <f t="shared" si="33"/>
        <v>#VALUE!</v>
      </c>
    </row>
    <row r="1410" spans="8:31" x14ac:dyDescent="0.2"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AC1410" t="e">
        <f ca="1">RANK(AB1410,OFFSET($AB$2,0,0,#REF!,1))</f>
        <v>#REF!</v>
      </c>
      <c r="AD1410" s="4" t="e">
        <f>InsurerSize(#REF!)</f>
        <v>#VALUE!</v>
      </c>
      <c r="AE1410" s="4" t="e">
        <f t="shared" ref="AE1410:AE1473" si="34">A1410&amp;AD1410</f>
        <v>#VALUE!</v>
      </c>
    </row>
    <row r="1411" spans="8:31" x14ac:dyDescent="0.2"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AC1411" t="e">
        <f ca="1">RANK(AB1411,OFFSET($AB$2,0,0,#REF!,1))</f>
        <v>#REF!</v>
      </c>
      <c r="AD1411" s="4" t="e">
        <f>InsurerSize(#REF!)</f>
        <v>#VALUE!</v>
      </c>
      <c r="AE1411" s="4" t="e">
        <f t="shared" si="34"/>
        <v>#VALUE!</v>
      </c>
    </row>
    <row r="1412" spans="8:31" x14ac:dyDescent="0.2"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AC1412" t="e">
        <f ca="1">RANK(AB1412,OFFSET($AB$2,0,0,#REF!,1))</f>
        <v>#REF!</v>
      </c>
      <c r="AD1412" s="4" t="e">
        <f>InsurerSize(#REF!)</f>
        <v>#VALUE!</v>
      </c>
      <c r="AE1412" s="4" t="e">
        <f t="shared" si="34"/>
        <v>#VALUE!</v>
      </c>
    </row>
    <row r="1413" spans="8:31" x14ac:dyDescent="0.2"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AC1413" t="e">
        <f ca="1">RANK(AB1413,OFFSET($AB$2,0,0,#REF!,1))</f>
        <v>#REF!</v>
      </c>
      <c r="AD1413" s="4" t="e">
        <f>InsurerSize(#REF!)</f>
        <v>#VALUE!</v>
      </c>
      <c r="AE1413" s="4" t="e">
        <f t="shared" si="34"/>
        <v>#VALUE!</v>
      </c>
    </row>
    <row r="1414" spans="8:31" x14ac:dyDescent="0.2"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AC1414" t="e">
        <f ca="1">RANK(AB1414,OFFSET($AB$2,0,0,#REF!,1))</f>
        <v>#REF!</v>
      </c>
      <c r="AD1414" s="4" t="e">
        <f>InsurerSize(#REF!)</f>
        <v>#VALUE!</v>
      </c>
      <c r="AE1414" s="4" t="e">
        <f t="shared" si="34"/>
        <v>#VALUE!</v>
      </c>
    </row>
    <row r="1415" spans="8:31" x14ac:dyDescent="0.2"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AC1415" t="e">
        <f ca="1">RANK(AB1415,OFFSET($AB$2,0,0,#REF!,1))</f>
        <v>#REF!</v>
      </c>
      <c r="AD1415" s="4" t="e">
        <f>InsurerSize(#REF!)</f>
        <v>#VALUE!</v>
      </c>
      <c r="AE1415" s="4" t="e">
        <f t="shared" si="34"/>
        <v>#VALUE!</v>
      </c>
    </row>
    <row r="1416" spans="8:31" x14ac:dyDescent="0.2"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AC1416" t="e">
        <f ca="1">RANK(AB1416,OFFSET($AB$2,0,0,#REF!,1))</f>
        <v>#REF!</v>
      </c>
      <c r="AD1416" s="4" t="e">
        <f>InsurerSize(#REF!)</f>
        <v>#VALUE!</v>
      </c>
      <c r="AE1416" s="4" t="e">
        <f t="shared" si="34"/>
        <v>#VALUE!</v>
      </c>
    </row>
    <row r="1417" spans="8:31" x14ac:dyDescent="0.2"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AC1417" t="e">
        <f ca="1">RANK(AB1417,OFFSET($AB$2,0,0,#REF!,1))</f>
        <v>#REF!</v>
      </c>
      <c r="AD1417" s="4" t="e">
        <f>InsurerSize(#REF!)</f>
        <v>#VALUE!</v>
      </c>
      <c r="AE1417" s="4" t="e">
        <f t="shared" si="34"/>
        <v>#VALUE!</v>
      </c>
    </row>
    <row r="1418" spans="8:31" x14ac:dyDescent="0.2"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AC1418" t="e">
        <f ca="1">RANK(AB1418,OFFSET($AB$2,0,0,#REF!,1))</f>
        <v>#REF!</v>
      </c>
      <c r="AD1418" s="4" t="e">
        <f>InsurerSize(#REF!)</f>
        <v>#VALUE!</v>
      </c>
      <c r="AE1418" s="4" t="e">
        <f t="shared" si="34"/>
        <v>#VALUE!</v>
      </c>
    </row>
    <row r="1419" spans="8:31" x14ac:dyDescent="0.2"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AC1419" t="e">
        <f ca="1">RANK(AB1419,OFFSET($AB$2,0,0,#REF!,1))</f>
        <v>#REF!</v>
      </c>
      <c r="AD1419" s="4" t="e">
        <f>InsurerSize(#REF!)</f>
        <v>#VALUE!</v>
      </c>
      <c r="AE1419" s="4" t="e">
        <f t="shared" si="34"/>
        <v>#VALUE!</v>
      </c>
    </row>
    <row r="1420" spans="8:31" x14ac:dyDescent="0.2"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AC1420" t="e">
        <f ca="1">RANK(AB1420,OFFSET($AB$2,0,0,#REF!,1))</f>
        <v>#REF!</v>
      </c>
      <c r="AD1420" s="4" t="e">
        <f>InsurerSize(#REF!)</f>
        <v>#VALUE!</v>
      </c>
      <c r="AE1420" s="4" t="e">
        <f t="shared" si="34"/>
        <v>#VALUE!</v>
      </c>
    </row>
    <row r="1421" spans="8:31" x14ac:dyDescent="0.2"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AC1421" t="e">
        <f ca="1">RANK(AB1421,OFFSET($AB$2,0,0,#REF!,1))</f>
        <v>#REF!</v>
      </c>
      <c r="AD1421" s="4" t="e">
        <f>InsurerSize(#REF!)</f>
        <v>#VALUE!</v>
      </c>
      <c r="AE1421" s="4" t="e">
        <f t="shared" si="34"/>
        <v>#VALUE!</v>
      </c>
    </row>
    <row r="1422" spans="8:31" x14ac:dyDescent="0.2"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AC1422" t="e">
        <f ca="1">RANK(AB1422,OFFSET($AB$2,0,0,#REF!,1))</f>
        <v>#REF!</v>
      </c>
      <c r="AD1422" s="4" t="e">
        <f>InsurerSize(#REF!)</f>
        <v>#VALUE!</v>
      </c>
      <c r="AE1422" s="4" t="e">
        <f t="shared" si="34"/>
        <v>#VALUE!</v>
      </c>
    </row>
    <row r="1423" spans="8:31" x14ac:dyDescent="0.2"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AC1423" t="e">
        <f ca="1">RANK(AB1423,OFFSET($AB$2,0,0,#REF!,1))</f>
        <v>#REF!</v>
      </c>
      <c r="AD1423" s="4" t="e">
        <f>InsurerSize(#REF!)</f>
        <v>#VALUE!</v>
      </c>
      <c r="AE1423" s="4" t="e">
        <f t="shared" si="34"/>
        <v>#VALUE!</v>
      </c>
    </row>
    <row r="1424" spans="8:31" x14ac:dyDescent="0.2"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AC1424" t="e">
        <f ca="1">RANK(AB1424,OFFSET($AB$2,0,0,#REF!,1))</f>
        <v>#REF!</v>
      </c>
      <c r="AD1424" s="4" t="e">
        <f>InsurerSize(#REF!)</f>
        <v>#VALUE!</v>
      </c>
      <c r="AE1424" s="4" t="e">
        <f t="shared" si="34"/>
        <v>#VALUE!</v>
      </c>
    </row>
    <row r="1425" spans="8:31" x14ac:dyDescent="0.2"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AC1425" t="e">
        <f ca="1">RANK(AB1425,OFFSET($AB$2,0,0,#REF!,1))</f>
        <v>#REF!</v>
      </c>
      <c r="AD1425" s="4" t="e">
        <f>InsurerSize(#REF!)</f>
        <v>#VALUE!</v>
      </c>
      <c r="AE1425" s="4" t="e">
        <f t="shared" si="34"/>
        <v>#VALUE!</v>
      </c>
    </row>
    <row r="1426" spans="8:31" x14ac:dyDescent="0.2"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AC1426" t="e">
        <f ca="1">RANK(AB1426,OFFSET($AB$2,0,0,#REF!,1))</f>
        <v>#REF!</v>
      </c>
      <c r="AD1426" s="4" t="e">
        <f>InsurerSize(#REF!)</f>
        <v>#VALUE!</v>
      </c>
      <c r="AE1426" s="4" t="e">
        <f t="shared" si="34"/>
        <v>#VALUE!</v>
      </c>
    </row>
    <row r="1427" spans="8:31" x14ac:dyDescent="0.2"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AC1427" t="e">
        <f ca="1">RANK(AB1427,OFFSET($AB$2,0,0,#REF!,1))</f>
        <v>#REF!</v>
      </c>
      <c r="AD1427" s="4" t="e">
        <f>InsurerSize(#REF!)</f>
        <v>#VALUE!</v>
      </c>
      <c r="AE1427" s="4" t="e">
        <f t="shared" si="34"/>
        <v>#VALUE!</v>
      </c>
    </row>
    <row r="1428" spans="8:31" x14ac:dyDescent="0.2"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AC1428" t="e">
        <f ca="1">RANK(AB1428,OFFSET($AB$2,0,0,#REF!,1))</f>
        <v>#REF!</v>
      </c>
      <c r="AD1428" s="4" t="e">
        <f>InsurerSize(#REF!)</f>
        <v>#VALUE!</v>
      </c>
      <c r="AE1428" s="4" t="e">
        <f t="shared" si="34"/>
        <v>#VALUE!</v>
      </c>
    </row>
    <row r="1429" spans="8:31" x14ac:dyDescent="0.2"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AC1429" t="e">
        <f ca="1">RANK(AB1429,OFFSET($AB$2,0,0,#REF!,1))</f>
        <v>#REF!</v>
      </c>
      <c r="AD1429" s="4" t="e">
        <f>InsurerSize(#REF!)</f>
        <v>#VALUE!</v>
      </c>
      <c r="AE1429" s="4" t="e">
        <f t="shared" si="34"/>
        <v>#VALUE!</v>
      </c>
    </row>
    <row r="1430" spans="8:31" x14ac:dyDescent="0.2"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AC1430" t="e">
        <f ca="1">RANK(AB1430,OFFSET($AB$2,0,0,#REF!,1))</f>
        <v>#REF!</v>
      </c>
      <c r="AD1430" s="4" t="e">
        <f>InsurerSize(#REF!)</f>
        <v>#VALUE!</v>
      </c>
      <c r="AE1430" s="4" t="e">
        <f t="shared" si="34"/>
        <v>#VALUE!</v>
      </c>
    </row>
    <row r="1431" spans="8:31" x14ac:dyDescent="0.2"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AC1431" t="e">
        <f ca="1">RANK(AB1431,OFFSET($AB$2,0,0,#REF!,1))</f>
        <v>#REF!</v>
      </c>
      <c r="AD1431" s="4" t="e">
        <f>InsurerSize(#REF!)</f>
        <v>#VALUE!</v>
      </c>
      <c r="AE1431" s="4" t="e">
        <f t="shared" si="34"/>
        <v>#VALUE!</v>
      </c>
    </row>
    <row r="1432" spans="8:31" x14ac:dyDescent="0.2"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AC1432" t="e">
        <f ca="1">RANK(AB1432,OFFSET($AB$2,0,0,#REF!,1))</f>
        <v>#REF!</v>
      </c>
      <c r="AD1432" s="4" t="e">
        <f>InsurerSize(#REF!)</f>
        <v>#VALUE!</v>
      </c>
      <c r="AE1432" s="4" t="e">
        <f t="shared" si="34"/>
        <v>#VALUE!</v>
      </c>
    </row>
    <row r="1433" spans="8:31" x14ac:dyDescent="0.2"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AC1433" t="e">
        <f ca="1">RANK(AB1433,OFFSET($AB$2,0,0,#REF!,1))</f>
        <v>#REF!</v>
      </c>
      <c r="AD1433" s="4" t="e">
        <f>InsurerSize(#REF!)</f>
        <v>#VALUE!</v>
      </c>
      <c r="AE1433" s="4" t="e">
        <f t="shared" si="34"/>
        <v>#VALUE!</v>
      </c>
    </row>
    <row r="1434" spans="8:31" x14ac:dyDescent="0.2"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AC1434" t="e">
        <f ca="1">RANK(AB1434,OFFSET($AB$2,0,0,#REF!,1))</f>
        <v>#REF!</v>
      </c>
      <c r="AD1434" s="4" t="e">
        <f>InsurerSize(#REF!)</f>
        <v>#VALUE!</v>
      </c>
      <c r="AE1434" s="4" t="e">
        <f t="shared" si="34"/>
        <v>#VALUE!</v>
      </c>
    </row>
    <row r="1435" spans="8:31" x14ac:dyDescent="0.2"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AC1435" t="e">
        <f ca="1">RANK(AB1435,OFFSET($AB$2,0,0,#REF!,1))</f>
        <v>#REF!</v>
      </c>
      <c r="AD1435" s="4" t="e">
        <f>InsurerSize(#REF!)</f>
        <v>#VALUE!</v>
      </c>
      <c r="AE1435" s="4" t="e">
        <f t="shared" si="34"/>
        <v>#VALUE!</v>
      </c>
    </row>
    <row r="1436" spans="8:31" x14ac:dyDescent="0.2"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AC1436" t="e">
        <f ca="1">RANK(AB1436,OFFSET($AB$2,0,0,#REF!,1))</f>
        <v>#REF!</v>
      </c>
      <c r="AD1436" s="4" t="e">
        <f>InsurerSize(#REF!)</f>
        <v>#VALUE!</v>
      </c>
      <c r="AE1436" s="4" t="e">
        <f t="shared" si="34"/>
        <v>#VALUE!</v>
      </c>
    </row>
    <row r="1437" spans="8:31" x14ac:dyDescent="0.2"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AC1437" t="e">
        <f ca="1">RANK(AB1437,OFFSET($AB$2,0,0,#REF!,1))</f>
        <v>#REF!</v>
      </c>
      <c r="AD1437" s="4" t="e">
        <f>InsurerSize(#REF!)</f>
        <v>#VALUE!</v>
      </c>
      <c r="AE1437" s="4" t="e">
        <f t="shared" si="34"/>
        <v>#VALUE!</v>
      </c>
    </row>
    <row r="1438" spans="8:31" x14ac:dyDescent="0.2"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AC1438" t="e">
        <f ca="1">RANK(AB1438,OFFSET($AB$2,0,0,#REF!,1))</f>
        <v>#REF!</v>
      </c>
      <c r="AD1438" s="4" t="e">
        <f>InsurerSize(#REF!)</f>
        <v>#VALUE!</v>
      </c>
      <c r="AE1438" s="4" t="e">
        <f t="shared" si="34"/>
        <v>#VALUE!</v>
      </c>
    </row>
    <row r="1439" spans="8:31" x14ac:dyDescent="0.2"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AC1439" t="e">
        <f ca="1">RANK(AB1439,OFFSET($AB$2,0,0,#REF!,1))</f>
        <v>#REF!</v>
      </c>
      <c r="AD1439" s="4" t="e">
        <f>InsurerSize(#REF!)</f>
        <v>#VALUE!</v>
      </c>
      <c r="AE1439" s="4" t="e">
        <f t="shared" si="34"/>
        <v>#VALUE!</v>
      </c>
    </row>
    <row r="1440" spans="8:31" x14ac:dyDescent="0.2"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AC1440" t="e">
        <f ca="1">RANK(AB1440,OFFSET($AB$2,0,0,#REF!,1))</f>
        <v>#REF!</v>
      </c>
      <c r="AD1440" s="4" t="e">
        <f>InsurerSize(#REF!)</f>
        <v>#VALUE!</v>
      </c>
      <c r="AE1440" s="4" t="e">
        <f t="shared" si="34"/>
        <v>#VALUE!</v>
      </c>
    </row>
    <row r="1441" spans="8:31" x14ac:dyDescent="0.2"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AC1441" t="e">
        <f ca="1">RANK(AB1441,OFFSET($AB$2,0,0,#REF!,1))</f>
        <v>#REF!</v>
      </c>
      <c r="AD1441" s="4" t="e">
        <f>InsurerSize(#REF!)</f>
        <v>#VALUE!</v>
      </c>
      <c r="AE1441" s="4" t="e">
        <f t="shared" si="34"/>
        <v>#VALUE!</v>
      </c>
    </row>
    <row r="1442" spans="8:31" x14ac:dyDescent="0.2"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AC1442" t="e">
        <f ca="1">RANK(AB1442,OFFSET($AB$2,0,0,#REF!,1))</f>
        <v>#REF!</v>
      </c>
      <c r="AD1442" s="4" t="e">
        <f>InsurerSize(#REF!)</f>
        <v>#VALUE!</v>
      </c>
      <c r="AE1442" s="4" t="e">
        <f t="shared" si="34"/>
        <v>#VALUE!</v>
      </c>
    </row>
    <row r="1443" spans="8:31" x14ac:dyDescent="0.2"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AC1443" t="e">
        <f ca="1">RANK(AB1443,OFFSET($AB$2,0,0,#REF!,1))</f>
        <v>#REF!</v>
      </c>
      <c r="AD1443" s="4" t="e">
        <f>InsurerSize(#REF!)</f>
        <v>#VALUE!</v>
      </c>
      <c r="AE1443" s="4" t="e">
        <f t="shared" si="34"/>
        <v>#VALUE!</v>
      </c>
    </row>
    <row r="1444" spans="8:31" x14ac:dyDescent="0.2"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AC1444" t="e">
        <f ca="1">RANK(AB1444,OFFSET($AB$2,0,0,#REF!,1))</f>
        <v>#REF!</v>
      </c>
      <c r="AD1444" s="4" t="e">
        <f>InsurerSize(#REF!)</f>
        <v>#VALUE!</v>
      </c>
      <c r="AE1444" s="4" t="e">
        <f t="shared" si="34"/>
        <v>#VALUE!</v>
      </c>
    </row>
    <row r="1445" spans="8:31" x14ac:dyDescent="0.2"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AC1445" t="e">
        <f ca="1">RANK(AB1445,OFFSET($AB$2,0,0,#REF!,1))</f>
        <v>#REF!</v>
      </c>
      <c r="AD1445" s="4" t="e">
        <f>InsurerSize(#REF!)</f>
        <v>#VALUE!</v>
      </c>
      <c r="AE1445" s="4" t="e">
        <f t="shared" si="34"/>
        <v>#VALUE!</v>
      </c>
    </row>
    <row r="1446" spans="8:31" x14ac:dyDescent="0.2"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AC1446" t="e">
        <f ca="1">RANK(AB1446,OFFSET($AB$2,0,0,#REF!,1))</f>
        <v>#REF!</v>
      </c>
      <c r="AD1446" s="4" t="e">
        <f>InsurerSize(#REF!)</f>
        <v>#VALUE!</v>
      </c>
      <c r="AE1446" s="4" t="e">
        <f t="shared" si="34"/>
        <v>#VALUE!</v>
      </c>
    </row>
    <row r="1447" spans="8:31" x14ac:dyDescent="0.2"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AC1447" t="e">
        <f ca="1">RANK(AB1447,OFFSET($AB$2,0,0,#REF!,1))</f>
        <v>#REF!</v>
      </c>
      <c r="AD1447" s="4" t="e">
        <f>InsurerSize(#REF!)</f>
        <v>#VALUE!</v>
      </c>
      <c r="AE1447" s="4" t="e">
        <f t="shared" si="34"/>
        <v>#VALUE!</v>
      </c>
    </row>
    <row r="1448" spans="8:31" x14ac:dyDescent="0.2"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AC1448" t="e">
        <f ca="1">RANK(AB1448,OFFSET($AB$2,0,0,#REF!,1))</f>
        <v>#REF!</v>
      </c>
      <c r="AD1448" s="4" t="e">
        <f>InsurerSize(#REF!)</f>
        <v>#VALUE!</v>
      </c>
      <c r="AE1448" s="4" t="e">
        <f t="shared" si="34"/>
        <v>#VALUE!</v>
      </c>
    </row>
    <row r="1449" spans="8:31" x14ac:dyDescent="0.2"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AC1449" t="e">
        <f ca="1">RANK(AB1449,OFFSET($AB$2,0,0,#REF!,1))</f>
        <v>#REF!</v>
      </c>
      <c r="AD1449" s="4" t="e">
        <f>InsurerSize(#REF!)</f>
        <v>#VALUE!</v>
      </c>
      <c r="AE1449" s="4" t="e">
        <f t="shared" si="34"/>
        <v>#VALUE!</v>
      </c>
    </row>
    <row r="1450" spans="8:31" x14ac:dyDescent="0.2"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AC1450" t="e">
        <f ca="1">RANK(AB1450,OFFSET($AB$2,0,0,#REF!,1))</f>
        <v>#REF!</v>
      </c>
      <c r="AD1450" s="4" t="e">
        <f>InsurerSize(#REF!)</f>
        <v>#VALUE!</v>
      </c>
      <c r="AE1450" s="4" t="e">
        <f t="shared" si="34"/>
        <v>#VALUE!</v>
      </c>
    </row>
    <row r="1451" spans="8:31" x14ac:dyDescent="0.2"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AC1451" t="e">
        <f ca="1">RANK(AB1451,OFFSET($AB$2,0,0,#REF!,1))</f>
        <v>#REF!</v>
      </c>
      <c r="AD1451" s="4" t="e">
        <f>InsurerSize(#REF!)</f>
        <v>#VALUE!</v>
      </c>
      <c r="AE1451" s="4" t="e">
        <f t="shared" si="34"/>
        <v>#VALUE!</v>
      </c>
    </row>
    <row r="1452" spans="8:31" x14ac:dyDescent="0.2"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AC1452" t="e">
        <f ca="1">RANK(AB1452,OFFSET($AB$2,0,0,#REF!,1))</f>
        <v>#REF!</v>
      </c>
      <c r="AD1452" s="4" t="e">
        <f>InsurerSize(#REF!)</f>
        <v>#VALUE!</v>
      </c>
      <c r="AE1452" s="4" t="e">
        <f t="shared" si="34"/>
        <v>#VALUE!</v>
      </c>
    </row>
    <row r="1453" spans="8:31" x14ac:dyDescent="0.2"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AC1453" t="e">
        <f ca="1">RANK(AB1453,OFFSET($AB$2,0,0,#REF!,1))</f>
        <v>#REF!</v>
      </c>
      <c r="AD1453" s="4" t="e">
        <f>InsurerSize(#REF!)</f>
        <v>#VALUE!</v>
      </c>
      <c r="AE1453" s="4" t="e">
        <f t="shared" si="34"/>
        <v>#VALUE!</v>
      </c>
    </row>
    <row r="1454" spans="8:31" x14ac:dyDescent="0.2"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AC1454" t="e">
        <f ca="1">RANK(AB1454,OFFSET($AB$2,0,0,#REF!,1))</f>
        <v>#REF!</v>
      </c>
      <c r="AD1454" s="4" t="e">
        <f>InsurerSize(#REF!)</f>
        <v>#VALUE!</v>
      </c>
      <c r="AE1454" s="4" t="e">
        <f t="shared" si="34"/>
        <v>#VALUE!</v>
      </c>
    </row>
    <row r="1455" spans="8:31" x14ac:dyDescent="0.2"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AC1455" t="e">
        <f ca="1">RANK(AB1455,OFFSET($AB$2,0,0,#REF!,1))</f>
        <v>#REF!</v>
      </c>
      <c r="AD1455" s="4" t="e">
        <f>InsurerSize(#REF!)</f>
        <v>#VALUE!</v>
      </c>
      <c r="AE1455" s="4" t="e">
        <f t="shared" si="34"/>
        <v>#VALUE!</v>
      </c>
    </row>
    <row r="1456" spans="8:31" x14ac:dyDescent="0.2"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AC1456" t="e">
        <f ca="1">RANK(AB1456,OFFSET($AB$2,0,0,#REF!,1))</f>
        <v>#REF!</v>
      </c>
      <c r="AD1456" s="4" t="e">
        <f>InsurerSize(#REF!)</f>
        <v>#VALUE!</v>
      </c>
      <c r="AE1456" s="4" t="e">
        <f t="shared" si="34"/>
        <v>#VALUE!</v>
      </c>
    </row>
    <row r="1457" spans="8:31" x14ac:dyDescent="0.2"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AC1457" t="e">
        <f ca="1">RANK(AB1457,OFFSET($AB$2,0,0,#REF!,1))</f>
        <v>#REF!</v>
      </c>
      <c r="AD1457" s="4" t="e">
        <f>InsurerSize(#REF!)</f>
        <v>#VALUE!</v>
      </c>
      <c r="AE1457" s="4" t="e">
        <f t="shared" si="34"/>
        <v>#VALUE!</v>
      </c>
    </row>
    <row r="1458" spans="8:31" x14ac:dyDescent="0.2"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AC1458" t="e">
        <f ca="1">RANK(AB1458,OFFSET($AB$2,0,0,#REF!,1))</f>
        <v>#REF!</v>
      </c>
      <c r="AD1458" s="4" t="e">
        <f>InsurerSize(#REF!)</f>
        <v>#VALUE!</v>
      </c>
      <c r="AE1458" s="4" t="e">
        <f t="shared" si="34"/>
        <v>#VALUE!</v>
      </c>
    </row>
    <row r="1459" spans="8:31" x14ac:dyDescent="0.2"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AC1459" t="e">
        <f ca="1">RANK(AB1459,OFFSET($AB$2,0,0,#REF!,1))</f>
        <v>#REF!</v>
      </c>
      <c r="AD1459" s="4" t="e">
        <f>InsurerSize(#REF!)</f>
        <v>#VALUE!</v>
      </c>
      <c r="AE1459" s="4" t="e">
        <f t="shared" si="34"/>
        <v>#VALUE!</v>
      </c>
    </row>
    <row r="1460" spans="8:31" x14ac:dyDescent="0.2"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AC1460" t="e">
        <f ca="1">RANK(AB1460,OFFSET($AB$2,0,0,#REF!,1))</f>
        <v>#REF!</v>
      </c>
      <c r="AD1460" s="4" t="e">
        <f>InsurerSize(#REF!)</f>
        <v>#VALUE!</v>
      </c>
      <c r="AE1460" s="4" t="e">
        <f t="shared" si="34"/>
        <v>#VALUE!</v>
      </c>
    </row>
    <row r="1461" spans="8:31" x14ac:dyDescent="0.2"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AC1461" t="e">
        <f ca="1">RANK(AB1461,OFFSET($AB$2,0,0,#REF!,1))</f>
        <v>#REF!</v>
      </c>
      <c r="AD1461" s="4" t="e">
        <f>InsurerSize(#REF!)</f>
        <v>#VALUE!</v>
      </c>
      <c r="AE1461" s="4" t="e">
        <f t="shared" si="34"/>
        <v>#VALUE!</v>
      </c>
    </row>
    <row r="1462" spans="8:31" x14ac:dyDescent="0.2"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AC1462" t="e">
        <f ca="1">RANK(AB1462,OFFSET($AB$2,0,0,#REF!,1))</f>
        <v>#REF!</v>
      </c>
      <c r="AD1462" s="4" t="e">
        <f>InsurerSize(#REF!)</f>
        <v>#VALUE!</v>
      </c>
      <c r="AE1462" s="4" t="e">
        <f t="shared" si="34"/>
        <v>#VALUE!</v>
      </c>
    </row>
    <row r="1463" spans="8:31" x14ac:dyDescent="0.2"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AC1463" t="e">
        <f ca="1">RANK(AB1463,OFFSET($AB$2,0,0,#REF!,1))</f>
        <v>#REF!</v>
      </c>
      <c r="AD1463" s="4" t="e">
        <f>InsurerSize(#REF!)</f>
        <v>#VALUE!</v>
      </c>
      <c r="AE1463" s="4" t="e">
        <f t="shared" si="34"/>
        <v>#VALUE!</v>
      </c>
    </row>
    <row r="1464" spans="8:31" x14ac:dyDescent="0.2"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AC1464" t="e">
        <f ca="1">RANK(AB1464,OFFSET($AB$2,0,0,#REF!,1))</f>
        <v>#REF!</v>
      </c>
      <c r="AD1464" s="4" t="e">
        <f>InsurerSize(#REF!)</f>
        <v>#VALUE!</v>
      </c>
      <c r="AE1464" s="4" t="e">
        <f t="shared" si="34"/>
        <v>#VALUE!</v>
      </c>
    </row>
    <row r="1465" spans="8:31" x14ac:dyDescent="0.2"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AC1465" t="e">
        <f ca="1">RANK(AB1465,OFFSET($AB$2,0,0,#REF!,1))</f>
        <v>#REF!</v>
      </c>
      <c r="AD1465" s="4" t="e">
        <f>InsurerSize(#REF!)</f>
        <v>#VALUE!</v>
      </c>
      <c r="AE1465" s="4" t="e">
        <f t="shared" si="34"/>
        <v>#VALUE!</v>
      </c>
    </row>
    <row r="1466" spans="8:31" x14ac:dyDescent="0.2"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AC1466" t="e">
        <f ca="1">RANK(AB1466,OFFSET($AB$2,0,0,#REF!,1))</f>
        <v>#REF!</v>
      </c>
      <c r="AD1466" s="4" t="e">
        <f>InsurerSize(#REF!)</f>
        <v>#VALUE!</v>
      </c>
      <c r="AE1466" s="4" t="e">
        <f t="shared" si="34"/>
        <v>#VALUE!</v>
      </c>
    </row>
    <row r="1467" spans="8:31" x14ac:dyDescent="0.2"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AC1467" t="e">
        <f ca="1">RANK(AB1467,OFFSET($AB$2,0,0,#REF!,1))</f>
        <v>#REF!</v>
      </c>
      <c r="AD1467" s="4" t="e">
        <f>InsurerSize(#REF!)</f>
        <v>#VALUE!</v>
      </c>
      <c r="AE1467" s="4" t="e">
        <f t="shared" si="34"/>
        <v>#VALUE!</v>
      </c>
    </row>
    <row r="1468" spans="8:31" x14ac:dyDescent="0.2"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AC1468" t="e">
        <f ca="1">RANK(AB1468,OFFSET($AB$2,0,0,#REF!,1))</f>
        <v>#REF!</v>
      </c>
      <c r="AD1468" s="4" t="e">
        <f>InsurerSize(#REF!)</f>
        <v>#VALUE!</v>
      </c>
      <c r="AE1468" s="4" t="e">
        <f t="shared" si="34"/>
        <v>#VALUE!</v>
      </c>
    </row>
    <row r="1469" spans="8:31" x14ac:dyDescent="0.2"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AC1469" t="e">
        <f ca="1">RANK(AB1469,OFFSET($AB$2,0,0,#REF!,1))</f>
        <v>#REF!</v>
      </c>
      <c r="AD1469" s="4" t="e">
        <f>InsurerSize(#REF!)</f>
        <v>#VALUE!</v>
      </c>
      <c r="AE1469" s="4" t="e">
        <f t="shared" si="34"/>
        <v>#VALUE!</v>
      </c>
    </row>
    <row r="1470" spans="8:31" x14ac:dyDescent="0.2"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AC1470" t="e">
        <f ca="1">RANK(AB1470,OFFSET($AB$2,0,0,#REF!,1))</f>
        <v>#REF!</v>
      </c>
      <c r="AD1470" s="4" t="e">
        <f>InsurerSize(#REF!)</f>
        <v>#VALUE!</v>
      </c>
      <c r="AE1470" s="4" t="e">
        <f t="shared" si="34"/>
        <v>#VALUE!</v>
      </c>
    </row>
    <row r="1471" spans="8:31" x14ac:dyDescent="0.2"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AC1471" t="e">
        <f ca="1">RANK(AB1471,OFFSET($AB$2,0,0,#REF!,1))</f>
        <v>#REF!</v>
      </c>
      <c r="AD1471" s="4" t="e">
        <f>InsurerSize(#REF!)</f>
        <v>#VALUE!</v>
      </c>
      <c r="AE1471" s="4" t="e">
        <f t="shared" si="34"/>
        <v>#VALUE!</v>
      </c>
    </row>
    <row r="1472" spans="8:31" x14ac:dyDescent="0.2"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AC1472" t="e">
        <f ca="1">RANK(AB1472,OFFSET($AB$2,0,0,#REF!,1))</f>
        <v>#REF!</v>
      </c>
      <c r="AD1472" s="4" t="e">
        <f>InsurerSize(#REF!)</f>
        <v>#VALUE!</v>
      </c>
      <c r="AE1472" s="4" t="e">
        <f t="shared" si="34"/>
        <v>#VALUE!</v>
      </c>
    </row>
    <row r="1473" spans="8:31" x14ac:dyDescent="0.2"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AC1473" t="e">
        <f ca="1">RANK(AB1473,OFFSET($AB$2,0,0,#REF!,1))</f>
        <v>#REF!</v>
      </c>
      <c r="AD1473" s="4" t="e">
        <f>InsurerSize(#REF!)</f>
        <v>#VALUE!</v>
      </c>
      <c r="AE1473" s="4" t="e">
        <f t="shared" si="34"/>
        <v>#VALUE!</v>
      </c>
    </row>
    <row r="1474" spans="8:31" x14ac:dyDescent="0.2"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AC1474" t="e">
        <f ca="1">RANK(AB1474,OFFSET($AB$2,0,0,#REF!,1))</f>
        <v>#REF!</v>
      </c>
      <c r="AD1474" s="4" t="e">
        <f>InsurerSize(#REF!)</f>
        <v>#VALUE!</v>
      </c>
      <c r="AE1474" s="4" t="e">
        <f t="shared" ref="AE1474:AE1537" si="35">A1474&amp;AD1474</f>
        <v>#VALUE!</v>
      </c>
    </row>
    <row r="1475" spans="8:31" x14ac:dyDescent="0.2"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AC1475" t="e">
        <f ca="1">RANK(AB1475,OFFSET($AB$2,0,0,#REF!,1))</f>
        <v>#REF!</v>
      </c>
      <c r="AD1475" s="4" t="e">
        <f>InsurerSize(#REF!)</f>
        <v>#VALUE!</v>
      </c>
      <c r="AE1475" s="4" t="e">
        <f t="shared" si="35"/>
        <v>#VALUE!</v>
      </c>
    </row>
    <row r="1476" spans="8:31" x14ac:dyDescent="0.2"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AC1476" t="e">
        <f ca="1">RANK(AB1476,OFFSET($AB$2,0,0,#REF!,1))</f>
        <v>#REF!</v>
      </c>
      <c r="AD1476" s="4" t="e">
        <f>InsurerSize(#REF!)</f>
        <v>#VALUE!</v>
      </c>
      <c r="AE1476" s="4" t="e">
        <f t="shared" si="35"/>
        <v>#VALUE!</v>
      </c>
    </row>
    <row r="1477" spans="8:31" x14ac:dyDescent="0.2"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AC1477" t="e">
        <f ca="1">RANK(AB1477,OFFSET($AB$2,0,0,#REF!,1))</f>
        <v>#REF!</v>
      </c>
      <c r="AD1477" s="4" t="e">
        <f>InsurerSize(#REF!)</f>
        <v>#VALUE!</v>
      </c>
      <c r="AE1477" s="4" t="e">
        <f t="shared" si="35"/>
        <v>#VALUE!</v>
      </c>
    </row>
    <row r="1478" spans="8:31" x14ac:dyDescent="0.2"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AC1478" t="e">
        <f ca="1">RANK(AB1478,OFFSET($AB$2,0,0,#REF!,1))</f>
        <v>#REF!</v>
      </c>
      <c r="AD1478" s="4" t="e">
        <f>InsurerSize(#REF!)</f>
        <v>#VALUE!</v>
      </c>
      <c r="AE1478" s="4" t="e">
        <f t="shared" si="35"/>
        <v>#VALUE!</v>
      </c>
    </row>
    <row r="1479" spans="8:31" x14ac:dyDescent="0.2"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AC1479" t="e">
        <f ca="1">RANK(AB1479,OFFSET($AB$2,0,0,#REF!,1))</f>
        <v>#REF!</v>
      </c>
      <c r="AD1479" s="4" t="e">
        <f>InsurerSize(#REF!)</f>
        <v>#VALUE!</v>
      </c>
      <c r="AE1479" s="4" t="e">
        <f t="shared" si="35"/>
        <v>#VALUE!</v>
      </c>
    </row>
    <row r="1480" spans="8:31" x14ac:dyDescent="0.2"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AC1480" t="e">
        <f ca="1">RANK(AB1480,OFFSET($AB$2,0,0,#REF!,1))</f>
        <v>#REF!</v>
      </c>
      <c r="AD1480" s="4" t="e">
        <f>InsurerSize(#REF!)</f>
        <v>#VALUE!</v>
      </c>
      <c r="AE1480" s="4" t="e">
        <f t="shared" si="35"/>
        <v>#VALUE!</v>
      </c>
    </row>
    <row r="1481" spans="8:31" x14ac:dyDescent="0.2"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AC1481" t="e">
        <f ca="1">RANK(AB1481,OFFSET($AB$2,0,0,#REF!,1))</f>
        <v>#REF!</v>
      </c>
      <c r="AD1481" s="4" t="e">
        <f>InsurerSize(#REF!)</f>
        <v>#VALUE!</v>
      </c>
      <c r="AE1481" s="4" t="e">
        <f t="shared" si="35"/>
        <v>#VALUE!</v>
      </c>
    </row>
    <row r="1482" spans="8:31" x14ac:dyDescent="0.2"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AC1482" t="e">
        <f ca="1">RANK(AB1482,OFFSET($AB$2,0,0,#REF!,1))</f>
        <v>#REF!</v>
      </c>
      <c r="AD1482" s="4" t="e">
        <f>InsurerSize(#REF!)</f>
        <v>#VALUE!</v>
      </c>
      <c r="AE1482" s="4" t="e">
        <f t="shared" si="35"/>
        <v>#VALUE!</v>
      </c>
    </row>
    <row r="1483" spans="8:31" x14ac:dyDescent="0.2"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AC1483" t="e">
        <f ca="1">RANK(AB1483,OFFSET($AB$2,0,0,#REF!,1))</f>
        <v>#REF!</v>
      </c>
      <c r="AD1483" s="4" t="e">
        <f>InsurerSize(#REF!)</f>
        <v>#VALUE!</v>
      </c>
      <c r="AE1483" s="4" t="e">
        <f t="shared" si="35"/>
        <v>#VALUE!</v>
      </c>
    </row>
    <row r="1484" spans="8:31" x14ac:dyDescent="0.2"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AC1484" t="e">
        <f ca="1">RANK(AB1484,OFFSET($AB$2,0,0,#REF!,1))</f>
        <v>#REF!</v>
      </c>
      <c r="AD1484" s="4" t="e">
        <f>InsurerSize(#REF!)</f>
        <v>#VALUE!</v>
      </c>
      <c r="AE1484" s="4" t="e">
        <f t="shared" si="35"/>
        <v>#VALUE!</v>
      </c>
    </row>
    <row r="1485" spans="8:31" x14ac:dyDescent="0.2"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AC1485" t="e">
        <f ca="1">RANK(AB1485,OFFSET($AB$2,0,0,#REF!,1))</f>
        <v>#REF!</v>
      </c>
      <c r="AD1485" s="4" t="e">
        <f>InsurerSize(#REF!)</f>
        <v>#VALUE!</v>
      </c>
      <c r="AE1485" s="4" t="e">
        <f t="shared" si="35"/>
        <v>#VALUE!</v>
      </c>
    </row>
    <row r="1486" spans="8:31" x14ac:dyDescent="0.2"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AC1486" t="e">
        <f ca="1">RANK(AB1486,OFFSET($AB$2,0,0,#REF!,1))</f>
        <v>#REF!</v>
      </c>
      <c r="AD1486" s="4" t="e">
        <f>InsurerSize(#REF!)</f>
        <v>#VALUE!</v>
      </c>
      <c r="AE1486" s="4" t="e">
        <f t="shared" si="35"/>
        <v>#VALUE!</v>
      </c>
    </row>
    <row r="1487" spans="8:31" x14ac:dyDescent="0.2"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AC1487" t="e">
        <f ca="1">RANK(AB1487,OFFSET($AB$2,0,0,#REF!,1))</f>
        <v>#REF!</v>
      </c>
      <c r="AD1487" s="4" t="e">
        <f>InsurerSize(#REF!)</f>
        <v>#VALUE!</v>
      </c>
      <c r="AE1487" s="4" t="e">
        <f t="shared" si="35"/>
        <v>#VALUE!</v>
      </c>
    </row>
    <row r="1488" spans="8:31" x14ac:dyDescent="0.2"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AC1488" t="e">
        <f ca="1">RANK(AB1488,OFFSET($AB$2,0,0,#REF!,1))</f>
        <v>#REF!</v>
      </c>
      <c r="AD1488" s="4" t="e">
        <f>InsurerSize(#REF!)</f>
        <v>#VALUE!</v>
      </c>
      <c r="AE1488" s="4" t="e">
        <f t="shared" si="35"/>
        <v>#VALUE!</v>
      </c>
    </row>
    <row r="1489" spans="8:31" x14ac:dyDescent="0.2"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AC1489" t="e">
        <f ca="1">RANK(AB1489,OFFSET($AB$2,0,0,#REF!,1))</f>
        <v>#REF!</v>
      </c>
      <c r="AD1489" s="4" t="e">
        <f>InsurerSize(#REF!)</f>
        <v>#VALUE!</v>
      </c>
      <c r="AE1489" s="4" t="e">
        <f t="shared" si="35"/>
        <v>#VALUE!</v>
      </c>
    </row>
    <row r="1490" spans="8:31" x14ac:dyDescent="0.2"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AC1490" t="e">
        <f ca="1">RANK(AB1490,OFFSET($AB$2,0,0,#REF!,1))</f>
        <v>#REF!</v>
      </c>
      <c r="AD1490" s="4" t="e">
        <f>InsurerSize(#REF!)</f>
        <v>#VALUE!</v>
      </c>
      <c r="AE1490" s="4" t="e">
        <f t="shared" si="35"/>
        <v>#VALUE!</v>
      </c>
    </row>
    <row r="1491" spans="8:31" x14ac:dyDescent="0.2"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AC1491" t="e">
        <f ca="1">RANK(AB1491,OFFSET($AB$2,0,0,#REF!,1))</f>
        <v>#REF!</v>
      </c>
      <c r="AD1491" s="4" t="e">
        <f>InsurerSize(#REF!)</f>
        <v>#VALUE!</v>
      </c>
      <c r="AE1491" s="4" t="e">
        <f t="shared" si="35"/>
        <v>#VALUE!</v>
      </c>
    </row>
    <row r="1492" spans="8:31" x14ac:dyDescent="0.2"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AC1492" t="e">
        <f ca="1">RANK(AB1492,OFFSET($AB$2,0,0,#REF!,1))</f>
        <v>#REF!</v>
      </c>
      <c r="AD1492" s="4" t="e">
        <f>InsurerSize(#REF!)</f>
        <v>#VALUE!</v>
      </c>
      <c r="AE1492" s="4" t="e">
        <f t="shared" si="35"/>
        <v>#VALUE!</v>
      </c>
    </row>
    <row r="1493" spans="8:31" x14ac:dyDescent="0.2"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AC1493" t="e">
        <f ca="1">RANK(AB1493,OFFSET($AB$2,0,0,#REF!,1))</f>
        <v>#REF!</v>
      </c>
      <c r="AD1493" s="4" t="e">
        <f>InsurerSize(#REF!)</f>
        <v>#VALUE!</v>
      </c>
      <c r="AE1493" s="4" t="e">
        <f t="shared" si="35"/>
        <v>#VALUE!</v>
      </c>
    </row>
    <row r="1494" spans="8:31" x14ac:dyDescent="0.2"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AC1494" t="e">
        <f ca="1">RANK(AB1494,OFFSET($AB$2,0,0,#REF!,1))</f>
        <v>#REF!</v>
      </c>
      <c r="AD1494" s="4" t="e">
        <f>InsurerSize(#REF!)</f>
        <v>#VALUE!</v>
      </c>
      <c r="AE1494" s="4" t="e">
        <f t="shared" si="35"/>
        <v>#VALUE!</v>
      </c>
    </row>
    <row r="1495" spans="8:31" x14ac:dyDescent="0.2"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AC1495" t="e">
        <f ca="1">RANK(AB1495,OFFSET($AB$2,0,0,#REF!,1))</f>
        <v>#REF!</v>
      </c>
      <c r="AD1495" s="4" t="e">
        <f>InsurerSize(#REF!)</f>
        <v>#VALUE!</v>
      </c>
      <c r="AE1495" s="4" t="e">
        <f t="shared" si="35"/>
        <v>#VALUE!</v>
      </c>
    </row>
    <row r="1496" spans="8:31" x14ac:dyDescent="0.2"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AC1496" t="e">
        <f ca="1">RANK(AB1496,OFFSET($AB$2,0,0,#REF!,1))</f>
        <v>#REF!</v>
      </c>
      <c r="AD1496" s="4" t="e">
        <f>InsurerSize(#REF!)</f>
        <v>#VALUE!</v>
      </c>
      <c r="AE1496" s="4" t="e">
        <f t="shared" si="35"/>
        <v>#VALUE!</v>
      </c>
    </row>
    <row r="1497" spans="8:31" x14ac:dyDescent="0.2"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AC1497" t="e">
        <f ca="1">RANK(AB1497,OFFSET($AB$2,0,0,#REF!,1))</f>
        <v>#REF!</v>
      </c>
      <c r="AD1497" s="4" t="e">
        <f>InsurerSize(#REF!)</f>
        <v>#VALUE!</v>
      </c>
      <c r="AE1497" s="4" t="e">
        <f t="shared" si="35"/>
        <v>#VALUE!</v>
      </c>
    </row>
    <row r="1498" spans="8:31" x14ac:dyDescent="0.2"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AC1498" t="e">
        <f ca="1">RANK(AB1498,OFFSET($AB$2,0,0,#REF!,1))</f>
        <v>#REF!</v>
      </c>
      <c r="AD1498" s="4" t="e">
        <f>InsurerSize(#REF!)</f>
        <v>#VALUE!</v>
      </c>
      <c r="AE1498" s="4" t="e">
        <f t="shared" si="35"/>
        <v>#VALUE!</v>
      </c>
    </row>
    <row r="1499" spans="8:31" x14ac:dyDescent="0.2"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AC1499" t="e">
        <f ca="1">RANK(AB1499,OFFSET($AB$2,0,0,#REF!,1))</f>
        <v>#REF!</v>
      </c>
      <c r="AD1499" s="4" t="e">
        <f>InsurerSize(#REF!)</f>
        <v>#VALUE!</v>
      </c>
      <c r="AE1499" s="4" t="e">
        <f t="shared" si="35"/>
        <v>#VALUE!</v>
      </c>
    </row>
    <row r="1500" spans="8:31" x14ac:dyDescent="0.2"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AC1500" t="e">
        <f ca="1">RANK(AB1500,OFFSET($AB$2,0,0,#REF!,1))</f>
        <v>#REF!</v>
      </c>
      <c r="AD1500" s="4" t="e">
        <f>InsurerSize(#REF!)</f>
        <v>#VALUE!</v>
      </c>
      <c r="AE1500" s="4" t="e">
        <f t="shared" si="35"/>
        <v>#VALUE!</v>
      </c>
    </row>
    <row r="1501" spans="8:31" x14ac:dyDescent="0.2"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AC1501" t="e">
        <f ca="1">RANK(AB1501,OFFSET($AB$2,0,0,#REF!,1))</f>
        <v>#REF!</v>
      </c>
      <c r="AD1501" s="4" t="e">
        <f>InsurerSize(#REF!)</f>
        <v>#VALUE!</v>
      </c>
      <c r="AE1501" s="4" t="e">
        <f t="shared" si="35"/>
        <v>#VALUE!</v>
      </c>
    </row>
    <row r="1502" spans="8:31" x14ac:dyDescent="0.2"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AC1502" t="e">
        <f ca="1">RANK(AB1502,OFFSET($AB$2,0,0,#REF!,1))</f>
        <v>#REF!</v>
      </c>
      <c r="AD1502" s="4" t="e">
        <f>InsurerSize(#REF!)</f>
        <v>#VALUE!</v>
      </c>
      <c r="AE1502" s="4" t="e">
        <f t="shared" si="35"/>
        <v>#VALUE!</v>
      </c>
    </row>
    <row r="1503" spans="8:31" x14ac:dyDescent="0.2"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AC1503" t="e">
        <f ca="1">RANK(AB1503,OFFSET($AB$2,0,0,#REF!,1))</f>
        <v>#REF!</v>
      </c>
      <c r="AD1503" s="4" t="e">
        <f>InsurerSize(#REF!)</f>
        <v>#VALUE!</v>
      </c>
      <c r="AE1503" s="4" t="e">
        <f t="shared" si="35"/>
        <v>#VALUE!</v>
      </c>
    </row>
    <row r="1504" spans="8:31" x14ac:dyDescent="0.2"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AC1504" t="e">
        <f ca="1">RANK(AB1504,OFFSET($AB$2,0,0,#REF!,1))</f>
        <v>#REF!</v>
      </c>
      <c r="AD1504" s="4" t="e">
        <f>InsurerSize(#REF!)</f>
        <v>#VALUE!</v>
      </c>
      <c r="AE1504" s="4" t="e">
        <f t="shared" si="35"/>
        <v>#VALUE!</v>
      </c>
    </row>
    <row r="1505" spans="8:31" x14ac:dyDescent="0.2"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AC1505" t="e">
        <f ca="1">RANK(AB1505,OFFSET($AB$2,0,0,#REF!,1))</f>
        <v>#REF!</v>
      </c>
      <c r="AD1505" s="4" t="e">
        <f>InsurerSize(#REF!)</f>
        <v>#VALUE!</v>
      </c>
      <c r="AE1505" s="4" t="e">
        <f t="shared" si="35"/>
        <v>#VALUE!</v>
      </c>
    </row>
    <row r="1506" spans="8:31" x14ac:dyDescent="0.2"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AC1506" t="e">
        <f ca="1">RANK(AB1506,OFFSET($AB$2,0,0,#REF!,1))</f>
        <v>#REF!</v>
      </c>
      <c r="AD1506" s="4" t="e">
        <f>InsurerSize(#REF!)</f>
        <v>#VALUE!</v>
      </c>
      <c r="AE1506" s="4" t="e">
        <f t="shared" si="35"/>
        <v>#VALUE!</v>
      </c>
    </row>
    <row r="1507" spans="8:31" x14ac:dyDescent="0.2"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AC1507" t="e">
        <f ca="1">RANK(AB1507,OFFSET($AB$2,0,0,#REF!,1))</f>
        <v>#REF!</v>
      </c>
      <c r="AD1507" s="4" t="e">
        <f>InsurerSize(#REF!)</f>
        <v>#VALUE!</v>
      </c>
      <c r="AE1507" s="4" t="e">
        <f t="shared" si="35"/>
        <v>#VALUE!</v>
      </c>
    </row>
    <row r="1508" spans="8:31" x14ac:dyDescent="0.2"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AC1508" t="e">
        <f ca="1">RANK(AB1508,OFFSET($AB$2,0,0,#REF!,1))</f>
        <v>#REF!</v>
      </c>
      <c r="AD1508" s="4" t="e">
        <f>InsurerSize(#REF!)</f>
        <v>#VALUE!</v>
      </c>
      <c r="AE1508" s="4" t="e">
        <f t="shared" si="35"/>
        <v>#VALUE!</v>
      </c>
    </row>
    <row r="1509" spans="8:31" x14ac:dyDescent="0.2"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AC1509" t="e">
        <f ca="1">RANK(AB1509,OFFSET($AB$2,0,0,#REF!,1))</f>
        <v>#REF!</v>
      </c>
      <c r="AD1509" s="4" t="e">
        <f>InsurerSize(#REF!)</f>
        <v>#VALUE!</v>
      </c>
      <c r="AE1509" s="4" t="e">
        <f t="shared" si="35"/>
        <v>#VALUE!</v>
      </c>
    </row>
    <row r="1510" spans="8:31" x14ac:dyDescent="0.2"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AC1510" t="e">
        <f ca="1">RANK(AB1510,OFFSET($AB$2,0,0,#REF!,1))</f>
        <v>#REF!</v>
      </c>
      <c r="AD1510" s="4" t="e">
        <f>InsurerSize(#REF!)</f>
        <v>#VALUE!</v>
      </c>
      <c r="AE1510" s="4" t="e">
        <f t="shared" si="35"/>
        <v>#VALUE!</v>
      </c>
    </row>
    <row r="1511" spans="8:31" x14ac:dyDescent="0.2"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AC1511" t="e">
        <f ca="1">RANK(AB1511,OFFSET($AB$2,0,0,#REF!,1))</f>
        <v>#REF!</v>
      </c>
      <c r="AD1511" s="4" t="e">
        <f>InsurerSize(#REF!)</f>
        <v>#VALUE!</v>
      </c>
      <c r="AE1511" s="4" t="e">
        <f t="shared" si="35"/>
        <v>#VALUE!</v>
      </c>
    </row>
    <row r="1512" spans="8:31" x14ac:dyDescent="0.2"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AC1512" t="e">
        <f ca="1">RANK(AB1512,OFFSET($AB$2,0,0,#REF!,1))</f>
        <v>#REF!</v>
      </c>
      <c r="AD1512" s="4" t="e">
        <f>InsurerSize(#REF!)</f>
        <v>#VALUE!</v>
      </c>
      <c r="AE1512" s="4" t="e">
        <f t="shared" si="35"/>
        <v>#VALUE!</v>
      </c>
    </row>
    <row r="1513" spans="8:31" x14ac:dyDescent="0.2"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AC1513" t="e">
        <f ca="1">RANK(AB1513,OFFSET($AB$2,0,0,#REF!,1))</f>
        <v>#REF!</v>
      </c>
      <c r="AD1513" s="4" t="e">
        <f>InsurerSize(#REF!)</f>
        <v>#VALUE!</v>
      </c>
      <c r="AE1513" s="4" t="e">
        <f t="shared" si="35"/>
        <v>#VALUE!</v>
      </c>
    </row>
    <row r="1514" spans="8:31" x14ac:dyDescent="0.2"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AC1514" t="e">
        <f ca="1">RANK(AB1514,OFFSET($AB$2,0,0,#REF!,1))</f>
        <v>#REF!</v>
      </c>
      <c r="AD1514" s="4" t="e">
        <f>InsurerSize(#REF!)</f>
        <v>#VALUE!</v>
      </c>
      <c r="AE1514" s="4" t="e">
        <f t="shared" si="35"/>
        <v>#VALUE!</v>
      </c>
    </row>
    <row r="1515" spans="8:31" x14ac:dyDescent="0.2"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AC1515" t="e">
        <f ca="1">RANK(AB1515,OFFSET($AB$2,0,0,#REF!,1))</f>
        <v>#REF!</v>
      </c>
      <c r="AD1515" s="4" t="e">
        <f>InsurerSize(#REF!)</f>
        <v>#VALUE!</v>
      </c>
      <c r="AE1515" s="4" t="e">
        <f t="shared" si="35"/>
        <v>#VALUE!</v>
      </c>
    </row>
    <row r="1516" spans="8:31" x14ac:dyDescent="0.2"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AC1516" t="e">
        <f ca="1">RANK(AB1516,OFFSET($AB$2,0,0,#REF!,1))</f>
        <v>#REF!</v>
      </c>
      <c r="AD1516" s="4" t="e">
        <f>InsurerSize(#REF!)</f>
        <v>#VALUE!</v>
      </c>
      <c r="AE1516" s="4" t="e">
        <f t="shared" si="35"/>
        <v>#VALUE!</v>
      </c>
    </row>
    <row r="1517" spans="8:31" x14ac:dyDescent="0.2"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AC1517" t="e">
        <f ca="1">RANK(AB1517,OFFSET($AB$2,0,0,#REF!,1))</f>
        <v>#REF!</v>
      </c>
      <c r="AD1517" s="4" t="e">
        <f>InsurerSize(#REF!)</f>
        <v>#VALUE!</v>
      </c>
      <c r="AE1517" s="4" t="e">
        <f t="shared" si="35"/>
        <v>#VALUE!</v>
      </c>
    </row>
    <row r="1518" spans="8:31" x14ac:dyDescent="0.2"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AC1518" t="e">
        <f ca="1">RANK(AB1518,OFFSET($AB$2,0,0,#REF!,1))</f>
        <v>#REF!</v>
      </c>
      <c r="AD1518" s="4" t="e">
        <f>InsurerSize(#REF!)</f>
        <v>#VALUE!</v>
      </c>
      <c r="AE1518" s="4" t="e">
        <f t="shared" si="35"/>
        <v>#VALUE!</v>
      </c>
    </row>
    <row r="1519" spans="8:31" x14ac:dyDescent="0.2"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AC1519" t="e">
        <f ca="1">RANK(AB1519,OFFSET($AB$2,0,0,#REF!,1))</f>
        <v>#REF!</v>
      </c>
      <c r="AD1519" s="4" t="e">
        <f>InsurerSize(#REF!)</f>
        <v>#VALUE!</v>
      </c>
      <c r="AE1519" s="4" t="e">
        <f t="shared" si="35"/>
        <v>#VALUE!</v>
      </c>
    </row>
    <row r="1520" spans="8:31" x14ac:dyDescent="0.2"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AC1520" t="e">
        <f ca="1">RANK(AB1520,OFFSET($AB$2,0,0,#REF!,1))</f>
        <v>#REF!</v>
      </c>
      <c r="AD1520" s="4" t="e">
        <f>InsurerSize(#REF!)</f>
        <v>#VALUE!</v>
      </c>
      <c r="AE1520" s="4" t="e">
        <f t="shared" si="35"/>
        <v>#VALUE!</v>
      </c>
    </row>
    <row r="1521" spans="8:31" x14ac:dyDescent="0.2"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AC1521" t="e">
        <f ca="1">RANK(AB1521,OFFSET($AB$2,0,0,#REF!,1))</f>
        <v>#REF!</v>
      </c>
      <c r="AD1521" s="4" t="e">
        <f>InsurerSize(#REF!)</f>
        <v>#VALUE!</v>
      </c>
      <c r="AE1521" s="4" t="e">
        <f t="shared" si="35"/>
        <v>#VALUE!</v>
      </c>
    </row>
    <row r="1522" spans="8:31" x14ac:dyDescent="0.2"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AC1522" t="e">
        <f ca="1">RANK(AB1522,OFFSET($AB$2,0,0,#REF!,1))</f>
        <v>#REF!</v>
      </c>
      <c r="AD1522" s="4" t="e">
        <f>InsurerSize(#REF!)</f>
        <v>#VALUE!</v>
      </c>
      <c r="AE1522" s="4" t="e">
        <f t="shared" si="35"/>
        <v>#VALUE!</v>
      </c>
    </row>
    <row r="1523" spans="8:31" x14ac:dyDescent="0.2"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AC1523" t="e">
        <f ca="1">RANK(AB1523,OFFSET($AB$2,0,0,#REF!,1))</f>
        <v>#REF!</v>
      </c>
      <c r="AD1523" s="4" t="e">
        <f>InsurerSize(#REF!)</f>
        <v>#VALUE!</v>
      </c>
      <c r="AE1523" s="4" t="e">
        <f t="shared" si="35"/>
        <v>#VALUE!</v>
      </c>
    </row>
    <row r="1524" spans="8:31" x14ac:dyDescent="0.2"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AC1524" t="e">
        <f ca="1">RANK(AB1524,OFFSET($AB$2,0,0,#REF!,1))</f>
        <v>#REF!</v>
      </c>
      <c r="AD1524" s="4" t="e">
        <f>InsurerSize(#REF!)</f>
        <v>#VALUE!</v>
      </c>
      <c r="AE1524" s="4" t="e">
        <f t="shared" si="35"/>
        <v>#VALUE!</v>
      </c>
    </row>
    <row r="1525" spans="8:31" x14ac:dyDescent="0.2"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AC1525" t="e">
        <f ca="1">RANK(AB1525,OFFSET($AB$2,0,0,#REF!,1))</f>
        <v>#REF!</v>
      </c>
      <c r="AD1525" s="4" t="e">
        <f>InsurerSize(#REF!)</f>
        <v>#VALUE!</v>
      </c>
      <c r="AE1525" s="4" t="e">
        <f t="shared" si="35"/>
        <v>#VALUE!</v>
      </c>
    </row>
    <row r="1526" spans="8:31" x14ac:dyDescent="0.2"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AC1526" t="e">
        <f ca="1">RANK(AB1526,OFFSET($AB$2,0,0,#REF!,1))</f>
        <v>#REF!</v>
      </c>
      <c r="AD1526" s="4" t="e">
        <f>InsurerSize(#REF!)</f>
        <v>#VALUE!</v>
      </c>
      <c r="AE1526" s="4" t="e">
        <f t="shared" si="35"/>
        <v>#VALUE!</v>
      </c>
    </row>
    <row r="1527" spans="8:31" x14ac:dyDescent="0.2"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AC1527" t="e">
        <f ca="1">RANK(AB1527,OFFSET($AB$2,0,0,#REF!,1))</f>
        <v>#REF!</v>
      </c>
      <c r="AD1527" s="4" t="e">
        <f>InsurerSize(#REF!)</f>
        <v>#VALUE!</v>
      </c>
      <c r="AE1527" s="4" t="e">
        <f t="shared" si="35"/>
        <v>#VALUE!</v>
      </c>
    </row>
    <row r="1528" spans="8:31" x14ac:dyDescent="0.2"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AC1528" t="e">
        <f ca="1">RANK(AB1528,OFFSET($AB$2,0,0,#REF!,1))</f>
        <v>#REF!</v>
      </c>
      <c r="AD1528" s="4" t="e">
        <f>InsurerSize(#REF!)</f>
        <v>#VALUE!</v>
      </c>
      <c r="AE1528" s="4" t="e">
        <f t="shared" si="35"/>
        <v>#VALUE!</v>
      </c>
    </row>
    <row r="1529" spans="8:31" x14ac:dyDescent="0.2"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AC1529" t="e">
        <f ca="1">RANK(AB1529,OFFSET($AB$2,0,0,#REF!,1))</f>
        <v>#REF!</v>
      </c>
      <c r="AD1529" s="4" t="e">
        <f>InsurerSize(#REF!)</f>
        <v>#VALUE!</v>
      </c>
      <c r="AE1529" s="4" t="e">
        <f t="shared" si="35"/>
        <v>#VALUE!</v>
      </c>
    </row>
    <row r="1530" spans="8:31" x14ac:dyDescent="0.2"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AC1530" t="e">
        <f ca="1">RANK(AB1530,OFFSET($AB$2,0,0,#REF!,1))</f>
        <v>#REF!</v>
      </c>
      <c r="AD1530" s="4" t="e">
        <f>InsurerSize(#REF!)</f>
        <v>#VALUE!</v>
      </c>
      <c r="AE1530" s="4" t="e">
        <f t="shared" si="35"/>
        <v>#VALUE!</v>
      </c>
    </row>
    <row r="1531" spans="8:31" x14ac:dyDescent="0.2"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AC1531" t="e">
        <f ca="1">RANK(AB1531,OFFSET($AB$2,0,0,#REF!,1))</f>
        <v>#REF!</v>
      </c>
      <c r="AD1531" s="4" t="e">
        <f>InsurerSize(#REF!)</f>
        <v>#VALUE!</v>
      </c>
      <c r="AE1531" s="4" t="e">
        <f t="shared" si="35"/>
        <v>#VALUE!</v>
      </c>
    </row>
    <row r="1532" spans="8:31" x14ac:dyDescent="0.2"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AC1532" t="e">
        <f ca="1">RANK(AB1532,OFFSET($AB$2,0,0,#REF!,1))</f>
        <v>#REF!</v>
      </c>
      <c r="AD1532" s="4" t="e">
        <f>InsurerSize(#REF!)</f>
        <v>#VALUE!</v>
      </c>
      <c r="AE1532" s="4" t="e">
        <f t="shared" si="35"/>
        <v>#VALUE!</v>
      </c>
    </row>
    <row r="1533" spans="8:31" x14ac:dyDescent="0.2"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AC1533" t="e">
        <f ca="1">RANK(AB1533,OFFSET($AB$2,0,0,#REF!,1))</f>
        <v>#REF!</v>
      </c>
      <c r="AD1533" s="4" t="e">
        <f>InsurerSize(#REF!)</f>
        <v>#VALUE!</v>
      </c>
      <c r="AE1533" s="4" t="e">
        <f t="shared" si="35"/>
        <v>#VALUE!</v>
      </c>
    </row>
    <row r="1534" spans="8:31" x14ac:dyDescent="0.2"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AC1534" t="e">
        <f ca="1">RANK(AB1534,OFFSET($AB$2,0,0,#REF!,1))</f>
        <v>#REF!</v>
      </c>
      <c r="AD1534" s="4" t="e">
        <f>InsurerSize(#REF!)</f>
        <v>#VALUE!</v>
      </c>
      <c r="AE1534" s="4" t="e">
        <f t="shared" si="35"/>
        <v>#VALUE!</v>
      </c>
    </row>
    <row r="1535" spans="8:31" x14ac:dyDescent="0.2"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AC1535" t="e">
        <f ca="1">RANK(AB1535,OFFSET($AB$2,0,0,#REF!,1))</f>
        <v>#REF!</v>
      </c>
      <c r="AD1535" s="4" t="e">
        <f>InsurerSize(#REF!)</f>
        <v>#VALUE!</v>
      </c>
      <c r="AE1535" s="4" t="e">
        <f t="shared" si="35"/>
        <v>#VALUE!</v>
      </c>
    </row>
    <row r="1536" spans="8:31" x14ac:dyDescent="0.2"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AC1536" t="e">
        <f ca="1">RANK(AB1536,OFFSET($AB$2,0,0,#REF!,1))</f>
        <v>#REF!</v>
      </c>
      <c r="AD1536" s="4" t="e">
        <f>InsurerSize(#REF!)</f>
        <v>#VALUE!</v>
      </c>
      <c r="AE1536" s="4" t="e">
        <f t="shared" si="35"/>
        <v>#VALUE!</v>
      </c>
    </row>
    <row r="1537" spans="8:31" x14ac:dyDescent="0.2"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AC1537" t="e">
        <f ca="1">RANK(AB1537,OFFSET($AB$2,0,0,#REF!,1))</f>
        <v>#REF!</v>
      </c>
      <c r="AD1537" s="4" t="e">
        <f>InsurerSize(#REF!)</f>
        <v>#VALUE!</v>
      </c>
      <c r="AE1537" s="4" t="e">
        <f t="shared" si="35"/>
        <v>#VALUE!</v>
      </c>
    </row>
    <row r="1538" spans="8:31" x14ac:dyDescent="0.2"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AC1538" t="e">
        <f ca="1">RANK(AB1538,OFFSET($AB$2,0,0,#REF!,1))</f>
        <v>#REF!</v>
      </c>
      <c r="AD1538" s="4" t="e">
        <f>InsurerSize(#REF!)</f>
        <v>#VALUE!</v>
      </c>
      <c r="AE1538" s="4" t="e">
        <f t="shared" ref="AE1538:AE1601" si="36">A1538&amp;AD1538</f>
        <v>#VALUE!</v>
      </c>
    </row>
    <row r="1539" spans="8:31" x14ac:dyDescent="0.2"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AC1539" t="e">
        <f ca="1">RANK(AB1539,OFFSET($AB$2,0,0,#REF!,1))</f>
        <v>#REF!</v>
      </c>
      <c r="AD1539" s="4" t="e">
        <f>InsurerSize(#REF!)</f>
        <v>#VALUE!</v>
      </c>
      <c r="AE1539" s="4" t="e">
        <f t="shared" si="36"/>
        <v>#VALUE!</v>
      </c>
    </row>
    <row r="1540" spans="8:31" x14ac:dyDescent="0.2"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AC1540" t="e">
        <f ca="1">RANK(AB1540,OFFSET($AB$2,0,0,#REF!,1))</f>
        <v>#REF!</v>
      </c>
      <c r="AD1540" s="4" t="e">
        <f>InsurerSize(#REF!)</f>
        <v>#VALUE!</v>
      </c>
      <c r="AE1540" s="4" t="e">
        <f t="shared" si="36"/>
        <v>#VALUE!</v>
      </c>
    </row>
    <row r="1541" spans="8:31" x14ac:dyDescent="0.2"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AC1541" t="e">
        <f ca="1">RANK(AB1541,OFFSET($AB$2,0,0,#REF!,1))</f>
        <v>#REF!</v>
      </c>
      <c r="AD1541" s="4" t="e">
        <f>InsurerSize(#REF!)</f>
        <v>#VALUE!</v>
      </c>
      <c r="AE1541" s="4" t="e">
        <f t="shared" si="36"/>
        <v>#VALUE!</v>
      </c>
    </row>
    <row r="1542" spans="8:31" x14ac:dyDescent="0.2"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AC1542" t="e">
        <f ca="1">RANK(AB1542,OFFSET($AB$2,0,0,#REF!,1))</f>
        <v>#REF!</v>
      </c>
      <c r="AD1542" s="4" t="e">
        <f>InsurerSize(#REF!)</f>
        <v>#VALUE!</v>
      </c>
      <c r="AE1542" s="4" t="e">
        <f t="shared" si="36"/>
        <v>#VALUE!</v>
      </c>
    </row>
    <row r="1543" spans="8:31" x14ac:dyDescent="0.2"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AC1543" t="e">
        <f ca="1">RANK(AB1543,OFFSET($AB$2,0,0,#REF!,1))</f>
        <v>#REF!</v>
      </c>
      <c r="AD1543" s="4" t="e">
        <f>InsurerSize(#REF!)</f>
        <v>#VALUE!</v>
      </c>
      <c r="AE1543" s="4" t="e">
        <f t="shared" si="36"/>
        <v>#VALUE!</v>
      </c>
    </row>
    <row r="1544" spans="8:31" x14ac:dyDescent="0.2"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AC1544" t="e">
        <f ca="1">RANK(AB1544,OFFSET($AB$2,0,0,#REF!,1))</f>
        <v>#REF!</v>
      </c>
      <c r="AD1544" s="4" t="e">
        <f>InsurerSize(#REF!)</f>
        <v>#VALUE!</v>
      </c>
      <c r="AE1544" s="4" t="e">
        <f t="shared" si="36"/>
        <v>#VALUE!</v>
      </c>
    </row>
    <row r="1545" spans="8:31" x14ac:dyDescent="0.2"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AC1545" t="e">
        <f ca="1">RANK(AB1545,OFFSET($AB$2,0,0,#REF!,1))</f>
        <v>#REF!</v>
      </c>
      <c r="AD1545" s="4" t="e">
        <f>InsurerSize(#REF!)</f>
        <v>#VALUE!</v>
      </c>
      <c r="AE1545" s="4" t="e">
        <f t="shared" si="36"/>
        <v>#VALUE!</v>
      </c>
    </row>
    <row r="1546" spans="8:31" x14ac:dyDescent="0.2"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AC1546" t="e">
        <f ca="1">RANK(AB1546,OFFSET($AB$2,0,0,#REF!,1))</f>
        <v>#REF!</v>
      </c>
      <c r="AD1546" s="4" t="e">
        <f>InsurerSize(#REF!)</f>
        <v>#VALUE!</v>
      </c>
      <c r="AE1546" s="4" t="e">
        <f t="shared" si="36"/>
        <v>#VALUE!</v>
      </c>
    </row>
    <row r="1547" spans="8:31" x14ac:dyDescent="0.2"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AC1547" t="e">
        <f ca="1">RANK(AB1547,OFFSET($AB$2,0,0,#REF!,1))</f>
        <v>#REF!</v>
      </c>
      <c r="AD1547" s="4" t="e">
        <f>InsurerSize(#REF!)</f>
        <v>#VALUE!</v>
      </c>
      <c r="AE1547" s="4" t="e">
        <f t="shared" si="36"/>
        <v>#VALUE!</v>
      </c>
    </row>
    <row r="1548" spans="8:31" x14ac:dyDescent="0.2"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AC1548" t="e">
        <f ca="1">RANK(AB1548,OFFSET($AB$2,0,0,#REF!,1))</f>
        <v>#REF!</v>
      </c>
      <c r="AD1548" s="4" t="e">
        <f>InsurerSize(#REF!)</f>
        <v>#VALUE!</v>
      </c>
      <c r="AE1548" s="4" t="e">
        <f t="shared" si="36"/>
        <v>#VALUE!</v>
      </c>
    </row>
    <row r="1549" spans="8:31" x14ac:dyDescent="0.2"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AC1549" t="e">
        <f ca="1">RANK(AB1549,OFFSET($AB$2,0,0,#REF!,1))</f>
        <v>#REF!</v>
      </c>
      <c r="AD1549" s="4" t="e">
        <f>InsurerSize(#REF!)</f>
        <v>#VALUE!</v>
      </c>
      <c r="AE1549" s="4" t="e">
        <f t="shared" si="36"/>
        <v>#VALUE!</v>
      </c>
    </row>
    <row r="1550" spans="8:31" x14ac:dyDescent="0.2"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AC1550" t="e">
        <f ca="1">RANK(AB1550,OFFSET($AB$2,0,0,#REF!,1))</f>
        <v>#REF!</v>
      </c>
      <c r="AD1550" s="4" t="e">
        <f>InsurerSize(#REF!)</f>
        <v>#VALUE!</v>
      </c>
      <c r="AE1550" s="4" t="e">
        <f t="shared" si="36"/>
        <v>#VALUE!</v>
      </c>
    </row>
    <row r="1551" spans="8:31" x14ac:dyDescent="0.2"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AC1551" t="e">
        <f ca="1">RANK(AB1551,OFFSET($AB$2,0,0,#REF!,1))</f>
        <v>#REF!</v>
      </c>
      <c r="AD1551" s="4" t="e">
        <f>InsurerSize(#REF!)</f>
        <v>#VALUE!</v>
      </c>
      <c r="AE1551" s="4" t="e">
        <f t="shared" si="36"/>
        <v>#VALUE!</v>
      </c>
    </row>
    <row r="1552" spans="8:31" x14ac:dyDescent="0.2"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AC1552" t="e">
        <f ca="1">RANK(AB1552,OFFSET($AB$2,0,0,#REF!,1))</f>
        <v>#REF!</v>
      </c>
      <c r="AD1552" s="4" t="e">
        <f>InsurerSize(#REF!)</f>
        <v>#VALUE!</v>
      </c>
      <c r="AE1552" s="4" t="e">
        <f t="shared" si="36"/>
        <v>#VALUE!</v>
      </c>
    </row>
    <row r="1553" spans="8:31" x14ac:dyDescent="0.2"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AC1553" t="e">
        <f ca="1">RANK(AB1553,OFFSET($AB$2,0,0,#REF!,1))</f>
        <v>#REF!</v>
      </c>
      <c r="AD1553" s="4" t="e">
        <f>InsurerSize(#REF!)</f>
        <v>#VALUE!</v>
      </c>
      <c r="AE1553" s="4" t="e">
        <f t="shared" si="36"/>
        <v>#VALUE!</v>
      </c>
    </row>
    <row r="1554" spans="8:31" x14ac:dyDescent="0.2"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AC1554" t="e">
        <f ca="1">RANK(AB1554,OFFSET($AB$2,0,0,#REF!,1))</f>
        <v>#REF!</v>
      </c>
      <c r="AD1554" s="4" t="e">
        <f>InsurerSize(#REF!)</f>
        <v>#VALUE!</v>
      </c>
      <c r="AE1554" s="4" t="e">
        <f t="shared" si="36"/>
        <v>#VALUE!</v>
      </c>
    </row>
    <row r="1555" spans="8:31" x14ac:dyDescent="0.2"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AC1555" t="e">
        <f ca="1">RANK(AB1555,OFFSET($AB$2,0,0,#REF!,1))</f>
        <v>#REF!</v>
      </c>
      <c r="AD1555" s="4" t="e">
        <f>InsurerSize(#REF!)</f>
        <v>#VALUE!</v>
      </c>
      <c r="AE1555" s="4" t="e">
        <f t="shared" si="36"/>
        <v>#VALUE!</v>
      </c>
    </row>
    <row r="1556" spans="8:31" x14ac:dyDescent="0.2"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AC1556" t="e">
        <f ca="1">RANK(AB1556,OFFSET($AB$2,0,0,#REF!,1))</f>
        <v>#REF!</v>
      </c>
      <c r="AD1556" s="4" t="e">
        <f>InsurerSize(#REF!)</f>
        <v>#VALUE!</v>
      </c>
      <c r="AE1556" s="4" t="e">
        <f t="shared" si="36"/>
        <v>#VALUE!</v>
      </c>
    </row>
    <row r="1557" spans="8:31" x14ac:dyDescent="0.2"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AC1557" t="e">
        <f ca="1">RANK(AB1557,OFFSET($AB$2,0,0,#REF!,1))</f>
        <v>#REF!</v>
      </c>
      <c r="AD1557" s="4" t="e">
        <f>InsurerSize(#REF!)</f>
        <v>#VALUE!</v>
      </c>
      <c r="AE1557" s="4" t="e">
        <f t="shared" si="36"/>
        <v>#VALUE!</v>
      </c>
    </row>
    <row r="1558" spans="8:31" x14ac:dyDescent="0.2"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AC1558" t="e">
        <f ca="1">RANK(AB1558,OFFSET($AB$2,0,0,#REF!,1))</f>
        <v>#REF!</v>
      </c>
      <c r="AD1558" s="4" t="e">
        <f>InsurerSize(#REF!)</f>
        <v>#VALUE!</v>
      </c>
      <c r="AE1558" s="4" t="e">
        <f t="shared" si="36"/>
        <v>#VALUE!</v>
      </c>
    </row>
    <row r="1559" spans="8:31" x14ac:dyDescent="0.2"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AC1559" t="e">
        <f ca="1">RANK(AB1559,OFFSET($AB$2,0,0,#REF!,1))</f>
        <v>#REF!</v>
      </c>
      <c r="AD1559" s="4" t="e">
        <f>InsurerSize(#REF!)</f>
        <v>#VALUE!</v>
      </c>
      <c r="AE1559" s="4" t="e">
        <f t="shared" si="36"/>
        <v>#VALUE!</v>
      </c>
    </row>
    <row r="1560" spans="8:31" x14ac:dyDescent="0.2"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AC1560" t="e">
        <f ca="1">RANK(AB1560,OFFSET($AB$2,0,0,#REF!,1))</f>
        <v>#REF!</v>
      </c>
      <c r="AD1560" s="4" t="e">
        <f>InsurerSize(#REF!)</f>
        <v>#VALUE!</v>
      </c>
      <c r="AE1560" s="4" t="e">
        <f t="shared" si="36"/>
        <v>#VALUE!</v>
      </c>
    </row>
    <row r="1561" spans="8:31" x14ac:dyDescent="0.2"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AC1561" t="e">
        <f ca="1">RANK(AB1561,OFFSET($AB$2,0,0,#REF!,1))</f>
        <v>#REF!</v>
      </c>
      <c r="AD1561" s="4" t="e">
        <f>InsurerSize(#REF!)</f>
        <v>#VALUE!</v>
      </c>
      <c r="AE1561" s="4" t="e">
        <f t="shared" si="36"/>
        <v>#VALUE!</v>
      </c>
    </row>
    <row r="1562" spans="8:31" x14ac:dyDescent="0.2"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AC1562" t="e">
        <f ca="1">RANK(AB1562,OFFSET($AB$2,0,0,#REF!,1))</f>
        <v>#REF!</v>
      </c>
      <c r="AD1562" s="4" t="e">
        <f>InsurerSize(#REF!)</f>
        <v>#VALUE!</v>
      </c>
      <c r="AE1562" s="4" t="e">
        <f t="shared" si="36"/>
        <v>#VALUE!</v>
      </c>
    </row>
    <row r="1563" spans="8:31" x14ac:dyDescent="0.2"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AC1563" t="e">
        <f ca="1">RANK(AB1563,OFFSET($AB$2,0,0,#REF!,1))</f>
        <v>#REF!</v>
      </c>
      <c r="AD1563" s="4" t="e">
        <f>InsurerSize(#REF!)</f>
        <v>#VALUE!</v>
      </c>
      <c r="AE1563" s="4" t="e">
        <f t="shared" si="36"/>
        <v>#VALUE!</v>
      </c>
    </row>
    <row r="1564" spans="8:31" x14ac:dyDescent="0.2"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AC1564" t="e">
        <f ca="1">RANK(AB1564,OFFSET($AB$2,0,0,#REF!,1))</f>
        <v>#REF!</v>
      </c>
      <c r="AD1564" s="4" t="e">
        <f>InsurerSize(#REF!)</f>
        <v>#VALUE!</v>
      </c>
      <c r="AE1564" s="4" t="e">
        <f t="shared" si="36"/>
        <v>#VALUE!</v>
      </c>
    </row>
    <row r="1565" spans="8:31" x14ac:dyDescent="0.2"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AC1565" t="e">
        <f ca="1">RANK(AB1565,OFFSET($AB$2,0,0,#REF!,1))</f>
        <v>#REF!</v>
      </c>
      <c r="AD1565" s="4" t="e">
        <f>InsurerSize(#REF!)</f>
        <v>#VALUE!</v>
      </c>
      <c r="AE1565" s="4" t="e">
        <f t="shared" si="36"/>
        <v>#VALUE!</v>
      </c>
    </row>
    <row r="1566" spans="8:31" x14ac:dyDescent="0.2"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AC1566" t="e">
        <f ca="1">RANK(AB1566,OFFSET($AB$2,0,0,#REF!,1))</f>
        <v>#REF!</v>
      </c>
      <c r="AD1566" s="4" t="e">
        <f>InsurerSize(#REF!)</f>
        <v>#VALUE!</v>
      </c>
      <c r="AE1566" s="4" t="e">
        <f t="shared" si="36"/>
        <v>#VALUE!</v>
      </c>
    </row>
    <row r="1567" spans="8:31" x14ac:dyDescent="0.2"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AC1567" t="e">
        <f ca="1">RANK(AB1567,OFFSET($AB$2,0,0,#REF!,1))</f>
        <v>#REF!</v>
      </c>
      <c r="AD1567" s="4" t="e">
        <f>InsurerSize(#REF!)</f>
        <v>#VALUE!</v>
      </c>
      <c r="AE1567" s="4" t="e">
        <f t="shared" si="36"/>
        <v>#VALUE!</v>
      </c>
    </row>
    <row r="1568" spans="8:31" x14ac:dyDescent="0.2"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AC1568" t="e">
        <f ca="1">RANK(AB1568,OFFSET($AB$2,0,0,#REF!,1))</f>
        <v>#REF!</v>
      </c>
      <c r="AD1568" s="4" t="e">
        <f>InsurerSize(#REF!)</f>
        <v>#VALUE!</v>
      </c>
      <c r="AE1568" s="4" t="e">
        <f t="shared" si="36"/>
        <v>#VALUE!</v>
      </c>
    </row>
    <row r="1569" spans="8:31" x14ac:dyDescent="0.2"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AC1569" t="e">
        <f ca="1">RANK(AB1569,OFFSET($AB$2,0,0,#REF!,1))</f>
        <v>#REF!</v>
      </c>
      <c r="AD1569" s="4" t="e">
        <f>InsurerSize(#REF!)</f>
        <v>#VALUE!</v>
      </c>
      <c r="AE1569" s="4" t="e">
        <f t="shared" si="36"/>
        <v>#VALUE!</v>
      </c>
    </row>
    <row r="1570" spans="8:31" x14ac:dyDescent="0.2"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AC1570" t="e">
        <f ca="1">RANK(AB1570,OFFSET($AB$2,0,0,#REF!,1))</f>
        <v>#REF!</v>
      </c>
      <c r="AD1570" s="4" t="e">
        <f>InsurerSize(#REF!)</f>
        <v>#VALUE!</v>
      </c>
      <c r="AE1570" s="4" t="e">
        <f t="shared" si="36"/>
        <v>#VALUE!</v>
      </c>
    </row>
    <row r="1571" spans="8:31" x14ac:dyDescent="0.2"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AC1571" t="e">
        <f ca="1">RANK(AB1571,OFFSET($AB$2,0,0,#REF!,1))</f>
        <v>#REF!</v>
      </c>
      <c r="AD1571" s="4" t="e">
        <f>InsurerSize(#REF!)</f>
        <v>#VALUE!</v>
      </c>
      <c r="AE1571" s="4" t="e">
        <f t="shared" si="36"/>
        <v>#VALUE!</v>
      </c>
    </row>
    <row r="1572" spans="8:31" x14ac:dyDescent="0.2"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AC1572" t="e">
        <f ca="1">RANK(AB1572,OFFSET($AB$2,0,0,#REF!,1))</f>
        <v>#REF!</v>
      </c>
      <c r="AD1572" s="4" t="e">
        <f>InsurerSize(#REF!)</f>
        <v>#VALUE!</v>
      </c>
      <c r="AE1572" s="4" t="e">
        <f t="shared" si="36"/>
        <v>#VALUE!</v>
      </c>
    </row>
    <row r="1573" spans="8:31" x14ac:dyDescent="0.2"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AC1573" t="e">
        <f ca="1">RANK(AB1573,OFFSET($AB$2,0,0,#REF!,1))</f>
        <v>#REF!</v>
      </c>
      <c r="AD1573" s="4" t="e">
        <f>InsurerSize(#REF!)</f>
        <v>#VALUE!</v>
      </c>
      <c r="AE1573" s="4" t="e">
        <f t="shared" si="36"/>
        <v>#VALUE!</v>
      </c>
    </row>
    <row r="1574" spans="8:31" x14ac:dyDescent="0.2"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AC1574" t="e">
        <f ca="1">RANK(AB1574,OFFSET($AB$2,0,0,#REF!,1))</f>
        <v>#REF!</v>
      </c>
      <c r="AD1574" s="4" t="e">
        <f>InsurerSize(#REF!)</f>
        <v>#VALUE!</v>
      </c>
      <c r="AE1574" s="4" t="e">
        <f t="shared" si="36"/>
        <v>#VALUE!</v>
      </c>
    </row>
    <row r="1575" spans="8:31" x14ac:dyDescent="0.2"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AC1575" t="e">
        <f ca="1">RANK(AB1575,OFFSET($AB$2,0,0,#REF!,1))</f>
        <v>#REF!</v>
      </c>
      <c r="AD1575" s="4" t="e">
        <f>InsurerSize(#REF!)</f>
        <v>#VALUE!</v>
      </c>
      <c r="AE1575" s="4" t="e">
        <f t="shared" si="36"/>
        <v>#VALUE!</v>
      </c>
    </row>
    <row r="1576" spans="8:31" x14ac:dyDescent="0.2"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AC1576" t="e">
        <f ca="1">RANK(AB1576,OFFSET($AB$2,0,0,#REF!,1))</f>
        <v>#REF!</v>
      </c>
      <c r="AD1576" s="4" t="e">
        <f>InsurerSize(#REF!)</f>
        <v>#VALUE!</v>
      </c>
      <c r="AE1576" s="4" t="e">
        <f t="shared" si="36"/>
        <v>#VALUE!</v>
      </c>
    </row>
    <row r="1577" spans="8:31" x14ac:dyDescent="0.2"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AC1577" t="e">
        <f ca="1">RANK(AB1577,OFFSET($AB$2,0,0,#REF!,1))</f>
        <v>#REF!</v>
      </c>
      <c r="AD1577" s="4" t="e">
        <f>InsurerSize(#REF!)</f>
        <v>#VALUE!</v>
      </c>
      <c r="AE1577" s="4" t="e">
        <f t="shared" si="36"/>
        <v>#VALUE!</v>
      </c>
    </row>
    <row r="1578" spans="8:31" x14ac:dyDescent="0.2"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AC1578" t="e">
        <f ca="1">RANK(AB1578,OFFSET($AB$2,0,0,#REF!,1))</f>
        <v>#REF!</v>
      </c>
      <c r="AD1578" s="4" t="e">
        <f>InsurerSize(#REF!)</f>
        <v>#VALUE!</v>
      </c>
      <c r="AE1578" s="4" t="e">
        <f t="shared" si="36"/>
        <v>#VALUE!</v>
      </c>
    </row>
    <row r="1579" spans="8:31" x14ac:dyDescent="0.2"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AC1579" t="e">
        <f ca="1">RANK(AB1579,OFFSET($AB$2,0,0,#REF!,1))</f>
        <v>#REF!</v>
      </c>
      <c r="AD1579" s="4" t="e">
        <f>InsurerSize(#REF!)</f>
        <v>#VALUE!</v>
      </c>
      <c r="AE1579" s="4" t="e">
        <f t="shared" si="36"/>
        <v>#VALUE!</v>
      </c>
    </row>
    <row r="1580" spans="8:31" x14ac:dyDescent="0.2"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AC1580" t="e">
        <f ca="1">RANK(AB1580,OFFSET($AB$2,0,0,#REF!,1))</f>
        <v>#REF!</v>
      </c>
      <c r="AD1580" s="4" t="e">
        <f>InsurerSize(#REF!)</f>
        <v>#VALUE!</v>
      </c>
      <c r="AE1580" s="4" t="e">
        <f t="shared" si="36"/>
        <v>#VALUE!</v>
      </c>
    </row>
    <row r="1581" spans="8:31" x14ac:dyDescent="0.2"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AC1581" t="e">
        <f ca="1">RANK(AB1581,OFFSET($AB$2,0,0,#REF!,1))</f>
        <v>#REF!</v>
      </c>
      <c r="AD1581" s="4" t="e">
        <f>InsurerSize(#REF!)</f>
        <v>#VALUE!</v>
      </c>
      <c r="AE1581" s="4" t="e">
        <f t="shared" si="36"/>
        <v>#VALUE!</v>
      </c>
    </row>
    <row r="1582" spans="8:31" x14ac:dyDescent="0.2"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AC1582" t="e">
        <f ca="1">RANK(AB1582,OFFSET($AB$2,0,0,#REF!,1))</f>
        <v>#REF!</v>
      </c>
      <c r="AD1582" s="4" t="e">
        <f>InsurerSize(#REF!)</f>
        <v>#VALUE!</v>
      </c>
      <c r="AE1582" s="4" t="e">
        <f t="shared" si="36"/>
        <v>#VALUE!</v>
      </c>
    </row>
    <row r="1583" spans="8:31" x14ac:dyDescent="0.2"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AC1583" t="e">
        <f ca="1">RANK(AB1583,OFFSET($AB$2,0,0,#REF!,1))</f>
        <v>#REF!</v>
      </c>
      <c r="AD1583" s="4" t="e">
        <f>InsurerSize(#REF!)</f>
        <v>#VALUE!</v>
      </c>
      <c r="AE1583" s="4" t="e">
        <f t="shared" si="36"/>
        <v>#VALUE!</v>
      </c>
    </row>
    <row r="1584" spans="8:31" x14ac:dyDescent="0.2"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AC1584" t="e">
        <f ca="1">RANK(AB1584,OFFSET($AB$2,0,0,#REF!,1))</f>
        <v>#REF!</v>
      </c>
      <c r="AD1584" s="4" t="e">
        <f>InsurerSize(#REF!)</f>
        <v>#VALUE!</v>
      </c>
      <c r="AE1584" s="4" t="e">
        <f t="shared" si="36"/>
        <v>#VALUE!</v>
      </c>
    </row>
    <row r="1585" spans="8:31" x14ac:dyDescent="0.2"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AC1585" t="e">
        <f ca="1">RANK(AB1585,OFFSET($AB$2,0,0,#REF!,1))</f>
        <v>#REF!</v>
      </c>
      <c r="AD1585" s="4" t="e">
        <f>InsurerSize(#REF!)</f>
        <v>#VALUE!</v>
      </c>
      <c r="AE1585" s="4" t="e">
        <f t="shared" si="36"/>
        <v>#VALUE!</v>
      </c>
    </row>
    <row r="1586" spans="8:31" x14ac:dyDescent="0.2"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AC1586" t="e">
        <f ca="1">RANK(AB1586,OFFSET($AB$2,0,0,#REF!,1))</f>
        <v>#REF!</v>
      </c>
      <c r="AD1586" s="4" t="e">
        <f>InsurerSize(#REF!)</f>
        <v>#VALUE!</v>
      </c>
      <c r="AE1586" s="4" t="e">
        <f t="shared" si="36"/>
        <v>#VALUE!</v>
      </c>
    </row>
    <row r="1587" spans="8:31" x14ac:dyDescent="0.2"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AC1587" t="e">
        <f ca="1">RANK(AB1587,OFFSET($AB$2,0,0,#REF!,1))</f>
        <v>#REF!</v>
      </c>
      <c r="AD1587" s="4" t="e">
        <f>InsurerSize(#REF!)</f>
        <v>#VALUE!</v>
      </c>
      <c r="AE1587" s="4" t="e">
        <f t="shared" si="36"/>
        <v>#VALUE!</v>
      </c>
    </row>
    <row r="1588" spans="8:31" x14ac:dyDescent="0.2"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AC1588" t="e">
        <f ca="1">RANK(AB1588,OFFSET($AB$2,0,0,#REF!,1))</f>
        <v>#REF!</v>
      </c>
      <c r="AD1588" s="4" t="e">
        <f>InsurerSize(#REF!)</f>
        <v>#VALUE!</v>
      </c>
      <c r="AE1588" s="4" t="e">
        <f t="shared" si="36"/>
        <v>#VALUE!</v>
      </c>
    </row>
    <row r="1589" spans="8:31" x14ac:dyDescent="0.2"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AC1589" t="e">
        <f ca="1">RANK(AB1589,OFFSET($AB$2,0,0,#REF!,1))</f>
        <v>#REF!</v>
      </c>
      <c r="AD1589" s="4" t="e">
        <f>InsurerSize(#REF!)</f>
        <v>#VALUE!</v>
      </c>
      <c r="AE1589" s="4" t="e">
        <f t="shared" si="36"/>
        <v>#VALUE!</v>
      </c>
    </row>
    <row r="1590" spans="8:31" x14ac:dyDescent="0.2"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AC1590" t="e">
        <f ca="1">RANK(AB1590,OFFSET($AB$2,0,0,#REF!,1))</f>
        <v>#REF!</v>
      </c>
      <c r="AD1590" s="4" t="e">
        <f>InsurerSize(#REF!)</f>
        <v>#VALUE!</v>
      </c>
      <c r="AE1590" s="4" t="e">
        <f t="shared" si="36"/>
        <v>#VALUE!</v>
      </c>
    </row>
    <row r="1591" spans="8:31" x14ac:dyDescent="0.2"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AC1591" t="e">
        <f ca="1">RANK(AB1591,OFFSET($AB$2,0,0,#REF!,1))</f>
        <v>#REF!</v>
      </c>
      <c r="AD1591" s="4" t="e">
        <f>InsurerSize(#REF!)</f>
        <v>#VALUE!</v>
      </c>
      <c r="AE1591" s="4" t="e">
        <f t="shared" si="36"/>
        <v>#VALUE!</v>
      </c>
    </row>
    <row r="1592" spans="8:31" x14ac:dyDescent="0.2"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AC1592" t="e">
        <f ca="1">RANK(AB1592,OFFSET($AB$2,0,0,#REF!,1))</f>
        <v>#REF!</v>
      </c>
      <c r="AD1592" s="4" t="e">
        <f>InsurerSize(#REF!)</f>
        <v>#VALUE!</v>
      </c>
      <c r="AE1592" s="4" t="e">
        <f t="shared" si="36"/>
        <v>#VALUE!</v>
      </c>
    </row>
    <row r="1593" spans="8:31" x14ac:dyDescent="0.2"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AC1593" t="e">
        <f ca="1">RANK(AB1593,OFFSET($AB$2,0,0,#REF!,1))</f>
        <v>#REF!</v>
      </c>
      <c r="AD1593" s="4" t="e">
        <f>InsurerSize(#REF!)</f>
        <v>#VALUE!</v>
      </c>
      <c r="AE1593" s="4" t="e">
        <f t="shared" si="36"/>
        <v>#VALUE!</v>
      </c>
    </row>
    <row r="1594" spans="8:31" x14ac:dyDescent="0.2"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AC1594" t="e">
        <f ca="1">RANK(AB1594,OFFSET($AB$2,0,0,#REF!,1))</f>
        <v>#REF!</v>
      </c>
      <c r="AD1594" s="4" t="e">
        <f>InsurerSize(#REF!)</f>
        <v>#VALUE!</v>
      </c>
      <c r="AE1594" s="4" t="e">
        <f t="shared" si="36"/>
        <v>#VALUE!</v>
      </c>
    </row>
    <row r="1595" spans="8:31" x14ac:dyDescent="0.2"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AC1595" t="e">
        <f ca="1">RANK(AB1595,OFFSET($AB$2,0,0,#REF!,1))</f>
        <v>#REF!</v>
      </c>
      <c r="AD1595" s="4" t="e">
        <f>InsurerSize(#REF!)</f>
        <v>#VALUE!</v>
      </c>
      <c r="AE1595" s="4" t="e">
        <f t="shared" si="36"/>
        <v>#VALUE!</v>
      </c>
    </row>
    <row r="1596" spans="8:31" x14ac:dyDescent="0.2"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AC1596" t="e">
        <f ca="1">RANK(AB1596,OFFSET($AB$2,0,0,#REF!,1))</f>
        <v>#REF!</v>
      </c>
      <c r="AD1596" s="4" t="e">
        <f>InsurerSize(#REF!)</f>
        <v>#VALUE!</v>
      </c>
      <c r="AE1596" s="4" t="e">
        <f t="shared" si="36"/>
        <v>#VALUE!</v>
      </c>
    </row>
    <row r="1597" spans="8:31" x14ac:dyDescent="0.2"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AC1597" t="e">
        <f ca="1">RANK(AB1597,OFFSET($AB$2,0,0,#REF!,1))</f>
        <v>#REF!</v>
      </c>
      <c r="AD1597" s="4" t="e">
        <f>InsurerSize(#REF!)</f>
        <v>#VALUE!</v>
      </c>
      <c r="AE1597" s="4" t="e">
        <f t="shared" si="36"/>
        <v>#VALUE!</v>
      </c>
    </row>
    <row r="1598" spans="8:31" x14ac:dyDescent="0.2"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AC1598" t="e">
        <f ca="1">RANK(AB1598,OFFSET($AB$2,0,0,#REF!,1))</f>
        <v>#REF!</v>
      </c>
      <c r="AD1598" s="4" t="e">
        <f>InsurerSize(#REF!)</f>
        <v>#VALUE!</v>
      </c>
      <c r="AE1598" s="4" t="e">
        <f t="shared" si="36"/>
        <v>#VALUE!</v>
      </c>
    </row>
    <row r="1599" spans="8:31" x14ac:dyDescent="0.2"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AC1599" t="e">
        <f ca="1">RANK(AB1599,OFFSET($AB$2,0,0,#REF!,1))</f>
        <v>#REF!</v>
      </c>
      <c r="AD1599" s="4" t="e">
        <f>InsurerSize(#REF!)</f>
        <v>#VALUE!</v>
      </c>
      <c r="AE1599" s="4" t="e">
        <f t="shared" si="36"/>
        <v>#VALUE!</v>
      </c>
    </row>
    <row r="1600" spans="8:31" x14ac:dyDescent="0.2"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AC1600" t="e">
        <f ca="1">RANK(AB1600,OFFSET($AB$2,0,0,#REF!,1))</f>
        <v>#REF!</v>
      </c>
      <c r="AD1600" s="4" t="e">
        <f>InsurerSize(#REF!)</f>
        <v>#VALUE!</v>
      </c>
      <c r="AE1600" s="4" t="e">
        <f t="shared" si="36"/>
        <v>#VALUE!</v>
      </c>
    </row>
    <row r="1601" spans="8:31" x14ac:dyDescent="0.2"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AC1601" t="e">
        <f ca="1">RANK(AB1601,OFFSET($AB$2,0,0,#REF!,1))</f>
        <v>#REF!</v>
      </c>
      <c r="AD1601" s="4" t="e">
        <f>InsurerSize(#REF!)</f>
        <v>#VALUE!</v>
      </c>
      <c r="AE1601" s="4" t="e">
        <f t="shared" si="36"/>
        <v>#VALUE!</v>
      </c>
    </row>
    <row r="1602" spans="8:31" x14ac:dyDescent="0.2"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AC1602" t="e">
        <f ca="1">RANK(AB1602,OFFSET($AB$2,0,0,#REF!,1))</f>
        <v>#REF!</v>
      </c>
      <c r="AD1602" s="4" t="e">
        <f>InsurerSize(#REF!)</f>
        <v>#VALUE!</v>
      </c>
      <c r="AE1602" s="4" t="e">
        <f t="shared" ref="AE1602:AE1665" si="37">A1602&amp;AD1602</f>
        <v>#VALUE!</v>
      </c>
    </row>
    <row r="1603" spans="8:31" x14ac:dyDescent="0.2"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AC1603" t="e">
        <f ca="1">RANK(AB1603,OFFSET($AB$2,0,0,#REF!,1))</f>
        <v>#REF!</v>
      </c>
      <c r="AD1603" s="4" t="e">
        <f>InsurerSize(#REF!)</f>
        <v>#VALUE!</v>
      </c>
      <c r="AE1603" s="4" t="e">
        <f t="shared" si="37"/>
        <v>#VALUE!</v>
      </c>
    </row>
    <row r="1604" spans="8:31" x14ac:dyDescent="0.2"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AC1604" t="e">
        <f ca="1">RANK(AB1604,OFFSET($AB$2,0,0,#REF!,1))</f>
        <v>#REF!</v>
      </c>
      <c r="AD1604" s="4" t="e">
        <f>InsurerSize(#REF!)</f>
        <v>#VALUE!</v>
      </c>
      <c r="AE1604" s="4" t="e">
        <f t="shared" si="37"/>
        <v>#VALUE!</v>
      </c>
    </row>
    <row r="1605" spans="8:31" x14ac:dyDescent="0.2"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AC1605" t="e">
        <f ca="1">RANK(AB1605,OFFSET($AB$2,0,0,#REF!,1))</f>
        <v>#REF!</v>
      </c>
      <c r="AD1605" s="4" t="e">
        <f>InsurerSize(#REF!)</f>
        <v>#VALUE!</v>
      </c>
      <c r="AE1605" s="4" t="e">
        <f t="shared" si="37"/>
        <v>#VALUE!</v>
      </c>
    </row>
    <row r="1606" spans="8:31" x14ac:dyDescent="0.2"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AC1606" t="e">
        <f ca="1">RANK(AB1606,OFFSET($AB$2,0,0,#REF!,1))</f>
        <v>#REF!</v>
      </c>
      <c r="AD1606" s="4" t="e">
        <f>InsurerSize(#REF!)</f>
        <v>#VALUE!</v>
      </c>
      <c r="AE1606" s="4" t="e">
        <f t="shared" si="37"/>
        <v>#VALUE!</v>
      </c>
    </row>
    <row r="1607" spans="8:31" x14ac:dyDescent="0.2"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AC1607" t="e">
        <f ca="1">RANK(AB1607,OFFSET($AB$2,0,0,#REF!,1))</f>
        <v>#REF!</v>
      </c>
      <c r="AD1607" s="4" t="e">
        <f>InsurerSize(#REF!)</f>
        <v>#VALUE!</v>
      </c>
      <c r="AE1607" s="4" t="e">
        <f t="shared" si="37"/>
        <v>#VALUE!</v>
      </c>
    </row>
    <row r="1608" spans="8:31" x14ac:dyDescent="0.2"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AC1608" t="e">
        <f ca="1">RANK(AB1608,OFFSET($AB$2,0,0,#REF!,1))</f>
        <v>#REF!</v>
      </c>
      <c r="AD1608" s="4" t="e">
        <f>InsurerSize(#REF!)</f>
        <v>#VALUE!</v>
      </c>
      <c r="AE1608" s="4" t="e">
        <f t="shared" si="37"/>
        <v>#VALUE!</v>
      </c>
    </row>
    <row r="1609" spans="8:31" x14ac:dyDescent="0.2"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AC1609" t="e">
        <f ca="1">RANK(AB1609,OFFSET($AB$2,0,0,#REF!,1))</f>
        <v>#REF!</v>
      </c>
      <c r="AD1609" s="4" t="e">
        <f>InsurerSize(#REF!)</f>
        <v>#VALUE!</v>
      </c>
      <c r="AE1609" s="4" t="e">
        <f t="shared" si="37"/>
        <v>#VALUE!</v>
      </c>
    </row>
    <row r="1610" spans="8:31" x14ac:dyDescent="0.2"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AC1610" t="e">
        <f ca="1">RANK(AB1610,OFFSET($AB$2,0,0,#REF!,1))</f>
        <v>#REF!</v>
      </c>
      <c r="AD1610" s="4" t="e">
        <f>InsurerSize(#REF!)</f>
        <v>#VALUE!</v>
      </c>
      <c r="AE1610" s="4" t="e">
        <f t="shared" si="37"/>
        <v>#VALUE!</v>
      </c>
    </row>
    <row r="1611" spans="8:31" x14ac:dyDescent="0.2"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AC1611" t="e">
        <f ca="1">RANK(AB1611,OFFSET($AB$2,0,0,#REF!,1))</f>
        <v>#REF!</v>
      </c>
      <c r="AD1611" s="4" t="e">
        <f>InsurerSize(#REF!)</f>
        <v>#VALUE!</v>
      </c>
      <c r="AE1611" s="4" t="e">
        <f t="shared" si="37"/>
        <v>#VALUE!</v>
      </c>
    </row>
    <row r="1612" spans="8:31" x14ac:dyDescent="0.2"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AC1612" t="e">
        <f ca="1">RANK(AB1612,OFFSET($AB$2,0,0,#REF!,1))</f>
        <v>#REF!</v>
      </c>
      <c r="AD1612" s="4" t="e">
        <f>InsurerSize(#REF!)</f>
        <v>#VALUE!</v>
      </c>
      <c r="AE1612" s="4" t="e">
        <f t="shared" si="37"/>
        <v>#VALUE!</v>
      </c>
    </row>
    <row r="1613" spans="8:31" x14ac:dyDescent="0.2"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AC1613" t="e">
        <f ca="1">RANK(AB1613,OFFSET($AB$2,0,0,#REF!,1))</f>
        <v>#REF!</v>
      </c>
      <c r="AD1613" s="4" t="e">
        <f>InsurerSize(#REF!)</f>
        <v>#VALUE!</v>
      </c>
      <c r="AE1613" s="4" t="e">
        <f t="shared" si="37"/>
        <v>#VALUE!</v>
      </c>
    </row>
    <row r="1614" spans="8:31" x14ac:dyDescent="0.2"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AC1614" t="e">
        <f ca="1">RANK(AB1614,OFFSET($AB$2,0,0,#REF!,1))</f>
        <v>#REF!</v>
      </c>
      <c r="AD1614" s="4" t="e">
        <f>InsurerSize(#REF!)</f>
        <v>#VALUE!</v>
      </c>
      <c r="AE1614" s="4" t="e">
        <f t="shared" si="37"/>
        <v>#VALUE!</v>
      </c>
    </row>
    <row r="1615" spans="8:31" x14ac:dyDescent="0.2"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AC1615" t="e">
        <f ca="1">RANK(AB1615,OFFSET($AB$2,0,0,#REF!,1))</f>
        <v>#REF!</v>
      </c>
      <c r="AD1615" s="4" t="e">
        <f>InsurerSize(#REF!)</f>
        <v>#VALUE!</v>
      </c>
      <c r="AE1615" s="4" t="e">
        <f t="shared" si="37"/>
        <v>#VALUE!</v>
      </c>
    </row>
    <row r="1616" spans="8:31" x14ac:dyDescent="0.2"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AC1616" t="e">
        <f ca="1">RANK(AB1616,OFFSET($AB$2,0,0,#REF!,1))</f>
        <v>#REF!</v>
      </c>
      <c r="AD1616" s="4" t="e">
        <f>InsurerSize(#REF!)</f>
        <v>#VALUE!</v>
      </c>
      <c r="AE1616" s="4" t="e">
        <f t="shared" si="37"/>
        <v>#VALUE!</v>
      </c>
    </row>
    <row r="1617" spans="8:31" x14ac:dyDescent="0.2"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AC1617" t="e">
        <f ca="1">RANK(AB1617,OFFSET($AB$2,0,0,#REF!,1))</f>
        <v>#REF!</v>
      </c>
      <c r="AD1617" s="4" t="e">
        <f>InsurerSize(#REF!)</f>
        <v>#VALUE!</v>
      </c>
      <c r="AE1617" s="4" t="e">
        <f t="shared" si="37"/>
        <v>#VALUE!</v>
      </c>
    </row>
    <row r="1618" spans="8:31" x14ac:dyDescent="0.2"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AC1618" t="e">
        <f ca="1">RANK(AB1618,OFFSET($AB$2,0,0,#REF!,1))</f>
        <v>#REF!</v>
      </c>
      <c r="AD1618" s="4" t="e">
        <f>InsurerSize(#REF!)</f>
        <v>#VALUE!</v>
      </c>
      <c r="AE1618" s="4" t="e">
        <f t="shared" si="37"/>
        <v>#VALUE!</v>
      </c>
    </row>
    <row r="1619" spans="8:31" x14ac:dyDescent="0.2"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AC1619" t="e">
        <f ca="1">RANK(AB1619,OFFSET($AB$2,0,0,#REF!,1))</f>
        <v>#REF!</v>
      </c>
      <c r="AD1619" s="4" t="e">
        <f>InsurerSize(#REF!)</f>
        <v>#VALUE!</v>
      </c>
      <c r="AE1619" s="4" t="e">
        <f t="shared" si="37"/>
        <v>#VALUE!</v>
      </c>
    </row>
    <row r="1620" spans="8:31" x14ac:dyDescent="0.2"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AC1620" t="e">
        <f ca="1">RANK(AB1620,OFFSET($AB$2,0,0,#REF!,1))</f>
        <v>#REF!</v>
      </c>
      <c r="AD1620" s="4" t="e">
        <f>InsurerSize(#REF!)</f>
        <v>#VALUE!</v>
      </c>
      <c r="AE1620" s="4" t="e">
        <f t="shared" si="37"/>
        <v>#VALUE!</v>
      </c>
    </row>
    <row r="1621" spans="8:31" x14ac:dyDescent="0.2"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AC1621" t="e">
        <f ca="1">RANK(AB1621,OFFSET($AB$2,0,0,#REF!,1))</f>
        <v>#REF!</v>
      </c>
      <c r="AD1621" s="4" t="e">
        <f>InsurerSize(#REF!)</f>
        <v>#VALUE!</v>
      </c>
      <c r="AE1621" s="4" t="e">
        <f t="shared" si="37"/>
        <v>#VALUE!</v>
      </c>
    </row>
    <row r="1622" spans="8:31" x14ac:dyDescent="0.2"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AC1622" t="e">
        <f ca="1">RANK(AB1622,OFFSET($AB$2,0,0,#REF!,1))</f>
        <v>#REF!</v>
      </c>
      <c r="AD1622" s="4" t="e">
        <f>InsurerSize(#REF!)</f>
        <v>#VALUE!</v>
      </c>
      <c r="AE1622" s="4" t="e">
        <f t="shared" si="37"/>
        <v>#VALUE!</v>
      </c>
    </row>
    <row r="1623" spans="8:31" x14ac:dyDescent="0.2"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AC1623" t="e">
        <f ca="1">RANK(AB1623,OFFSET($AB$2,0,0,#REF!,1))</f>
        <v>#REF!</v>
      </c>
      <c r="AD1623" s="4" t="e">
        <f>InsurerSize(#REF!)</f>
        <v>#VALUE!</v>
      </c>
      <c r="AE1623" s="4" t="e">
        <f t="shared" si="37"/>
        <v>#VALUE!</v>
      </c>
    </row>
    <row r="1624" spans="8:31" x14ac:dyDescent="0.2"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AC1624" t="e">
        <f ca="1">RANK(AB1624,OFFSET($AB$2,0,0,#REF!,1))</f>
        <v>#REF!</v>
      </c>
      <c r="AD1624" s="4" t="e">
        <f>InsurerSize(#REF!)</f>
        <v>#VALUE!</v>
      </c>
      <c r="AE1624" s="4" t="e">
        <f t="shared" si="37"/>
        <v>#VALUE!</v>
      </c>
    </row>
    <row r="1625" spans="8:31" x14ac:dyDescent="0.2"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AC1625" t="e">
        <f ca="1">RANK(AB1625,OFFSET($AB$2,0,0,#REF!,1))</f>
        <v>#REF!</v>
      </c>
      <c r="AD1625" s="4" t="e">
        <f>InsurerSize(#REF!)</f>
        <v>#VALUE!</v>
      </c>
      <c r="AE1625" s="4" t="e">
        <f t="shared" si="37"/>
        <v>#VALUE!</v>
      </c>
    </row>
    <row r="1626" spans="8:31" x14ac:dyDescent="0.2"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AC1626" t="e">
        <f ca="1">RANK(AB1626,OFFSET($AB$2,0,0,#REF!,1))</f>
        <v>#REF!</v>
      </c>
      <c r="AD1626" s="4" t="e">
        <f>InsurerSize(#REF!)</f>
        <v>#VALUE!</v>
      </c>
      <c r="AE1626" s="4" t="e">
        <f t="shared" si="37"/>
        <v>#VALUE!</v>
      </c>
    </row>
    <row r="1627" spans="8:31" x14ac:dyDescent="0.2"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AC1627" t="e">
        <f ca="1">RANK(AB1627,OFFSET($AB$2,0,0,#REF!,1))</f>
        <v>#REF!</v>
      </c>
      <c r="AD1627" s="4" t="e">
        <f>InsurerSize(#REF!)</f>
        <v>#VALUE!</v>
      </c>
      <c r="AE1627" s="4" t="e">
        <f t="shared" si="37"/>
        <v>#VALUE!</v>
      </c>
    </row>
    <row r="1628" spans="8:31" x14ac:dyDescent="0.2"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AC1628" t="e">
        <f ca="1">RANK(AB1628,OFFSET($AB$2,0,0,#REF!,1))</f>
        <v>#REF!</v>
      </c>
      <c r="AD1628" s="4" t="e">
        <f>InsurerSize(#REF!)</f>
        <v>#VALUE!</v>
      </c>
      <c r="AE1628" s="4" t="e">
        <f t="shared" si="37"/>
        <v>#VALUE!</v>
      </c>
    </row>
    <row r="1629" spans="8:31" x14ac:dyDescent="0.2"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AC1629" t="e">
        <f ca="1">RANK(AB1629,OFFSET($AB$2,0,0,#REF!,1))</f>
        <v>#REF!</v>
      </c>
      <c r="AD1629" s="4" t="e">
        <f>InsurerSize(#REF!)</f>
        <v>#VALUE!</v>
      </c>
      <c r="AE1629" s="4" t="e">
        <f t="shared" si="37"/>
        <v>#VALUE!</v>
      </c>
    </row>
    <row r="1630" spans="8:31" x14ac:dyDescent="0.2"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AC1630" t="e">
        <f ca="1">RANK(AB1630,OFFSET($AB$2,0,0,#REF!,1))</f>
        <v>#REF!</v>
      </c>
      <c r="AD1630" s="4" t="e">
        <f>InsurerSize(#REF!)</f>
        <v>#VALUE!</v>
      </c>
      <c r="AE1630" s="4" t="e">
        <f t="shared" si="37"/>
        <v>#VALUE!</v>
      </c>
    </row>
    <row r="1631" spans="8:31" x14ac:dyDescent="0.2"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AC1631" t="e">
        <f ca="1">RANK(AB1631,OFFSET($AB$2,0,0,#REF!,1))</f>
        <v>#REF!</v>
      </c>
      <c r="AD1631" s="4" t="e">
        <f>InsurerSize(#REF!)</f>
        <v>#VALUE!</v>
      </c>
      <c r="AE1631" s="4" t="e">
        <f t="shared" si="37"/>
        <v>#VALUE!</v>
      </c>
    </row>
    <row r="1632" spans="8:31" x14ac:dyDescent="0.2"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AC1632" t="e">
        <f ca="1">RANK(AB1632,OFFSET($AB$2,0,0,#REF!,1))</f>
        <v>#REF!</v>
      </c>
      <c r="AD1632" s="4" t="e">
        <f>InsurerSize(#REF!)</f>
        <v>#VALUE!</v>
      </c>
      <c r="AE1632" s="4" t="e">
        <f t="shared" si="37"/>
        <v>#VALUE!</v>
      </c>
    </row>
    <row r="1633" spans="8:31" x14ac:dyDescent="0.2"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AC1633" t="e">
        <f ca="1">RANK(AB1633,OFFSET($AB$2,0,0,#REF!,1))</f>
        <v>#REF!</v>
      </c>
      <c r="AD1633" s="4" t="e">
        <f>InsurerSize(#REF!)</f>
        <v>#VALUE!</v>
      </c>
      <c r="AE1633" s="4" t="e">
        <f t="shared" si="37"/>
        <v>#VALUE!</v>
      </c>
    </row>
    <row r="1634" spans="8:31" x14ac:dyDescent="0.2"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AC1634" t="e">
        <f ca="1">RANK(AB1634,OFFSET($AB$2,0,0,#REF!,1))</f>
        <v>#REF!</v>
      </c>
      <c r="AD1634" s="4" t="e">
        <f>InsurerSize(#REF!)</f>
        <v>#VALUE!</v>
      </c>
      <c r="AE1634" s="4" t="e">
        <f t="shared" si="37"/>
        <v>#VALUE!</v>
      </c>
    </row>
    <row r="1635" spans="8:31" x14ac:dyDescent="0.2"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AC1635" t="e">
        <f ca="1">RANK(AB1635,OFFSET($AB$2,0,0,#REF!,1))</f>
        <v>#REF!</v>
      </c>
      <c r="AD1635" s="4" t="e">
        <f>InsurerSize(#REF!)</f>
        <v>#VALUE!</v>
      </c>
      <c r="AE1635" s="4" t="e">
        <f t="shared" si="37"/>
        <v>#VALUE!</v>
      </c>
    </row>
    <row r="1636" spans="8:31" x14ac:dyDescent="0.2"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AC1636" t="e">
        <f ca="1">RANK(AB1636,OFFSET($AB$2,0,0,#REF!,1))</f>
        <v>#REF!</v>
      </c>
      <c r="AD1636" s="4" t="e">
        <f>InsurerSize(#REF!)</f>
        <v>#VALUE!</v>
      </c>
      <c r="AE1636" s="4" t="e">
        <f t="shared" si="37"/>
        <v>#VALUE!</v>
      </c>
    </row>
    <row r="1637" spans="8:31" x14ac:dyDescent="0.2"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AC1637" t="e">
        <f ca="1">RANK(AB1637,OFFSET($AB$2,0,0,#REF!,1))</f>
        <v>#REF!</v>
      </c>
      <c r="AD1637" s="4" t="e">
        <f>InsurerSize(#REF!)</f>
        <v>#VALUE!</v>
      </c>
      <c r="AE1637" s="4" t="e">
        <f t="shared" si="37"/>
        <v>#VALUE!</v>
      </c>
    </row>
    <row r="1638" spans="8:31" x14ac:dyDescent="0.2"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AC1638" t="e">
        <f ca="1">RANK(AB1638,OFFSET($AB$2,0,0,#REF!,1))</f>
        <v>#REF!</v>
      </c>
      <c r="AD1638" s="4" t="e">
        <f>InsurerSize(#REF!)</f>
        <v>#VALUE!</v>
      </c>
      <c r="AE1638" s="4" t="e">
        <f t="shared" si="37"/>
        <v>#VALUE!</v>
      </c>
    </row>
    <row r="1639" spans="8:31" x14ac:dyDescent="0.2"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AC1639" t="e">
        <f ca="1">RANK(AB1639,OFFSET($AB$2,0,0,#REF!,1))</f>
        <v>#REF!</v>
      </c>
      <c r="AD1639" s="4" t="e">
        <f>InsurerSize(#REF!)</f>
        <v>#VALUE!</v>
      </c>
      <c r="AE1639" s="4" t="e">
        <f t="shared" si="37"/>
        <v>#VALUE!</v>
      </c>
    </row>
    <row r="1640" spans="8:31" x14ac:dyDescent="0.2"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AC1640" t="e">
        <f ca="1">RANK(AB1640,OFFSET($AB$2,0,0,#REF!,1))</f>
        <v>#REF!</v>
      </c>
      <c r="AD1640" s="4" t="e">
        <f>InsurerSize(#REF!)</f>
        <v>#VALUE!</v>
      </c>
      <c r="AE1640" s="4" t="e">
        <f t="shared" si="37"/>
        <v>#VALUE!</v>
      </c>
    </row>
    <row r="1641" spans="8:31" x14ac:dyDescent="0.2"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AC1641" t="e">
        <f ca="1">RANK(AB1641,OFFSET($AB$2,0,0,#REF!,1))</f>
        <v>#REF!</v>
      </c>
      <c r="AD1641" s="4" t="e">
        <f>InsurerSize(#REF!)</f>
        <v>#VALUE!</v>
      </c>
      <c r="AE1641" s="4" t="e">
        <f t="shared" si="37"/>
        <v>#VALUE!</v>
      </c>
    </row>
    <row r="1642" spans="8:31" x14ac:dyDescent="0.2"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AC1642" t="e">
        <f ca="1">RANK(AB1642,OFFSET($AB$2,0,0,#REF!,1))</f>
        <v>#REF!</v>
      </c>
      <c r="AD1642" s="4" t="e">
        <f>InsurerSize(#REF!)</f>
        <v>#VALUE!</v>
      </c>
      <c r="AE1642" s="4" t="e">
        <f t="shared" si="37"/>
        <v>#VALUE!</v>
      </c>
    </row>
    <row r="1643" spans="8:31" x14ac:dyDescent="0.2"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AC1643" t="e">
        <f ca="1">RANK(AB1643,OFFSET($AB$2,0,0,#REF!,1))</f>
        <v>#REF!</v>
      </c>
      <c r="AD1643" s="4" t="e">
        <f>InsurerSize(#REF!)</f>
        <v>#VALUE!</v>
      </c>
      <c r="AE1643" s="4" t="e">
        <f t="shared" si="37"/>
        <v>#VALUE!</v>
      </c>
    </row>
    <row r="1644" spans="8:31" x14ac:dyDescent="0.2"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AC1644" t="e">
        <f ca="1">RANK(AB1644,OFFSET($AB$2,0,0,#REF!,1))</f>
        <v>#REF!</v>
      </c>
      <c r="AD1644" s="4" t="e">
        <f>InsurerSize(#REF!)</f>
        <v>#VALUE!</v>
      </c>
      <c r="AE1644" s="4" t="e">
        <f t="shared" si="37"/>
        <v>#VALUE!</v>
      </c>
    </row>
    <row r="1645" spans="8:31" x14ac:dyDescent="0.2"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AC1645" t="e">
        <f ca="1">RANK(AB1645,OFFSET($AB$2,0,0,#REF!,1))</f>
        <v>#REF!</v>
      </c>
      <c r="AD1645" s="4" t="e">
        <f>InsurerSize(#REF!)</f>
        <v>#VALUE!</v>
      </c>
      <c r="AE1645" s="4" t="e">
        <f t="shared" si="37"/>
        <v>#VALUE!</v>
      </c>
    </row>
    <row r="1646" spans="8:31" x14ac:dyDescent="0.2"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AC1646" t="e">
        <f ca="1">RANK(AB1646,OFFSET($AB$2,0,0,#REF!,1))</f>
        <v>#REF!</v>
      </c>
      <c r="AD1646" s="4" t="e">
        <f>InsurerSize(#REF!)</f>
        <v>#VALUE!</v>
      </c>
      <c r="AE1646" s="4" t="e">
        <f t="shared" si="37"/>
        <v>#VALUE!</v>
      </c>
    </row>
    <row r="1647" spans="8:31" x14ac:dyDescent="0.2"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AC1647" t="e">
        <f ca="1">RANK(AB1647,OFFSET($AB$2,0,0,#REF!,1))</f>
        <v>#REF!</v>
      </c>
      <c r="AD1647" s="4" t="e">
        <f>InsurerSize(#REF!)</f>
        <v>#VALUE!</v>
      </c>
      <c r="AE1647" s="4" t="e">
        <f t="shared" si="37"/>
        <v>#VALUE!</v>
      </c>
    </row>
    <row r="1648" spans="8:31" x14ac:dyDescent="0.2"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AC1648" t="e">
        <f ca="1">RANK(AB1648,OFFSET($AB$2,0,0,#REF!,1))</f>
        <v>#REF!</v>
      </c>
      <c r="AD1648" s="4" t="e">
        <f>InsurerSize(#REF!)</f>
        <v>#VALUE!</v>
      </c>
      <c r="AE1648" s="4" t="e">
        <f t="shared" si="37"/>
        <v>#VALUE!</v>
      </c>
    </row>
    <row r="1649" spans="8:31" x14ac:dyDescent="0.2"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AC1649" t="e">
        <f ca="1">RANK(AB1649,OFFSET($AB$2,0,0,#REF!,1))</f>
        <v>#REF!</v>
      </c>
      <c r="AD1649" s="4" t="e">
        <f>InsurerSize(#REF!)</f>
        <v>#VALUE!</v>
      </c>
      <c r="AE1649" s="4" t="e">
        <f t="shared" si="37"/>
        <v>#VALUE!</v>
      </c>
    </row>
    <row r="1650" spans="8:31" x14ac:dyDescent="0.2"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AC1650" t="e">
        <f ca="1">RANK(AB1650,OFFSET($AB$2,0,0,#REF!,1))</f>
        <v>#REF!</v>
      </c>
      <c r="AD1650" s="4" t="e">
        <f>InsurerSize(#REF!)</f>
        <v>#VALUE!</v>
      </c>
      <c r="AE1650" s="4" t="e">
        <f t="shared" si="37"/>
        <v>#VALUE!</v>
      </c>
    </row>
    <row r="1651" spans="8:31" x14ac:dyDescent="0.2"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AC1651" t="e">
        <f ca="1">RANK(AB1651,OFFSET($AB$2,0,0,#REF!,1))</f>
        <v>#REF!</v>
      </c>
      <c r="AD1651" s="4" t="e">
        <f>InsurerSize(#REF!)</f>
        <v>#VALUE!</v>
      </c>
      <c r="AE1651" s="4" t="e">
        <f t="shared" si="37"/>
        <v>#VALUE!</v>
      </c>
    </row>
    <row r="1652" spans="8:31" x14ac:dyDescent="0.2"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AC1652" t="e">
        <f ca="1">RANK(AB1652,OFFSET($AB$2,0,0,#REF!,1))</f>
        <v>#REF!</v>
      </c>
      <c r="AD1652" s="4" t="e">
        <f>InsurerSize(#REF!)</f>
        <v>#VALUE!</v>
      </c>
      <c r="AE1652" s="4" t="e">
        <f t="shared" si="37"/>
        <v>#VALUE!</v>
      </c>
    </row>
    <row r="1653" spans="8:31" x14ac:dyDescent="0.2"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AC1653" t="e">
        <f ca="1">RANK(AB1653,OFFSET($AB$2,0,0,#REF!,1))</f>
        <v>#REF!</v>
      </c>
      <c r="AD1653" s="4" t="e">
        <f>InsurerSize(#REF!)</f>
        <v>#VALUE!</v>
      </c>
      <c r="AE1653" s="4" t="e">
        <f t="shared" si="37"/>
        <v>#VALUE!</v>
      </c>
    </row>
    <row r="1654" spans="8:31" x14ac:dyDescent="0.2"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AC1654" t="e">
        <f ca="1">RANK(AB1654,OFFSET($AB$2,0,0,#REF!,1))</f>
        <v>#REF!</v>
      </c>
      <c r="AD1654" s="4" t="e">
        <f>InsurerSize(#REF!)</f>
        <v>#VALUE!</v>
      </c>
      <c r="AE1654" s="4" t="e">
        <f t="shared" si="37"/>
        <v>#VALUE!</v>
      </c>
    </row>
    <row r="1655" spans="8:31" x14ac:dyDescent="0.2"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AC1655" t="e">
        <f ca="1">RANK(AB1655,OFFSET($AB$2,0,0,#REF!,1))</f>
        <v>#REF!</v>
      </c>
      <c r="AD1655" s="4" t="e">
        <f>InsurerSize(#REF!)</f>
        <v>#VALUE!</v>
      </c>
      <c r="AE1655" s="4" t="e">
        <f t="shared" si="37"/>
        <v>#VALUE!</v>
      </c>
    </row>
    <row r="1656" spans="8:31" x14ac:dyDescent="0.2"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AC1656" t="e">
        <f ca="1">RANK(AB1656,OFFSET($AB$2,0,0,#REF!,1))</f>
        <v>#REF!</v>
      </c>
      <c r="AD1656" s="4" t="e">
        <f>InsurerSize(#REF!)</f>
        <v>#VALUE!</v>
      </c>
      <c r="AE1656" s="4" t="e">
        <f t="shared" si="37"/>
        <v>#VALUE!</v>
      </c>
    </row>
    <row r="1657" spans="8:31" x14ac:dyDescent="0.2"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AC1657" t="e">
        <f ca="1">RANK(AB1657,OFFSET($AB$2,0,0,#REF!,1))</f>
        <v>#REF!</v>
      </c>
      <c r="AD1657" s="4" t="e">
        <f>InsurerSize(#REF!)</f>
        <v>#VALUE!</v>
      </c>
      <c r="AE1657" s="4" t="e">
        <f t="shared" si="37"/>
        <v>#VALUE!</v>
      </c>
    </row>
    <row r="1658" spans="8:31" x14ac:dyDescent="0.2"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AC1658" t="e">
        <f ca="1">RANK(AB1658,OFFSET($AB$2,0,0,#REF!,1))</f>
        <v>#REF!</v>
      </c>
      <c r="AD1658" s="4" t="e">
        <f>InsurerSize(#REF!)</f>
        <v>#VALUE!</v>
      </c>
      <c r="AE1658" s="4" t="e">
        <f t="shared" si="37"/>
        <v>#VALUE!</v>
      </c>
    </row>
    <row r="1659" spans="8:31" x14ac:dyDescent="0.2"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AC1659" t="e">
        <f ca="1">RANK(AB1659,OFFSET($AB$2,0,0,#REF!,1))</f>
        <v>#REF!</v>
      </c>
      <c r="AD1659" s="4" t="e">
        <f>InsurerSize(#REF!)</f>
        <v>#VALUE!</v>
      </c>
      <c r="AE1659" s="4" t="e">
        <f t="shared" si="37"/>
        <v>#VALUE!</v>
      </c>
    </row>
    <row r="1660" spans="8:31" x14ac:dyDescent="0.2"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AC1660" t="e">
        <f ca="1">RANK(AB1660,OFFSET($AB$2,0,0,#REF!,1))</f>
        <v>#REF!</v>
      </c>
      <c r="AD1660" s="4" t="e">
        <f>InsurerSize(#REF!)</f>
        <v>#VALUE!</v>
      </c>
      <c r="AE1660" s="4" t="e">
        <f t="shared" si="37"/>
        <v>#VALUE!</v>
      </c>
    </row>
    <row r="1661" spans="8:31" x14ac:dyDescent="0.2"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AC1661" t="e">
        <f ca="1">RANK(AB1661,OFFSET($AB$2,0,0,#REF!,1))</f>
        <v>#REF!</v>
      </c>
      <c r="AD1661" s="4" t="e">
        <f>InsurerSize(#REF!)</f>
        <v>#VALUE!</v>
      </c>
      <c r="AE1661" s="4" t="e">
        <f t="shared" si="37"/>
        <v>#VALUE!</v>
      </c>
    </row>
    <row r="1662" spans="8:31" x14ac:dyDescent="0.2"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AC1662" t="e">
        <f ca="1">RANK(AB1662,OFFSET($AB$2,0,0,#REF!,1))</f>
        <v>#REF!</v>
      </c>
      <c r="AD1662" s="4" t="e">
        <f>InsurerSize(#REF!)</f>
        <v>#VALUE!</v>
      </c>
      <c r="AE1662" s="4" t="e">
        <f t="shared" si="37"/>
        <v>#VALUE!</v>
      </c>
    </row>
    <row r="1663" spans="8:31" x14ac:dyDescent="0.2"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AC1663" t="e">
        <f ca="1">RANK(AB1663,OFFSET($AB$2,0,0,#REF!,1))</f>
        <v>#REF!</v>
      </c>
      <c r="AD1663" s="4" t="e">
        <f>InsurerSize(#REF!)</f>
        <v>#VALUE!</v>
      </c>
      <c r="AE1663" s="4" t="e">
        <f t="shared" si="37"/>
        <v>#VALUE!</v>
      </c>
    </row>
    <row r="1664" spans="8:31" x14ac:dyDescent="0.2"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AC1664" t="e">
        <f ca="1">RANK(AB1664,OFFSET($AB$2,0,0,#REF!,1))</f>
        <v>#REF!</v>
      </c>
      <c r="AD1664" s="4" t="e">
        <f>InsurerSize(#REF!)</f>
        <v>#VALUE!</v>
      </c>
      <c r="AE1664" s="4" t="e">
        <f t="shared" si="37"/>
        <v>#VALUE!</v>
      </c>
    </row>
    <row r="1665" spans="8:31" x14ac:dyDescent="0.2"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AC1665" t="e">
        <f ca="1">RANK(AB1665,OFFSET($AB$2,0,0,#REF!,1))</f>
        <v>#REF!</v>
      </c>
      <c r="AD1665" s="4" t="e">
        <f>InsurerSize(#REF!)</f>
        <v>#VALUE!</v>
      </c>
      <c r="AE1665" s="4" t="e">
        <f t="shared" si="37"/>
        <v>#VALUE!</v>
      </c>
    </row>
    <row r="1666" spans="8:31" x14ac:dyDescent="0.2"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AC1666" t="e">
        <f ca="1">RANK(AB1666,OFFSET($AB$2,0,0,#REF!,1))</f>
        <v>#REF!</v>
      </c>
      <c r="AD1666" s="4" t="e">
        <f>InsurerSize(#REF!)</f>
        <v>#VALUE!</v>
      </c>
      <c r="AE1666" s="4" t="e">
        <f t="shared" ref="AE1666:AE1729" si="38">A1666&amp;AD1666</f>
        <v>#VALUE!</v>
      </c>
    </row>
    <row r="1667" spans="8:31" x14ac:dyDescent="0.2"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AC1667" t="e">
        <f ca="1">RANK(AB1667,OFFSET($AB$2,0,0,#REF!,1))</f>
        <v>#REF!</v>
      </c>
      <c r="AD1667" s="4" t="e">
        <f>InsurerSize(#REF!)</f>
        <v>#VALUE!</v>
      </c>
      <c r="AE1667" s="4" t="e">
        <f t="shared" si="38"/>
        <v>#VALUE!</v>
      </c>
    </row>
    <row r="1668" spans="8:31" x14ac:dyDescent="0.2"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AC1668" t="e">
        <f ca="1">RANK(AB1668,OFFSET($AB$2,0,0,#REF!,1))</f>
        <v>#REF!</v>
      </c>
      <c r="AD1668" s="4" t="e">
        <f>InsurerSize(#REF!)</f>
        <v>#VALUE!</v>
      </c>
      <c r="AE1668" s="4" t="e">
        <f t="shared" si="38"/>
        <v>#VALUE!</v>
      </c>
    </row>
    <row r="1669" spans="8:31" x14ac:dyDescent="0.2"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AC1669" t="e">
        <f ca="1">RANK(AB1669,OFFSET($AB$2,0,0,#REF!,1))</f>
        <v>#REF!</v>
      </c>
      <c r="AD1669" s="4" t="e">
        <f>InsurerSize(#REF!)</f>
        <v>#VALUE!</v>
      </c>
      <c r="AE1669" s="4" t="e">
        <f t="shared" si="38"/>
        <v>#VALUE!</v>
      </c>
    </row>
    <row r="1670" spans="8:31" x14ac:dyDescent="0.2"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AC1670" t="e">
        <f ca="1">RANK(AB1670,OFFSET($AB$2,0,0,#REF!,1))</f>
        <v>#REF!</v>
      </c>
      <c r="AD1670" s="4" t="e">
        <f>InsurerSize(#REF!)</f>
        <v>#VALUE!</v>
      </c>
      <c r="AE1670" s="4" t="e">
        <f t="shared" si="38"/>
        <v>#VALUE!</v>
      </c>
    </row>
    <row r="1671" spans="8:31" x14ac:dyDescent="0.2"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AC1671" t="e">
        <f ca="1">RANK(AB1671,OFFSET($AB$2,0,0,#REF!,1))</f>
        <v>#REF!</v>
      </c>
      <c r="AD1671" s="4" t="e">
        <f>InsurerSize(#REF!)</f>
        <v>#VALUE!</v>
      </c>
      <c r="AE1671" s="4" t="e">
        <f t="shared" si="38"/>
        <v>#VALUE!</v>
      </c>
    </row>
    <row r="1672" spans="8:31" x14ac:dyDescent="0.2"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AC1672" t="e">
        <f ca="1">RANK(AB1672,OFFSET($AB$2,0,0,#REF!,1))</f>
        <v>#REF!</v>
      </c>
      <c r="AD1672" s="4" t="e">
        <f>InsurerSize(#REF!)</f>
        <v>#VALUE!</v>
      </c>
      <c r="AE1672" s="4" t="e">
        <f t="shared" si="38"/>
        <v>#VALUE!</v>
      </c>
    </row>
    <row r="1673" spans="8:31" x14ac:dyDescent="0.2"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AC1673" t="e">
        <f ca="1">RANK(AB1673,OFFSET($AB$2,0,0,#REF!,1))</f>
        <v>#REF!</v>
      </c>
      <c r="AD1673" s="4" t="e">
        <f>InsurerSize(#REF!)</f>
        <v>#VALUE!</v>
      </c>
      <c r="AE1673" s="4" t="e">
        <f t="shared" si="38"/>
        <v>#VALUE!</v>
      </c>
    </row>
    <row r="1674" spans="8:31" x14ac:dyDescent="0.2"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AC1674" t="e">
        <f ca="1">RANK(AB1674,OFFSET($AB$2,0,0,#REF!,1))</f>
        <v>#REF!</v>
      </c>
      <c r="AD1674" s="4" t="e">
        <f>InsurerSize(#REF!)</f>
        <v>#VALUE!</v>
      </c>
      <c r="AE1674" s="4" t="e">
        <f t="shared" si="38"/>
        <v>#VALUE!</v>
      </c>
    </row>
    <row r="1675" spans="8:31" x14ac:dyDescent="0.2"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AC1675" t="e">
        <f ca="1">RANK(AB1675,OFFSET($AB$2,0,0,#REF!,1))</f>
        <v>#REF!</v>
      </c>
      <c r="AD1675" s="4" t="e">
        <f>InsurerSize(#REF!)</f>
        <v>#VALUE!</v>
      </c>
      <c r="AE1675" s="4" t="e">
        <f t="shared" si="38"/>
        <v>#VALUE!</v>
      </c>
    </row>
    <row r="1676" spans="8:31" x14ac:dyDescent="0.2"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AC1676" t="e">
        <f ca="1">RANK(AB1676,OFFSET($AB$2,0,0,#REF!,1))</f>
        <v>#REF!</v>
      </c>
      <c r="AD1676" s="4" t="e">
        <f>InsurerSize(#REF!)</f>
        <v>#VALUE!</v>
      </c>
      <c r="AE1676" s="4" t="e">
        <f t="shared" si="38"/>
        <v>#VALUE!</v>
      </c>
    </row>
    <row r="1677" spans="8:31" x14ac:dyDescent="0.2"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AC1677" t="e">
        <f ca="1">RANK(AB1677,OFFSET($AB$2,0,0,#REF!,1))</f>
        <v>#REF!</v>
      </c>
      <c r="AD1677" s="4" t="e">
        <f>InsurerSize(#REF!)</f>
        <v>#VALUE!</v>
      </c>
      <c r="AE1677" s="4" t="e">
        <f t="shared" si="38"/>
        <v>#VALUE!</v>
      </c>
    </row>
    <row r="1678" spans="8:31" x14ac:dyDescent="0.2"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AC1678" t="e">
        <f ca="1">RANK(AB1678,OFFSET($AB$2,0,0,#REF!,1))</f>
        <v>#REF!</v>
      </c>
      <c r="AD1678" s="4" t="e">
        <f>InsurerSize(#REF!)</f>
        <v>#VALUE!</v>
      </c>
      <c r="AE1678" s="4" t="e">
        <f t="shared" si="38"/>
        <v>#VALUE!</v>
      </c>
    </row>
    <row r="1679" spans="8:31" x14ac:dyDescent="0.2"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AC1679" t="e">
        <f ca="1">RANK(AB1679,OFFSET($AB$2,0,0,#REF!,1))</f>
        <v>#REF!</v>
      </c>
      <c r="AD1679" s="4" t="e">
        <f>InsurerSize(#REF!)</f>
        <v>#VALUE!</v>
      </c>
      <c r="AE1679" s="4" t="e">
        <f t="shared" si="38"/>
        <v>#VALUE!</v>
      </c>
    </row>
    <row r="1680" spans="8:31" x14ac:dyDescent="0.2"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AC1680" t="e">
        <f ca="1">RANK(AB1680,OFFSET($AB$2,0,0,#REF!,1))</f>
        <v>#REF!</v>
      </c>
      <c r="AD1680" s="4" t="e">
        <f>InsurerSize(#REF!)</f>
        <v>#VALUE!</v>
      </c>
      <c r="AE1680" s="4" t="e">
        <f t="shared" si="38"/>
        <v>#VALUE!</v>
      </c>
    </row>
    <row r="1681" spans="8:31" x14ac:dyDescent="0.2"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AC1681" t="e">
        <f ca="1">RANK(AB1681,OFFSET($AB$2,0,0,#REF!,1))</f>
        <v>#REF!</v>
      </c>
      <c r="AD1681" s="4" t="e">
        <f>InsurerSize(#REF!)</f>
        <v>#VALUE!</v>
      </c>
      <c r="AE1681" s="4" t="e">
        <f t="shared" si="38"/>
        <v>#VALUE!</v>
      </c>
    </row>
    <row r="1682" spans="8:31" x14ac:dyDescent="0.2"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AC1682" t="e">
        <f ca="1">RANK(AB1682,OFFSET($AB$2,0,0,#REF!,1))</f>
        <v>#REF!</v>
      </c>
      <c r="AD1682" s="4" t="e">
        <f>InsurerSize(#REF!)</f>
        <v>#VALUE!</v>
      </c>
      <c r="AE1682" s="4" t="e">
        <f t="shared" si="38"/>
        <v>#VALUE!</v>
      </c>
    </row>
    <row r="1683" spans="8:31" x14ac:dyDescent="0.2"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AC1683" t="e">
        <f ca="1">RANK(AB1683,OFFSET($AB$2,0,0,#REF!,1))</f>
        <v>#REF!</v>
      </c>
      <c r="AD1683" s="4" t="e">
        <f>InsurerSize(#REF!)</f>
        <v>#VALUE!</v>
      </c>
      <c r="AE1683" s="4" t="e">
        <f t="shared" si="38"/>
        <v>#VALUE!</v>
      </c>
    </row>
    <row r="1684" spans="8:31" x14ac:dyDescent="0.2"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AC1684" t="e">
        <f ca="1">RANK(AB1684,OFFSET($AB$2,0,0,#REF!,1))</f>
        <v>#REF!</v>
      </c>
      <c r="AD1684" s="4" t="e">
        <f>InsurerSize(#REF!)</f>
        <v>#VALUE!</v>
      </c>
      <c r="AE1684" s="4" t="e">
        <f t="shared" si="38"/>
        <v>#VALUE!</v>
      </c>
    </row>
    <row r="1685" spans="8:31" x14ac:dyDescent="0.2"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AC1685" t="e">
        <f ca="1">RANK(AB1685,OFFSET($AB$2,0,0,#REF!,1))</f>
        <v>#REF!</v>
      </c>
      <c r="AD1685" s="4" t="e">
        <f>InsurerSize(#REF!)</f>
        <v>#VALUE!</v>
      </c>
      <c r="AE1685" s="4" t="e">
        <f t="shared" si="38"/>
        <v>#VALUE!</v>
      </c>
    </row>
    <row r="1686" spans="8:31" x14ac:dyDescent="0.2"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AC1686" t="e">
        <f ca="1">RANK(AB1686,OFFSET($AB$2,0,0,#REF!,1))</f>
        <v>#REF!</v>
      </c>
      <c r="AD1686" s="4" t="e">
        <f>InsurerSize(#REF!)</f>
        <v>#VALUE!</v>
      </c>
      <c r="AE1686" s="4" t="e">
        <f t="shared" si="38"/>
        <v>#VALUE!</v>
      </c>
    </row>
    <row r="1687" spans="8:31" x14ac:dyDescent="0.2"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AC1687" t="e">
        <f ca="1">RANK(AB1687,OFFSET($AB$2,0,0,#REF!,1))</f>
        <v>#REF!</v>
      </c>
      <c r="AD1687" s="4" t="e">
        <f>InsurerSize(#REF!)</f>
        <v>#VALUE!</v>
      </c>
      <c r="AE1687" s="4" t="e">
        <f t="shared" si="38"/>
        <v>#VALUE!</v>
      </c>
    </row>
    <row r="1688" spans="8:31" x14ac:dyDescent="0.2"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AC1688" t="e">
        <f ca="1">RANK(AB1688,OFFSET($AB$2,0,0,#REF!,1))</f>
        <v>#REF!</v>
      </c>
      <c r="AD1688" s="4" t="e">
        <f>InsurerSize(#REF!)</f>
        <v>#VALUE!</v>
      </c>
      <c r="AE1688" s="4" t="e">
        <f t="shared" si="38"/>
        <v>#VALUE!</v>
      </c>
    </row>
    <row r="1689" spans="8:31" x14ac:dyDescent="0.2"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AC1689" t="e">
        <f ca="1">RANK(AB1689,OFFSET($AB$2,0,0,#REF!,1))</f>
        <v>#REF!</v>
      </c>
      <c r="AD1689" s="4" t="e">
        <f>InsurerSize(#REF!)</f>
        <v>#VALUE!</v>
      </c>
      <c r="AE1689" s="4" t="e">
        <f t="shared" si="38"/>
        <v>#VALUE!</v>
      </c>
    </row>
    <row r="1690" spans="8:31" x14ac:dyDescent="0.2"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AC1690" t="e">
        <f ca="1">RANK(AB1690,OFFSET($AB$2,0,0,#REF!,1))</f>
        <v>#REF!</v>
      </c>
      <c r="AD1690" s="4" t="e">
        <f>InsurerSize(#REF!)</f>
        <v>#VALUE!</v>
      </c>
      <c r="AE1690" s="4" t="e">
        <f t="shared" si="38"/>
        <v>#VALUE!</v>
      </c>
    </row>
    <row r="1691" spans="8:31" x14ac:dyDescent="0.2"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AC1691" t="e">
        <f ca="1">RANK(AB1691,OFFSET($AB$2,0,0,#REF!,1))</f>
        <v>#REF!</v>
      </c>
      <c r="AD1691" s="4" t="e">
        <f>InsurerSize(#REF!)</f>
        <v>#VALUE!</v>
      </c>
      <c r="AE1691" s="4" t="e">
        <f t="shared" si="38"/>
        <v>#VALUE!</v>
      </c>
    </row>
    <row r="1692" spans="8:31" x14ac:dyDescent="0.2"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AC1692" t="e">
        <f ca="1">RANK(AB1692,OFFSET($AB$2,0,0,#REF!,1))</f>
        <v>#REF!</v>
      </c>
      <c r="AD1692" s="4" t="e">
        <f>InsurerSize(#REF!)</f>
        <v>#VALUE!</v>
      </c>
      <c r="AE1692" s="4" t="e">
        <f t="shared" si="38"/>
        <v>#VALUE!</v>
      </c>
    </row>
    <row r="1693" spans="8:31" x14ac:dyDescent="0.2"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AC1693" t="e">
        <f ca="1">RANK(AB1693,OFFSET($AB$2,0,0,#REF!,1))</f>
        <v>#REF!</v>
      </c>
      <c r="AD1693" s="4" t="e">
        <f>InsurerSize(#REF!)</f>
        <v>#VALUE!</v>
      </c>
      <c r="AE1693" s="4" t="e">
        <f t="shared" si="38"/>
        <v>#VALUE!</v>
      </c>
    </row>
    <row r="1694" spans="8:31" x14ac:dyDescent="0.2"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AC1694" t="e">
        <f ca="1">RANK(AB1694,OFFSET($AB$2,0,0,#REF!,1))</f>
        <v>#REF!</v>
      </c>
      <c r="AD1694" s="4" t="e">
        <f>InsurerSize(#REF!)</f>
        <v>#VALUE!</v>
      </c>
      <c r="AE1694" s="4" t="e">
        <f t="shared" si="38"/>
        <v>#VALUE!</v>
      </c>
    </row>
    <row r="1695" spans="8:31" x14ac:dyDescent="0.2"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AC1695" t="e">
        <f ca="1">RANK(AB1695,OFFSET($AB$2,0,0,#REF!,1))</f>
        <v>#REF!</v>
      </c>
      <c r="AD1695" s="4" t="e">
        <f>InsurerSize(#REF!)</f>
        <v>#VALUE!</v>
      </c>
      <c r="AE1695" s="4" t="e">
        <f t="shared" si="38"/>
        <v>#VALUE!</v>
      </c>
    </row>
    <row r="1696" spans="8:31" x14ac:dyDescent="0.2"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AC1696" t="e">
        <f ca="1">RANK(AB1696,OFFSET($AB$2,0,0,#REF!,1))</f>
        <v>#REF!</v>
      </c>
      <c r="AD1696" s="4" t="e">
        <f>InsurerSize(#REF!)</f>
        <v>#VALUE!</v>
      </c>
      <c r="AE1696" s="4" t="e">
        <f t="shared" si="38"/>
        <v>#VALUE!</v>
      </c>
    </row>
    <row r="1697" spans="8:31" x14ac:dyDescent="0.2"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AC1697" t="e">
        <f ca="1">RANK(AB1697,OFFSET($AB$2,0,0,#REF!,1))</f>
        <v>#REF!</v>
      </c>
      <c r="AD1697" s="4" t="e">
        <f>InsurerSize(#REF!)</f>
        <v>#VALUE!</v>
      </c>
      <c r="AE1697" s="4" t="e">
        <f t="shared" si="38"/>
        <v>#VALUE!</v>
      </c>
    </row>
    <row r="1698" spans="8:31" x14ac:dyDescent="0.2"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AC1698" t="e">
        <f ca="1">RANK(AB1698,OFFSET($AB$2,0,0,#REF!,1))</f>
        <v>#REF!</v>
      </c>
      <c r="AD1698" s="4" t="e">
        <f>InsurerSize(#REF!)</f>
        <v>#VALUE!</v>
      </c>
      <c r="AE1698" s="4" t="e">
        <f t="shared" si="38"/>
        <v>#VALUE!</v>
      </c>
    </row>
    <row r="1699" spans="8:31" x14ac:dyDescent="0.2"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AC1699" t="e">
        <f ca="1">RANK(AB1699,OFFSET($AB$2,0,0,#REF!,1))</f>
        <v>#REF!</v>
      </c>
      <c r="AD1699" s="4" t="e">
        <f>InsurerSize(#REF!)</f>
        <v>#VALUE!</v>
      </c>
      <c r="AE1699" s="4" t="e">
        <f t="shared" si="38"/>
        <v>#VALUE!</v>
      </c>
    </row>
    <row r="1700" spans="8:31" x14ac:dyDescent="0.2"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AC1700" t="e">
        <f ca="1">RANK(AB1700,OFFSET($AB$2,0,0,#REF!,1))</f>
        <v>#REF!</v>
      </c>
      <c r="AD1700" s="4" t="e">
        <f>InsurerSize(#REF!)</f>
        <v>#VALUE!</v>
      </c>
      <c r="AE1700" s="4" t="e">
        <f t="shared" si="38"/>
        <v>#VALUE!</v>
      </c>
    </row>
    <row r="1701" spans="8:31" x14ac:dyDescent="0.2"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AC1701" t="e">
        <f ca="1">RANK(AB1701,OFFSET($AB$2,0,0,#REF!,1))</f>
        <v>#REF!</v>
      </c>
      <c r="AD1701" s="4" t="e">
        <f>InsurerSize(#REF!)</f>
        <v>#VALUE!</v>
      </c>
      <c r="AE1701" s="4" t="e">
        <f t="shared" si="38"/>
        <v>#VALUE!</v>
      </c>
    </row>
    <row r="1702" spans="8:31" x14ac:dyDescent="0.2"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AC1702" t="e">
        <f ca="1">RANK(AB1702,OFFSET($AB$2,0,0,#REF!,1))</f>
        <v>#REF!</v>
      </c>
      <c r="AD1702" s="4" t="e">
        <f>InsurerSize(#REF!)</f>
        <v>#VALUE!</v>
      </c>
      <c r="AE1702" s="4" t="e">
        <f t="shared" si="38"/>
        <v>#VALUE!</v>
      </c>
    </row>
    <row r="1703" spans="8:31" x14ac:dyDescent="0.2"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AC1703" t="e">
        <f ca="1">RANK(AB1703,OFFSET($AB$2,0,0,#REF!,1))</f>
        <v>#REF!</v>
      </c>
      <c r="AD1703" s="4" t="e">
        <f>InsurerSize(#REF!)</f>
        <v>#VALUE!</v>
      </c>
      <c r="AE1703" s="4" t="e">
        <f t="shared" si="38"/>
        <v>#VALUE!</v>
      </c>
    </row>
    <row r="1704" spans="8:31" x14ac:dyDescent="0.2"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AC1704" t="e">
        <f ca="1">RANK(AB1704,OFFSET($AB$2,0,0,#REF!,1))</f>
        <v>#REF!</v>
      </c>
      <c r="AD1704" s="4" t="e">
        <f>InsurerSize(#REF!)</f>
        <v>#VALUE!</v>
      </c>
      <c r="AE1704" s="4" t="e">
        <f t="shared" si="38"/>
        <v>#VALUE!</v>
      </c>
    </row>
    <row r="1705" spans="8:31" x14ac:dyDescent="0.2"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AC1705" t="e">
        <f ca="1">RANK(AB1705,OFFSET($AB$2,0,0,#REF!,1))</f>
        <v>#REF!</v>
      </c>
      <c r="AD1705" s="4" t="e">
        <f>InsurerSize(#REF!)</f>
        <v>#VALUE!</v>
      </c>
      <c r="AE1705" s="4" t="e">
        <f t="shared" si="38"/>
        <v>#VALUE!</v>
      </c>
    </row>
    <row r="1706" spans="8:31" x14ac:dyDescent="0.2"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AC1706" t="e">
        <f ca="1">RANK(AB1706,OFFSET($AB$2,0,0,#REF!,1))</f>
        <v>#REF!</v>
      </c>
      <c r="AD1706" s="4" t="e">
        <f>InsurerSize(#REF!)</f>
        <v>#VALUE!</v>
      </c>
      <c r="AE1706" s="4" t="e">
        <f t="shared" si="38"/>
        <v>#VALUE!</v>
      </c>
    </row>
    <row r="1707" spans="8:31" x14ac:dyDescent="0.2"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AC1707" t="e">
        <f ca="1">RANK(AB1707,OFFSET($AB$2,0,0,#REF!,1))</f>
        <v>#REF!</v>
      </c>
      <c r="AD1707" s="4" t="e">
        <f>InsurerSize(#REF!)</f>
        <v>#VALUE!</v>
      </c>
      <c r="AE1707" s="4" t="e">
        <f t="shared" si="38"/>
        <v>#VALUE!</v>
      </c>
    </row>
    <row r="1708" spans="8:31" x14ac:dyDescent="0.2"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AC1708" t="e">
        <f ca="1">RANK(AB1708,OFFSET($AB$2,0,0,#REF!,1))</f>
        <v>#REF!</v>
      </c>
      <c r="AD1708" s="4" t="e">
        <f>InsurerSize(#REF!)</f>
        <v>#VALUE!</v>
      </c>
      <c r="AE1708" s="4" t="e">
        <f t="shared" si="38"/>
        <v>#VALUE!</v>
      </c>
    </row>
    <row r="1709" spans="8:31" x14ac:dyDescent="0.2"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AC1709" t="e">
        <f ca="1">RANK(AB1709,OFFSET($AB$2,0,0,#REF!,1))</f>
        <v>#REF!</v>
      </c>
      <c r="AD1709" s="4" t="e">
        <f>InsurerSize(#REF!)</f>
        <v>#VALUE!</v>
      </c>
      <c r="AE1709" s="4" t="e">
        <f t="shared" si="38"/>
        <v>#VALUE!</v>
      </c>
    </row>
    <row r="1710" spans="8:31" x14ac:dyDescent="0.2"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AC1710" t="e">
        <f ca="1">RANK(AB1710,OFFSET($AB$2,0,0,#REF!,1))</f>
        <v>#REF!</v>
      </c>
      <c r="AD1710" s="4" t="e">
        <f>InsurerSize(#REF!)</f>
        <v>#VALUE!</v>
      </c>
      <c r="AE1710" s="4" t="e">
        <f t="shared" si="38"/>
        <v>#VALUE!</v>
      </c>
    </row>
    <row r="1711" spans="8:31" x14ac:dyDescent="0.2"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AC1711" t="e">
        <f ca="1">RANK(AB1711,OFFSET($AB$2,0,0,#REF!,1))</f>
        <v>#REF!</v>
      </c>
      <c r="AD1711" s="4" t="e">
        <f>InsurerSize(#REF!)</f>
        <v>#VALUE!</v>
      </c>
      <c r="AE1711" s="4" t="e">
        <f t="shared" si="38"/>
        <v>#VALUE!</v>
      </c>
    </row>
    <row r="1712" spans="8:31" x14ac:dyDescent="0.2"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AC1712" t="e">
        <f ca="1">RANK(AB1712,OFFSET($AB$2,0,0,#REF!,1))</f>
        <v>#REF!</v>
      </c>
      <c r="AD1712" s="4" t="e">
        <f>InsurerSize(#REF!)</f>
        <v>#VALUE!</v>
      </c>
      <c r="AE1712" s="4" t="e">
        <f t="shared" si="38"/>
        <v>#VALUE!</v>
      </c>
    </row>
    <row r="1713" spans="8:31" x14ac:dyDescent="0.2"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AC1713" t="e">
        <f ca="1">RANK(AB1713,OFFSET($AB$2,0,0,#REF!,1))</f>
        <v>#REF!</v>
      </c>
      <c r="AD1713" s="4" t="e">
        <f>InsurerSize(#REF!)</f>
        <v>#VALUE!</v>
      </c>
      <c r="AE1713" s="4" t="e">
        <f t="shared" si="38"/>
        <v>#VALUE!</v>
      </c>
    </row>
    <row r="1714" spans="8:31" x14ac:dyDescent="0.2"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AC1714" t="e">
        <f ca="1">RANK(AB1714,OFFSET($AB$2,0,0,#REF!,1))</f>
        <v>#REF!</v>
      </c>
      <c r="AD1714" s="4" t="e">
        <f>InsurerSize(#REF!)</f>
        <v>#VALUE!</v>
      </c>
      <c r="AE1714" s="4" t="e">
        <f t="shared" si="38"/>
        <v>#VALUE!</v>
      </c>
    </row>
    <row r="1715" spans="8:31" x14ac:dyDescent="0.2"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AC1715" t="e">
        <f ca="1">RANK(AB1715,OFFSET($AB$2,0,0,#REF!,1))</f>
        <v>#REF!</v>
      </c>
      <c r="AD1715" s="4" t="e">
        <f>InsurerSize(#REF!)</f>
        <v>#VALUE!</v>
      </c>
      <c r="AE1715" s="4" t="e">
        <f t="shared" si="38"/>
        <v>#VALUE!</v>
      </c>
    </row>
    <row r="1716" spans="8:31" x14ac:dyDescent="0.2"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AC1716" t="e">
        <f ca="1">RANK(AB1716,OFFSET($AB$2,0,0,#REF!,1))</f>
        <v>#REF!</v>
      </c>
      <c r="AD1716" s="4" t="e">
        <f>InsurerSize(#REF!)</f>
        <v>#VALUE!</v>
      </c>
      <c r="AE1716" s="4" t="e">
        <f t="shared" si="38"/>
        <v>#VALUE!</v>
      </c>
    </row>
    <row r="1717" spans="8:31" x14ac:dyDescent="0.2"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AC1717" t="e">
        <f ca="1">RANK(AB1717,OFFSET($AB$2,0,0,#REF!,1))</f>
        <v>#REF!</v>
      </c>
      <c r="AD1717" s="4" t="e">
        <f>InsurerSize(#REF!)</f>
        <v>#VALUE!</v>
      </c>
      <c r="AE1717" s="4" t="e">
        <f t="shared" si="38"/>
        <v>#VALUE!</v>
      </c>
    </row>
    <row r="1718" spans="8:31" x14ac:dyDescent="0.2"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AC1718" t="e">
        <f ca="1">RANK(AB1718,OFFSET($AB$2,0,0,#REF!,1))</f>
        <v>#REF!</v>
      </c>
      <c r="AD1718" s="4" t="e">
        <f>InsurerSize(#REF!)</f>
        <v>#VALUE!</v>
      </c>
      <c r="AE1718" s="4" t="e">
        <f t="shared" si="38"/>
        <v>#VALUE!</v>
      </c>
    </row>
    <row r="1719" spans="8:31" x14ac:dyDescent="0.2"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AC1719" t="e">
        <f ca="1">RANK(AB1719,OFFSET($AB$2,0,0,#REF!,1))</f>
        <v>#REF!</v>
      </c>
      <c r="AD1719" s="4" t="e">
        <f>InsurerSize(#REF!)</f>
        <v>#VALUE!</v>
      </c>
      <c r="AE1719" s="4" t="e">
        <f t="shared" si="38"/>
        <v>#VALUE!</v>
      </c>
    </row>
    <row r="1720" spans="8:31" x14ac:dyDescent="0.2"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AC1720" t="e">
        <f ca="1">RANK(AB1720,OFFSET($AB$2,0,0,#REF!,1))</f>
        <v>#REF!</v>
      </c>
      <c r="AD1720" s="4" t="e">
        <f>InsurerSize(#REF!)</f>
        <v>#VALUE!</v>
      </c>
      <c r="AE1720" s="4" t="e">
        <f t="shared" si="38"/>
        <v>#VALUE!</v>
      </c>
    </row>
    <row r="1721" spans="8:31" x14ac:dyDescent="0.2"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AC1721" t="e">
        <f ca="1">RANK(AB1721,OFFSET($AB$2,0,0,#REF!,1))</f>
        <v>#REF!</v>
      </c>
      <c r="AD1721" s="4" t="e">
        <f>InsurerSize(#REF!)</f>
        <v>#VALUE!</v>
      </c>
      <c r="AE1721" s="4" t="e">
        <f t="shared" si="38"/>
        <v>#VALUE!</v>
      </c>
    </row>
    <row r="1722" spans="8:31" x14ac:dyDescent="0.2"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AC1722" t="e">
        <f ca="1">RANK(AB1722,OFFSET($AB$2,0,0,#REF!,1))</f>
        <v>#REF!</v>
      </c>
      <c r="AD1722" s="4" t="e">
        <f>InsurerSize(#REF!)</f>
        <v>#VALUE!</v>
      </c>
      <c r="AE1722" s="4" t="e">
        <f t="shared" si="38"/>
        <v>#VALUE!</v>
      </c>
    </row>
    <row r="1723" spans="8:31" x14ac:dyDescent="0.2"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AC1723" t="e">
        <f ca="1">RANK(AB1723,OFFSET($AB$2,0,0,#REF!,1))</f>
        <v>#REF!</v>
      </c>
      <c r="AD1723" s="4" t="e">
        <f>InsurerSize(#REF!)</f>
        <v>#VALUE!</v>
      </c>
      <c r="AE1723" s="4" t="e">
        <f t="shared" si="38"/>
        <v>#VALUE!</v>
      </c>
    </row>
    <row r="1724" spans="8:31" x14ac:dyDescent="0.2"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AC1724" t="e">
        <f ca="1">RANK(AB1724,OFFSET($AB$2,0,0,#REF!,1))</f>
        <v>#REF!</v>
      </c>
      <c r="AD1724" s="4" t="e">
        <f>InsurerSize(#REF!)</f>
        <v>#VALUE!</v>
      </c>
      <c r="AE1724" s="4" t="e">
        <f t="shared" si="38"/>
        <v>#VALUE!</v>
      </c>
    </row>
    <row r="1725" spans="8:31" x14ac:dyDescent="0.2"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AC1725" t="e">
        <f ca="1">RANK(AB1725,OFFSET($AB$2,0,0,#REF!,1))</f>
        <v>#REF!</v>
      </c>
      <c r="AD1725" s="4" t="e">
        <f>InsurerSize(#REF!)</f>
        <v>#VALUE!</v>
      </c>
      <c r="AE1725" s="4" t="e">
        <f t="shared" si="38"/>
        <v>#VALUE!</v>
      </c>
    </row>
    <row r="1726" spans="8:31" x14ac:dyDescent="0.2"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AC1726" t="e">
        <f ca="1">RANK(AB1726,OFFSET($AB$2,0,0,#REF!,1))</f>
        <v>#REF!</v>
      </c>
      <c r="AD1726" s="4" t="e">
        <f>InsurerSize(#REF!)</f>
        <v>#VALUE!</v>
      </c>
      <c r="AE1726" s="4" t="e">
        <f t="shared" si="38"/>
        <v>#VALUE!</v>
      </c>
    </row>
    <row r="1727" spans="8:31" x14ac:dyDescent="0.2"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AC1727" t="e">
        <f ca="1">RANK(AB1727,OFFSET($AB$2,0,0,#REF!,1))</f>
        <v>#REF!</v>
      </c>
      <c r="AD1727" s="4" t="e">
        <f>InsurerSize(#REF!)</f>
        <v>#VALUE!</v>
      </c>
      <c r="AE1727" s="4" t="e">
        <f t="shared" si="38"/>
        <v>#VALUE!</v>
      </c>
    </row>
    <row r="1728" spans="8:31" x14ac:dyDescent="0.2"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AC1728" t="e">
        <f ca="1">RANK(AB1728,OFFSET($AB$2,0,0,#REF!,1))</f>
        <v>#REF!</v>
      </c>
      <c r="AD1728" s="4" t="e">
        <f>InsurerSize(#REF!)</f>
        <v>#VALUE!</v>
      </c>
      <c r="AE1728" s="4" t="e">
        <f t="shared" si="38"/>
        <v>#VALUE!</v>
      </c>
    </row>
    <row r="1729" spans="8:31" x14ac:dyDescent="0.2"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AC1729" t="e">
        <f ca="1">RANK(AB1729,OFFSET($AB$2,0,0,#REF!,1))</f>
        <v>#REF!</v>
      </c>
      <c r="AD1729" s="4" t="e">
        <f>InsurerSize(#REF!)</f>
        <v>#VALUE!</v>
      </c>
      <c r="AE1729" s="4" t="e">
        <f t="shared" si="38"/>
        <v>#VALUE!</v>
      </c>
    </row>
    <row r="1730" spans="8:31" x14ac:dyDescent="0.2"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AC1730" t="e">
        <f ca="1">RANK(AB1730,OFFSET($AB$2,0,0,#REF!,1))</f>
        <v>#REF!</v>
      </c>
      <c r="AD1730" s="4" t="e">
        <f>InsurerSize(#REF!)</f>
        <v>#VALUE!</v>
      </c>
      <c r="AE1730" s="4" t="e">
        <f t="shared" ref="AE1730:AE1793" si="39">A1730&amp;AD1730</f>
        <v>#VALUE!</v>
      </c>
    </row>
    <row r="1731" spans="8:31" x14ac:dyDescent="0.2"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AC1731" t="e">
        <f ca="1">RANK(AB1731,OFFSET($AB$2,0,0,#REF!,1))</f>
        <v>#REF!</v>
      </c>
      <c r="AD1731" s="4" t="e">
        <f>InsurerSize(#REF!)</f>
        <v>#VALUE!</v>
      </c>
      <c r="AE1731" s="4" t="e">
        <f t="shared" si="39"/>
        <v>#VALUE!</v>
      </c>
    </row>
    <row r="1732" spans="8:31" x14ac:dyDescent="0.2"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AC1732" t="e">
        <f ca="1">RANK(AB1732,OFFSET($AB$2,0,0,#REF!,1))</f>
        <v>#REF!</v>
      </c>
      <c r="AD1732" s="4" t="e">
        <f>InsurerSize(#REF!)</f>
        <v>#VALUE!</v>
      </c>
      <c r="AE1732" s="4" t="e">
        <f t="shared" si="39"/>
        <v>#VALUE!</v>
      </c>
    </row>
    <row r="1733" spans="8:31" x14ac:dyDescent="0.2"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AC1733" t="e">
        <f ca="1">RANK(AB1733,OFFSET($AB$2,0,0,#REF!,1))</f>
        <v>#REF!</v>
      </c>
      <c r="AD1733" s="4" t="e">
        <f>InsurerSize(#REF!)</f>
        <v>#VALUE!</v>
      </c>
      <c r="AE1733" s="4" t="e">
        <f t="shared" si="39"/>
        <v>#VALUE!</v>
      </c>
    </row>
    <row r="1734" spans="8:31" x14ac:dyDescent="0.2"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AC1734" t="e">
        <f ca="1">RANK(AB1734,OFFSET($AB$2,0,0,#REF!,1))</f>
        <v>#REF!</v>
      </c>
      <c r="AD1734" s="4" t="e">
        <f>InsurerSize(#REF!)</f>
        <v>#VALUE!</v>
      </c>
      <c r="AE1734" s="4" t="e">
        <f t="shared" si="39"/>
        <v>#VALUE!</v>
      </c>
    </row>
    <row r="1735" spans="8:31" x14ac:dyDescent="0.2"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AC1735" t="e">
        <f ca="1">RANK(AB1735,OFFSET($AB$2,0,0,#REF!,1))</f>
        <v>#REF!</v>
      </c>
      <c r="AD1735" s="4" t="e">
        <f>InsurerSize(#REF!)</f>
        <v>#VALUE!</v>
      </c>
      <c r="AE1735" s="4" t="e">
        <f t="shared" si="39"/>
        <v>#VALUE!</v>
      </c>
    </row>
    <row r="1736" spans="8:31" x14ac:dyDescent="0.2"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AC1736" t="e">
        <f ca="1">RANK(AB1736,OFFSET($AB$2,0,0,#REF!,1))</f>
        <v>#REF!</v>
      </c>
      <c r="AD1736" s="4" t="e">
        <f>InsurerSize(#REF!)</f>
        <v>#VALUE!</v>
      </c>
      <c r="AE1736" s="4" t="e">
        <f t="shared" si="39"/>
        <v>#VALUE!</v>
      </c>
    </row>
    <row r="1737" spans="8:31" x14ac:dyDescent="0.2"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AC1737" t="e">
        <f ca="1">RANK(AB1737,OFFSET($AB$2,0,0,#REF!,1))</f>
        <v>#REF!</v>
      </c>
      <c r="AD1737" s="4" t="e">
        <f>InsurerSize(#REF!)</f>
        <v>#VALUE!</v>
      </c>
      <c r="AE1737" s="4" t="e">
        <f t="shared" si="39"/>
        <v>#VALUE!</v>
      </c>
    </row>
    <row r="1738" spans="8:31" x14ac:dyDescent="0.2"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AC1738" t="e">
        <f ca="1">RANK(AB1738,OFFSET($AB$2,0,0,#REF!,1))</f>
        <v>#REF!</v>
      </c>
      <c r="AD1738" s="4" t="e">
        <f>InsurerSize(#REF!)</f>
        <v>#VALUE!</v>
      </c>
      <c r="AE1738" s="4" t="e">
        <f t="shared" si="39"/>
        <v>#VALUE!</v>
      </c>
    </row>
    <row r="1739" spans="8:31" x14ac:dyDescent="0.2"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AC1739" t="e">
        <f ca="1">RANK(AB1739,OFFSET($AB$2,0,0,#REF!,1))</f>
        <v>#REF!</v>
      </c>
      <c r="AD1739" s="4" t="e">
        <f>InsurerSize(#REF!)</f>
        <v>#VALUE!</v>
      </c>
      <c r="AE1739" s="4" t="e">
        <f t="shared" si="39"/>
        <v>#VALUE!</v>
      </c>
    </row>
    <row r="1740" spans="8:31" x14ac:dyDescent="0.2"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AC1740" t="e">
        <f ca="1">RANK(AB1740,OFFSET($AB$2,0,0,#REF!,1))</f>
        <v>#REF!</v>
      </c>
      <c r="AD1740" s="4" t="e">
        <f>InsurerSize(#REF!)</f>
        <v>#VALUE!</v>
      </c>
      <c r="AE1740" s="4" t="e">
        <f t="shared" si="39"/>
        <v>#VALUE!</v>
      </c>
    </row>
    <row r="1741" spans="8:31" x14ac:dyDescent="0.2"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AC1741" t="e">
        <f ca="1">RANK(AB1741,OFFSET($AB$2,0,0,#REF!,1))</f>
        <v>#REF!</v>
      </c>
      <c r="AD1741" s="4" t="e">
        <f>InsurerSize(#REF!)</f>
        <v>#VALUE!</v>
      </c>
      <c r="AE1741" s="4" t="e">
        <f t="shared" si="39"/>
        <v>#VALUE!</v>
      </c>
    </row>
    <row r="1742" spans="8:31" x14ac:dyDescent="0.2"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AC1742" t="e">
        <f ca="1">RANK(AB1742,OFFSET($AB$2,0,0,#REF!,1))</f>
        <v>#REF!</v>
      </c>
      <c r="AD1742" s="4" t="e">
        <f>InsurerSize(#REF!)</f>
        <v>#VALUE!</v>
      </c>
      <c r="AE1742" s="4" t="e">
        <f t="shared" si="39"/>
        <v>#VALUE!</v>
      </c>
    </row>
    <row r="1743" spans="8:31" x14ac:dyDescent="0.2"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AC1743" t="e">
        <f ca="1">RANK(AB1743,OFFSET($AB$2,0,0,#REF!,1))</f>
        <v>#REF!</v>
      </c>
      <c r="AD1743" s="4" t="e">
        <f>InsurerSize(#REF!)</f>
        <v>#VALUE!</v>
      </c>
      <c r="AE1743" s="4" t="e">
        <f t="shared" si="39"/>
        <v>#VALUE!</v>
      </c>
    </row>
    <row r="1744" spans="8:31" x14ac:dyDescent="0.2"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AC1744" t="e">
        <f ca="1">RANK(AB1744,OFFSET($AB$2,0,0,#REF!,1))</f>
        <v>#REF!</v>
      </c>
      <c r="AD1744" s="4" t="e">
        <f>InsurerSize(#REF!)</f>
        <v>#VALUE!</v>
      </c>
      <c r="AE1744" s="4" t="e">
        <f t="shared" si="39"/>
        <v>#VALUE!</v>
      </c>
    </row>
    <row r="1745" spans="8:31" x14ac:dyDescent="0.2"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AC1745" t="e">
        <f ca="1">RANK(AB1745,OFFSET($AB$2,0,0,#REF!,1))</f>
        <v>#REF!</v>
      </c>
      <c r="AD1745" s="4" t="e">
        <f>InsurerSize(#REF!)</f>
        <v>#VALUE!</v>
      </c>
      <c r="AE1745" s="4" t="e">
        <f t="shared" si="39"/>
        <v>#VALUE!</v>
      </c>
    </row>
    <row r="1746" spans="8:31" x14ac:dyDescent="0.2"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AC1746" t="e">
        <f ca="1">RANK(AB1746,OFFSET($AB$2,0,0,#REF!,1))</f>
        <v>#REF!</v>
      </c>
      <c r="AD1746" s="4" t="e">
        <f>InsurerSize(#REF!)</f>
        <v>#VALUE!</v>
      </c>
      <c r="AE1746" s="4" t="e">
        <f t="shared" si="39"/>
        <v>#VALUE!</v>
      </c>
    </row>
    <row r="1747" spans="8:31" x14ac:dyDescent="0.2"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AC1747" t="e">
        <f ca="1">RANK(AB1747,OFFSET($AB$2,0,0,#REF!,1))</f>
        <v>#REF!</v>
      </c>
      <c r="AD1747" s="4" t="e">
        <f>InsurerSize(#REF!)</f>
        <v>#VALUE!</v>
      </c>
      <c r="AE1747" s="4" t="e">
        <f t="shared" si="39"/>
        <v>#VALUE!</v>
      </c>
    </row>
    <row r="1748" spans="8:31" x14ac:dyDescent="0.2"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AC1748" t="e">
        <f ca="1">RANK(AB1748,OFFSET($AB$2,0,0,#REF!,1))</f>
        <v>#REF!</v>
      </c>
      <c r="AD1748" s="4" t="e">
        <f>InsurerSize(#REF!)</f>
        <v>#VALUE!</v>
      </c>
      <c r="AE1748" s="4" t="e">
        <f t="shared" si="39"/>
        <v>#VALUE!</v>
      </c>
    </row>
    <row r="1749" spans="8:31" x14ac:dyDescent="0.2"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AC1749" t="e">
        <f ca="1">RANK(AB1749,OFFSET($AB$2,0,0,#REF!,1))</f>
        <v>#REF!</v>
      </c>
      <c r="AD1749" s="4" t="e">
        <f>InsurerSize(#REF!)</f>
        <v>#VALUE!</v>
      </c>
      <c r="AE1749" s="4" t="e">
        <f t="shared" si="39"/>
        <v>#VALUE!</v>
      </c>
    </row>
    <row r="1750" spans="8:31" x14ac:dyDescent="0.2"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AC1750" t="e">
        <f ca="1">RANK(AB1750,OFFSET($AB$2,0,0,#REF!,1))</f>
        <v>#REF!</v>
      </c>
      <c r="AD1750" s="4" t="e">
        <f>InsurerSize(#REF!)</f>
        <v>#VALUE!</v>
      </c>
      <c r="AE1750" s="4" t="e">
        <f t="shared" si="39"/>
        <v>#VALUE!</v>
      </c>
    </row>
    <row r="1751" spans="8:31" x14ac:dyDescent="0.2"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AC1751" t="e">
        <f ca="1">RANK(AB1751,OFFSET($AB$2,0,0,#REF!,1))</f>
        <v>#REF!</v>
      </c>
      <c r="AD1751" s="4" t="e">
        <f>InsurerSize(#REF!)</f>
        <v>#VALUE!</v>
      </c>
      <c r="AE1751" s="4" t="e">
        <f t="shared" si="39"/>
        <v>#VALUE!</v>
      </c>
    </row>
    <row r="1752" spans="8:31" x14ac:dyDescent="0.2"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AC1752" t="e">
        <f ca="1">RANK(AB1752,OFFSET($AB$2,0,0,#REF!,1))</f>
        <v>#REF!</v>
      </c>
      <c r="AD1752" s="4" t="e">
        <f>InsurerSize(#REF!)</f>
        <v>#VALUE!</v>
      </c>
      <c r="AE1752" s="4" t="e">
        <f t="shared" si="39"/>
        <v>#VALUE!</v>
      </c>
    </row>
    <row r="1753" spans="8:31" x14ac:dyDescent="0.2"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AC1753" t="e">
        <f ca="1">RANK(AB1753,OFFSET($AB$2,0,0,#REF!,1))</f>
        <v>#REF!</v>
      </c>
      <c r="AD1753" s="4" t="e">
        <f>InsurerSize(#REF!)</f>
        <v>#VALUE!</v>
      </c>
      <c r="AE1753" s="4" t="e">
        <f t="shared" si="39"/>
        <v>#VALUE!</v>
      </c>
    </row>
    <row r="1754" spans="8:31" x14ac:dyDescent="0.2"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AC1754" t="e">
        <f ca="1">RANK(AB1754,OFFSET($AB$2,0,0,#REF!,1))</f>
        <v>#REF!</v>
      </c>
      <c r="AD1754" s="4" t="e">
        <f>InsurerSize(#REF!)</f>
        <v>#VALUE!</v>
      </c>
      <c r="AE1754" s="4" t="e">
        <f t="shared" si="39"/>
        <v>#VALUE!</v>
      </c>
    </row>
    <row r="1755" spans="8:31" x14ac:dyDescent="0.2"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AC1755" t="e">
        <f ca="1">RANK(AB1755,OFFSET($AB$2,0,0,#REF!,1))</f>
        <v>#REF!</v>
      </c>
      <c r="AD1755" s="4" t="e">
        <f>InsurerSize(#REF!)</f>
        <v>#VALUE!</v>
      </c>
      <c r="AE1755" s="4" t="e">
        <f t="shared" si="39"/>
        <v>#VALUE!</v>
      </c>
    </row>
    <row r="1756" spans="8:31" x14ac:dyDescent="0.2"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AC1756" t="e">
        <f ca="1">RANK(AB1756,OFFSET($AB$2,0,0,#REF!,1))</f>
        <v>#REF!</v>
      </c>
      <c r="AD1756" s="4" t="e">
        <f>InsurerSize(#REF!)</f>
        <v>#VALUE!</v>
      </c>
      <c r="AE1756" s="4" t="e">
        <f t="shared" si="39"/>
        <v>#VALUE!</v>
      </c>
    </row>
    <row r="1757" spans="8:31" x14ac:dyDescent="0.2"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AC1757" t="e">
        <f ca="1">RANK(AB1757,OFFSET($AB$2,0,0,#REF!,1))</f>
        <v>#REF!</v>
      </c>
      <c r="AD1757" s="4" t="e">
        <f>InsurerSize(#REF!)</f>
        <v>#VALUE!</v>
      </c>
      <c r="AE1757" s="4" t="e">
        <f t="shared" si="39"/>
        <v>#VALUE!</v>
      </c>
    </row>
    <row r="1758" spans="8:31" x14ac:dyDescent="0.2"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AC1758" t="e">
        <f ca="1">RANK(AB1758,OFFSET($AB$2,0,0,#REF!,1))</f>
        <v>#REF!</v>
      </c>
      <c r="AD1758" s="4" t="e">
        <f>InsurerSize(#REF!)</f>
        <v>#VALUE!</v>
      </c>
      <c r="AE1758" s="4" t="e">
        <f t="shared" si="39"/>
        <v>#VALUE!</v>
      </c>
    </row>
    <row r="1759" spans="8:31" x14ac:dyDescent="0.2"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AC1759" t="e">
        <f ca="1">RANK(AB1759,OFFSET($AB$2,0,0,#REF!,1))</f>
        <v>#REF!</v>
      </c>
      <c r="AD1759" s="4" t="e">
        <f>InsurerSize(#REF!)</f>
        <v>#VALUE!</v>
      </c>
      <c r="AE1759" s="4" t="e">
        <f t="shared" si="39"/>
        <v>#VALUE!</v>
      </c>
    </row>
    <row r="1760" spans="8:31" x14ac:dyDescent="0.2"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AC1760" t="e">
        <f ca="1">RANK(AB1760,OFFSET($AB$2,0,0,#REF!,1))</f>
        <v>#REF!</v>
      </c>
      <c r="AD1760" s="4" t="e">
        <f>InsurerSize(#REF!)</f>
        <v>#VALUE!</v>
      </c>
      <c r="AE1760" s="4" t="e">
        <f t="shared" si="39"/>
        <v>#VALUE!</v>
      </c>
    </row>
    <row r="1761" spans="8:31" x14ac:dyDescent="0.2"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AC1761" t="e">
        <f ca="1">RANK(AB1761,OFFSET($AB$2,0,0,#REF!,1))</f>
        <v>#REF!</v>
      </c>
      <c r="AD1761" s="4" t="e">
        <f>InsurerSize(#REF!)</f>
        <v>#VALUE!</v>
      </c>
      <c r="AE1761" s="4" t="e">
        <f t="shared" si="39"/>
        <v>#VALUE!</v>
      </c>
    </row>
    <row r="1762" spans="8:31" x14ac:dyDescent="0.2"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AC1762" t="e">
        <f ca="1">RANK(AB1762,OFFSET($AB$2,0,0,#REF!,1))</f>
        <v>#REF!</v>
      </c>
      <c r="AD1762" s="4" t="e">
        <f>InsurerSize(#REF!)</f>
        <v>#VALUE!</v>
      </c>
      <c r="AE1762" s="4" t="e">
        <f t="shared" si="39"/>
        <v>#VALUE!</v>
      </c>
    </row>
    <row r="1763" spans="8:31" x14ac:dyDescent="0.2"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AC1763" t="e">
        <f ca="1">RANK(AB1763,OFFSET($AB$2,0,0,#REF!,1))</f>
        <v>#REF!</v>
      </c>
      <c r="AD1763" s="4" t="e">
        <f>InsurerSize(#REF!)</f>
        <v>#VALUE!</v>
      </c>
      <c r="AE1763" s="4" t="e">
        <f t="shared" si="39"/>
        <v>#VALUE!</v>
      </c>
    </row>
    <row r="1764" spans="8:31" x14ac:dyDescent="0.2"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AC1764" t="e">
        <f ca="1">RANK(AB1764,OFFSET($AB$2,0,0,#REF!,1))</f>
        <v>#REF!</v>
      </c>
      <c r="AD1764" s="4" t="e">
        <f>InsurerSize(#REF!)</f>
        <v>#VALUE!</v>
      </c>
      <c r="AE1764" s="4" t="e">
        <f t="shared" si="39"/>
        <v>#VALUE!</v>
      </c>
    </row>
    <row r="1765" spans="8:31" x14ac:dyDescent="0.2"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AC1765" t="e">
        <f ca="1">RANK(AB1765,OFFSET($AB$2,0,0,#REF!,1))</f>
        <v>#REF!</v>
      </c>
      <c r="AD1765" s="4" t="e">
        <f>InsurerSize(#REF!)</f>
        <v>#VALUE!</v>
      </c>
      <c r="AE1765" s="4" t="e">
        <f t="shared" si="39"/>
        <v>#VALUE!</v>
      </c>
    </row>
    <row r="1766" spans="8:31" x14ac:dyDescent="0.2"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AC1766" t="e">
        <f ca="1">RANK(AB1766,OFFSET($AB$2,0,0,#REF!,1))</f>
        <v>#REF!</v>
      </c>
      <c r="AD1766" s="4" t="e">
        <f>InsurerSize(#REF!)</f>
        <v>#VALUE!</v>
      </c>
      <c r="AE1766" s="4" t="e">
        <f t="shared" si="39"/>
        <v>#VALUE!</v>
      </c>
    </row>
    <row r="1767" spans="8:31" x14ac:dyDescent="0.2"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AC1767" t="e">
        <f ca="1">RANK(AB1767,OFFSET($AB$2,0,0,#REF!,1))</f>
        <v>#REF!</v>
      </c>
      <c r="AD1767" s="4" t="e">
        <f>InsurerSize(#REF!)</f>
        <v>#VALUE!</v>
      </c>
      <c r="AE1767" s="4" t="e">
        <f t="shared" si="39"/>
        <v>#VALUE!</v>
      </c>
    </row>
    <row r="1768" spans="8:31" x14ac:dyDescent="0.2"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AC1768" t="e">
        <f ca="1">RANK(AB1768,OFFSET($AB$2,0,0,#REF!,1))</f>
        <v>#REF!</v>
      </c>
      <c r="AD1768" s="4" t="e">
        <f>InsurerSize(#REF!)</f>
        <v>#VALUE!</v>
      </c>
      <c r="AE1768" s="4" t="e">
        <f t="shared" si="39"/>
        <v>#VALUE!</v>
      </c>
    </row>
    <row r="1769" spans="8:31" x14ac:dyDescent="0.2"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AC1769" t="e">
        <f ca="1">RANK(AB1769,OFFSET($AB$2,0,0,#REF!,1))</f>
        <v>#REF!</v>
      </c>
      <c r="AD1769" s="4" t="e">
        <f>InsurerSize(#REF!)</f>
        <v>#VALUE!</v>
      </c>
      <c r="AE1769" s="4" t="e">
        <f t="shared" si="39"/>
        <v>#VALUE!</v>
      </c>
    </row>
    <row r="1770" spans="8:31" x14ac:dyDescent="0.2"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AC1770" t="e">
        <f ca="1">RANK(AB1770,OFFSET($AB$2,0,0,#REF!,1))</f>
        <v>#REF!</v>
      </c>
      <c r="AD1770" s="4" t="e">
        <f>InsurerSize(#REF!)</f>
        <v>#VALUE!</v>
      </c>
      <c r="AE1770" s="4" t="e">
        <f t="shared" si="39"/>
        <v>#VALUE!</v>
      </c>
    </row>
    <row r="1771" spans="8:31" x14ac:dyDescent="0.2"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AC1771" t="e">
        <f ca="1">RANK(AB1771,OFFSET($AB$2,0,0,#REF!,1))</f>
        <v>#REF!</v>
      </c>
      <c r="AD1771" s="4" t="e">
        <f>InsurerSize(#REF!)</f>
        <v>#VALUE!</v>
      </c>
      <c r="AE1771" s="4" t="e">
        <f t="shared" si="39"/>
        <v>#VALUE!</v>
      </c>
    </row>
    <row r="1772" spans="8:31" x14ac:dyDescent="0.2"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AC1772" t="e">
        <f ca="1">RANK(AB1772,OFFSET($AB$2,0,0,#REF!,1))</f>
        <v>#REF!</v>
      </c>
      <c r="AD1772" s="4" t="e">
        <f>InsurerSize(#REF!)</f>
        <v>#VALUE!</v>
      </c>
      <c r="AE1772" s="4" t="e">
        <f t="shared" si="39"/>
        <v>#VALUE!</v>
      </c>
    </row>
    <row r="1773" spans="8:31" x14ac:dyDescent="0.2"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AC1773" t="e">
        <f ca="1">RANK(AB1773,OFFSET($AB$2,0,0,#REF!,1))</f>
        <v>#REF!</v>
      </c>
      <c r="AD1773" s="4" t="e">
        <f>InsurerSize(#REF!)</f>
        <v>#VALUE!</v>
      </c>
      <c r="AE1773" s="4" t="e">
        <f t="shared" si="39"/>
        <v>#VALUE!</v>
      </c>
    </row>
    <row r="1774" spans="8:31" x14ac:dyDescent="0.2"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AC1774" t="e">
        <f ca="1">RANK(AB1774,OFFSET($AB$2,0,0,#REF!,1))</f>
        <v>#REF!</v>
      </c>
      <c r="AD1774" s="4" t="e">
        <f>InsurerSize(#REF!)</f>
        <v>#VALUE!</v>
      </c>
      <c r="AE1774" s="4" t="e">
        <f t="shared" si="39"/>
        <v>#VALUE!</v>
      </c>
    </row>
    <row r="1775" spans="8:31" x14ac:dyDescent="0.2"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AC1775" t="e">
        <f ca="1">RANK(AB1775,OFFSET($AB$2,0,0,#REF!,1))</f>
        <v>#REF!</v>
      </c>
      <c r="AD1775" s="4" t="e">
        <f>InsurerSize(#REF!)</f>
        <v>#VALUE!</v>
      </c>
      <c r="AE1775" s="4" t="e">
        <f t="shared" si="39"/>
        <v>#VALUE!</v>
      </c>
    </row>
    <row r="1776" spans="8:31" x14ac:dyDescent="0.2"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AC1776" t="e">
        <f ca="1">RANK(AB1776,OFFSET($AB$2,0,0,#REF!,1))</f>
        <v>#REF!</v>
      </c>
      <c r="AD1776" s="4" t="e">
        <f>InsurerSize(#REF!)</f>
        <v>#VALUE!</v>
      </c>
      <c r="AE1776" s="4" t="e">
        <f t="shared" si="39"/>
        <v>#VALUE!</v>
      </c>
    </row>
    <row r="1777" spans="8:31" x14ac:dyDescent="0.2"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AC1777" t="e">
        <f ca="1">RANK(AB1777,OFFSET($AB$2,0,0,#REF!,1))</f>
        <v>#REF!</v>
      </c>
      <c r="AD1777" s="4" t="e">
        <f>InsurerSize(#REF!)</f>
        <v>#VALUE!</v>
      </c>
      <c r="AE1777" s="4" t="e">
        <f t="shared" si="39"/>
        <v>#VALUE!</v>
      </c>
    </row>
    <row r="1778" spans="8:31" x14ac:dyDescent="0.2"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AC1778" t="e">
        <f ca="1">RANK(AB1778,OFFSET($AB$2,0,0,#REF!,1))</f>
        <v>#REF!</v>
      </c>
      <c r="AD1778" s="4" t="e">
        <f>InsurerSize(#REF!)</f>
        <v>#VALUE!</v>
      </c>
      <c r="AE1778" s="4" t="e">
        <f t="shared" si="39"/>
        <v>#VALUE!</v>
      </c>
    </row>
    <row r="1779" spans="8:31" x14ac:dyDescent="0.2"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AC1779" t="e">
        <f ca="1">RANK(AB1779,OFFSET($AB$2,0,0,#REF!,1))</f>
        <v>#REF!</v>
      </c>
      <c r="AD1779" s="4" t="e">
        <f>InsurerSize(#REF!)</f>
        <v>#VALUE!</v>
      </c>
      <c r="AE1779" s="4" t="e">
        <f t="shared" si="39"/>
        <v>#VALUE!</v>
      </c>
    </row>
    <row r="1780" spans="8:31" x14ac:dyDescent="0.2"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AC1780" t="e">
        <f ca="1">RANK(AB1780,OFFSET($AB$2,0,0,#REF!,1))</f>
        <v>#REF!</v>
      </c>
      <c r="AD1780" s="4" t="e">
        <f>InsurerSize(#REF!)</f>
        <v>#VALUE!</v>
      </c>
      <c r="AE1780" s="4" t="e">
        <f t="shared" si="39"/>
        <v>#VALUE!</v>
      </c>
    </row>
    <row r="1781" spans="8:31" x14ac:dyDescent="0.2"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AC1781" t="e">
        <f ca="1">RANK(AB1781,OFFSET($AB$2,0,0,#REF!,1))</f>
        <v>#REF!</v>
      </c>
      <c r="AD1781" s="4" t="e">
        <f>InsurerSize(#REF!)</f>
        <v>#VALUE!</v>
      </c>
      <c r="AE1781" s="4" t="e">
        <f t="shared" si="39"/>
        <v>#VALUE!</v>
      </c>
    </row>
    <row r="1782" spans="8:31" x14ac:dyDescent="0.2"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AC1782" t="e">
        <f ca="1">RANK(AB1782,OFFSET($AB$2,0,0,#REF!,1))</f>
        <v>#REF!</v>
      </c>
      <c r="AD1782" s="4" t="e">
        <f>InsurerSize(#REF!)</f>
        <v>#VALUE!</v>
      </c>
      <c r="AE1782" s="4" t="e">
        <f t="shared" si="39"/>
        <v>#VALUE!</v>
      </c>
    </row>
    <row r="1783" spans="8:31" x14ac:dyDescent="0.2"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AC1783" t="e">
        <f ca="1">RANK(AB1783,OFFSET($AB$2,0,0,#REF!,1))</f>
        <v>#REF!</v>
      </c>
      <c r="AD1783" s="4" t="e">
        <f>InsurerSize(#REF!)</f>
        <v>#VALUE!</v>
      </c>
      <c r="AE1783" s="4" t="e">
        <f t="shared" si="39"/>
        <v>#VALUE!</v>
      </c>
    </row>
    <row r="1784" spans="8:31" x14ac:dyDescent="0.2"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AC1784" t="e">
        <f ca="1">RANK(AB1784,OFFSET($AB$2,0,0,#REF!,1))</f>
        <v>#REF!</v>
      </c>
      <c r="AD1784" s="4" t="e">
        <f>InsurerSize(#REF!)</f>
        <v>#VALUE!</v>
      </c>
      <c r="AE1784" s="4" t="e">
        <f t="shared" si="39"/>
        <v>#VALUE!</v>
      </c>
    </row>
    <row r="1785" spans="8:31" x14ac:dyDescent="0.2"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AC1785" t="e">
        <f ca="1">RANK(AB1785,OFFSET($AB$2,0,0,#REF!,1))</f>
        <v>#REF!</v>
      </c>
      <c r="AD1785" s="4" t="e">
        <f>InsurerSize(#REF!)</f>
        <v>#VALUE!</v>
      </c>
      <c r="AE1785" s="4" t="e">
        <f t="shared" si="39"/>
        <v>#VALUE!</v>
      </c>
    </row>
    <row r="1786" spans="8:31" x14ac:dyDescent="0.2"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AC1786" t="e">
        <f ca="1">RANK(AB1786,OFFSET($AB$2,0,0,#REF!,1))</f>
        <v>#REF!</v>
      </c>
      <c r="AD1786" s="4" t="e">
        <f>InsurerSize(#REF!)</f>
        <v>#VALUE!</v>
      </c>
      <c r="AE1786" s="4" t="e">
        <f t="shared" si="39"/>
        <v>#VALUE!</v>
      </c>
    </row>
    <row r="1787" spans="8:31" x14ac:dyDescent="0.2"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AC1787" t="e">
        <f ca="1">RANK(AB1787,OFFSET($AB$2,0,0,#REF!,1))</f>
        <v>#REF!</v>
      </c>
      <c r="AD1787" s="4" t="e">
        <f>InsurerSize(#REF!)</f>
        <v>#VALUE!</v>
      </c>
      <c r="AE1787" s="4" t="e">
        <f t="shared" si="39"/>
        <v>#VALUE!</v>
      </c>
    </row>
    <row r="1788" spans="8:31" x14ac:dyDescent="0.2"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AC1788" t="e">
        <f ca="1">RANK(AB1788,OFFSET($AB$2,0,0,#REF!,1))</f>
        <v>#REF!</v>
      </c>
      <c r="AD1788" s="4" t="e">
        <f>InsurerSize(#REF!)</f>
        <v>#VALUE!</v>
      </c>
      <c r="AE1788" s="4" t="e">
        <f t="shared" si="39"/>
        <v>#VALUE!</v>
      </c>
    </row>
    <row r="1789" spans="8:31" x14ac:dyDescent="0.2"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AC1789" t="e">
        <f ca="1">RANK(AB1789,OFFSET($AB$2,0,0,#REF!,1))</f>
        <v>#REF!</v>
      </c>
      <c r="AD1789" s="4" t="e">
        <f>InsurerSize(#REF!)</f>
        <v>#VALUE!</v>
      </c>
      <c r="AE1789" s="4" t="e">
        <f t="shared" si="39"/>
        <v>#VALUE!</v>
      </c>
    </row>
    <row r="1790" spans="8:31" x14ac:dyDescent="0.2"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AC1790" t="e">
        <f ca="1">RANK(AB1790,OFFSET($AB$2,0,0,#REF!,1))</f>
        <v>#REF!</v>
      </c>
      <c r="AD1790" s="4" t="e">
        <f>InsurerSize(#REF!)</f>
        <v>#VALUE!</v>
      </c>
      <c r="AE1790" s="4" t="e">
        <f t="shared" si="39"/>
        <v>#VALUE!</v>
      </c>
    </row>
    <row r="1791" spans="8:31" x14ac:dyDescent="0.2"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AC1791" t="e">
        <f ca="1">RANK(AB1791,OFFSET($AB$2,0,0,#REF!,1))</f>
        <v>#REF!</v>
      </c>
      <c r="AD1791" s="4" t="e">
        <f>InsurerSize(#REF!)</f>
        <v>#VALUE!</v>
      </c>
      <c r="AE1791" s="4" t="e">
        <f t="shared" si="39"/>
        <v>#VALUE!</v>
      </c>
    </row>
    <row r="1792" spans="8:31" x14ac:dyDescent="0.2"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AC1792" t="e">
        <f ca="1">RANK(AB1792,OFFSET($AB$2,0,0,#REF!,1))</f>
        <v>#REF!</v>
      </c>
      <c r="AD1792" s="4" t="e">
        <f>InsurerSize(#REF!)</f>
        <v>#VALUE!</v>
      </c>
      <c r="AE1792" s="4" t="e">
        <f t="shared" si="39"/>
        <v>#VALUE!</v>
      </c>
    </row>
    <row r="1793" spans="8:31" x14ac:dyDescent="0.2"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AC1793" t="e">
        <f ca="1">RANK(AB1793,OFFSET($AB$2,0,0,#REF!,1))</f>
        <v>#REF!</v>
      </c>
      <c r="AD1793" s="4" t="e">
        <f>InsurerSize(#REF!)</f>
        <v>#VALUE!</v>
      </c>
      <c r="AE1793" s="4" t="e">
        <f t="shared" si="39"/>
        <v>#VALUE!</v>
      </c>
    </row>
    <row r="1794" spans="8:31" x14ac:dyDescent="0.2"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AC1794" t="e">
        <f ca="1">RANK(AB1794,OFFSET($AB$2,0,0,#REF!,1))</f>
        <v>#REF!</v>
      </c>
      <c r="AD1794" s="4" t="e">
        <f>InsurerSize(#REF!)</f>
        <v>#VALUE!</v>
      </c>
      <c r="AE1794" s="4" t="e">
        <f t="shared" ref="AE1794:AE1857" si="40">A1794&amp;AD1794</f>
        <v>#VALUE!</v>
      </c>
    </row>
    <row r="1795" spans="8:31" x14ac:dyDescent="0.2"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AC1795" t="e">
        <f ca="1">RANK(AB1795,OFFSET($AB$2,0,0,#REF!,1))</f>
        <v>#REF!</v>
      </c>
      <c r="AD1795" s="4" t="e">
        <f>InsurerSize(#REF!)</f>
        <v>#VALUE!</v>
      </c>
      <c r="AE1795" s="4" t="e">
        <f t="shared" si="40"/>
        <v>#VALUE!</v>
      </c>
    </row>
    <row r="1796" spans="8:31" x14ac:dyDescent="0.2"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AC1796" t="e">
        <f ca="1">RANK(AB1796,OFFSET($AB$2,0,0,#REF!,1))</f>
        <v>#REF!</v>
      </c>
      <c r="AD1796" s="4" t="e">
        <f>InsurerSize(#REF!)</f>
        <v>#VALUE!</v>
      </c>
      <c r="AE1796" s="4" t="e">
        <f t="shared" si="40"/>
        <v>#VALUE!</v>
      </c>
    </row>
    <row r="1797" spans="8:31" x14ac:dyDescent="0.2"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AC1797" t="e">
        <f ca="1">RANK(AB1797,OFFSET($AB$2,0,0,#REF!,1))</f>
        <v>#REF!</v>
      </c>
      <c r="AD1797" s="4" t="e">
        <f>InsurerSize(#REF!)</f>
        <v>#VALUE!</v>
      </c>
      <c r="AE1797" s="4" t="e">
        <f t="shared" si="40"/>
        <v>#VALUE!</v>
      </c>
    </row>
    <row r="1798" spans="8:31" x14ac:dyDescent="0.2"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AC1798" t="e">
        <f ca="1">RANK(AB1798,OFFSET($AB$2,0,0,#REF!,1))</f>
        <v>#REF!</v>
      </c>
      <c r="AD1798" s="4" t="e">
        <f>InsurerSize(#REF!)</f>
        <v>#VALUE!</v>
      </c>
      <c r="AE1798" s="4" t="e">
        <f t="shared" si="40"/>
        <v>#VALUE!</v>
      </c>
    </row>
    <row r="1799" spans="8:31" x14ac:dyDescent="0.2"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AC1799" t="e">
        <f ca="1">RANK(AB1799,OFFSET($AB$2,0,0,#REF!,1))</f>
        <v>#REF!</v>
      </c>
      <c r="AD1799" s="4" t="e">
        <f>InsurerSize(#REF!)</f>
        <v>#VALUE!</v>
      </c>
      <c r="AE1799" s="4" t="e">
        <f t="shared" si="40"/>
        <v>#VALUE!</v>
      </c>
    </row>
    <row r="1800" spans="8:31" x14ac:dyDescent="0.2"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AC1800" t="e">
        <f ca="1">RANK(AB1800,OFFSET($AB$2,0,0,#REF!,1))</f>
        <v>#REF!</v>
      </c>
      <c r="AD1800" s="4" t="e">
        <f>InsurerSize(#REF!)</f>
        <v>#VALUE!</v>
      </c>
      <c r="AE1800" s="4" t="e">
        <f t="shared" si="40"/>
        <v>#VALUE!</v>
      </c>
    </row>
    <row r="1801" spans="8:31" x14ac:dyDescent="0.2"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AC1801" t="e">
        <f ca="1">RANK(AB1801,OFFSET($AB$2,0,0,#REF!,1))</f>
        <v>#REF!</v>
      </c>
      <c r="AD1801" s="4" t="e">
        <f>InsurerSize(#REF!)</f>
        <v>#VALUE!</v>
      </c>
      <c r="AE1801" s="4" t="e">
        <f t="shared" si="40"/>
        <v>#VALUE!</v>
      </c>
    </row>
    <row r="1802" spans="8:31" x14ac:dyDescent="0.2"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AC1802" t="e">
        <f ca="1">RANK(AB1802,OFFSET($AB$2,0,0,#REF!,1))</f>
        <v>#REF!</v>
      </c>
      <c r="AD1802" s="4" t="e">
        <f>InsurerSize(#REF!)</f>
        <v>#VALUE!</v>
      </c>
      <c r="AE1802" s="4" t="e">
        <f t="shared" si="40"/>
        <v>#VALUE!</v>
      </c>
    </row>
    <row r="1803" spans="8:31" x14ac:dyDescent="0.2"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AC1803" t="e">
        <f ca="1">RANK(AB1803,OFFSET($AB$2,0,0,#REF!,1))</f>
        <v>#REF!</v>
      </c>
      <c r="AD1803" s="4" t="e">
        <f>InsurerSize(#REF!)</f>
        <v>#VALUE!</v>
      </c>
      <c r="AE1803" s="4" t="e">
        <f t="shared" si="40"/>
        <v>#VALUE!</v>
      </c>
    </row>
    <row r="1804" spans="8:31" x14ac:dyDescent="0.2"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AC1804" t="e">
        <f ca="1">RANK(AB1804,OFFSET($AB$2,0,0,#REF!,1))</f>
        <v>#REF!</v>
      </c>
      <c r="AD1804" s="4" t="e">
        <f>InsurerSize(#REF!)</f>
        <v>#VALUE!</v>
      </c>
      <c r="AE1804" s="4" t="e">
        <f t="shared" si="40"/>
        <v>#VALUE!</v>
      </c>
    </row>
    <row r="1805" spans="8:31" x14ac:dyDescent="0.2"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AC1805" t="e">
        <f ca="1">RANK(AB1805,OFFSET($AB$2,0,0,#REF!,1))</f>
        <v>#REF!</v>
      </c>
      <c r="AD1805" s="4" t="e">
        <f>InsurerSize(#REF!)</f>
        <v>#VALUE!</v>
      </c>
      <c r="AE1805" s="4" t="e">
        <f t="shared" si="40"/>
        <v>#VALUE!</v>
      </c>
    </row>
    <row r="1806" spans="8:31" x14ac:dyDescent="0.2"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AC1806" t="e">
        <f ca="1">RANK(AB1806,OFFSET($AB$2,0,0,#REF!,1))</f>
        <v>#REF!</v>
      </c>
      <c r="AD1806" s="4" t="e">
        <f>InsurerSize(#REF!)</f>
        <v>#VALUE!</v>
      </c>
      <c r="AE1806" s="4" t="e">
        <f t="shared" si="40"/>
        <v>#VALUE!</v>
      </c>
    </row>
    <row r="1807" spans="8:31" x14ac:dyDescent="0.2"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AC1807" t="e">
        <f ca="1">RANK(AB1807,OFFSET($AB$2,0,0,#REF!,1))</f>
        <v>#REF!</v>
      </c>
      <c r="AD1807" s="4" t="e">
        <f>InsurerSize(#REF!)</f>
        <v>#VALUE!</v>
      </c>
      <c r="AE1807" s="4" t="e">
        <f t="shared" si="40"/>
        <v>#VALUE!</v>
      </c>
    </row>
    <row r="1808" spans="8:31" x14ac:dyDescent="0.2"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AC1808" t="e">
        <f ca="1">RANK(AB1808,OFFSET($AB$2,0,0,#REF!,1))</f>
        <v>#REF!</v>
      </c>
      <c r="AD1808" s="4" t="e">
        <f>InsurerSize(#REF!)</f>
        <v>#VALUE!</v>
      </c>
      <c r="AE1808" s="4" t="e">
        <f t="shared" si="40"/>
        <v>#VALUE!</v>
      </c>
    </row>
    <row r="1809" spans="8:31" x14ac:dyDescent="0.2"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AC1809" t="e">
        <f ca="1">RANK(AB1809,OFFSET($AB$2,0,0,#REF!,1))</f>
        <v>#REF!</v>
      </c>
      <c r="AD1809" s="4" t="e">
        <f>InsurerSize(#REF!)</f>
        <v>#VALUE!</v>
      </c>
      <c r="AE1809" s="4" t="e">
        <f t="shared" si="40"/>
        <v>#VALUE!</v>
      </c>
    </row>
    <row r="1810" spans="8:31" x14ac:dyDescent="0.2"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AC1810" t="e">
        <f ca="1">RANK(AB1810,OFFSET($AB$2,0,0,#REF!,1))</f>
        <v>#REF!</v>
      </c>
      <c r="AD1810" s="4" t="e">
        <f>InsurerSize(#REF!)</f>
        <v>#VALUE!</v>
      </c>
      <c r="AE1810" s="4" t="e">
        <f t="shared" si="40"/>
        <v>#VALUE!</v>
      </c>
    </row>
    <row r="1811" spans="8:31" x14ac:dyDescent="0.2"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AC1811" t="e">
        <f ca="1">RANK(AB1811,OFFSET($AB$2,0,0,#REF!,1))</f>
        <v>#REF!</v>
      </c>
      <c r="AD1811" s="4" t="e">
        <f>InsurerSize(#REF!)</f>
        <v>#VALUE!</v>
      </c>
      <c r="AE1811" s="4" t="e">
        <f t="shared" si="40"/>
        <v>#VALUE!</v>
      </c>
    </row>
    <row r="1812" spans="8:31" x14ac:dyDescent="0.2"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AC1812" t="e">
        <f ca="1">RANK(AB1812,OFFSET($AB$2,0,0,#REF!,1))</f>
        <v>#REF!</v>
      </c>
      <c r="AD1812" s="4" t="e">
        <f>InsurerSize(#REF!)</f>
        <v>#VALUE!</v>
      </c>
      <c r="AE1812" s="4" t="e">
        <f t="shared" si="40"/>
        <v>#VALUE!</v>
      </c>
    </row>
    <row r="1813" spans="8:31" x14ac:dyDescent="0.2"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AC1813" t="e">
        <f ca="1">RANK(AB1813,OFFSET($AB$2,0,0,#REF!,1))</f>
        <v>#REF!</v>
      </c>
      <c r="AD1813" s="4" t="e">
        <f>InsurerSize(#REF!)</f>
        <v>#VALUE!</v>
      </c>
      <c r="AE1813" s="4" t="e">
        <f t="shared" si="40"/>
        <v>#VALUE!</v>
      </c>
    </row>
    <row r="1814" spans="8:31" x14ac:dyDescent="0.2"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AC1814" t="e">
        <f ca="1">RANK(AB1814,OFFSET($AB$2,0,0,#REF!,1))</f>
        <v>#REF!</v>
      </c>
      <c r="AD1814" s="4" t="e">
        <f>InsurerSize(#REF!)</f>
        <v>#VALUE!</v>
      </c>
      <c r="AE1814" s="4" t="e">
        <f t="shared" si="40"/>
        <v>#VALUE!</v>
      </c>
    </row>
    <row r="1815" spans="8:31" x14ac:dyDescent="0.2"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AC1815" t="e">
        <f ca="1">RANK(AB1815,OFFSET($AB$2,0,0,#REF!,1))</f>
        <v>#REF!</v>
      </c>
      <c r="AD1815" s="4" t="e">
        <f>InsurerSize(#REF!)</f>
        <v>#VALUE!</v>
      </c>
      <c r="AE1815" s="4" t="e">
        <f t="shared" si="40"/>
        <v>#VALUE!</v>
      </c>
    </row>
    <row r="1816" spans="8:31" x14ac:dyDescent="0.2"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AC1816" t="e">
        <f ca="1">RANK(AB1816,OFFSET($AB$2,0,0,#REF!,1))</f>
        <v>#REF!</v>
      </c>
      <c r="AD1816" s="4" t="e">
        <f>InsurerSize(#REF!)</f>
        <v>#VALUE!</v>
      </c>
      <c r="AE1816" s="4" t="e">
        <f t="shared" si="40"/>
        <v>#VALUE!</v>
      </c>
    </row>
    <row r="1817" spans="8:31" x14ac:dyDescent="0.2"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AC1817" t="e">
        <f ca="1">RANK(AB1817,OFFSET($AB$2,0,0,#REF!,1))</f>
        <v>#REF!</v>
      </c>
      <c r="AD1817" s="4" t="e">
        <f>InsurerSize(#REF!)</f>
        <v>#VALUE!</v>
      </c>
      <c r="AE1817" s="4" t="e">
        <f t="shared" si="40"/>
        <v>#VALUE!</v>
      </c>
    </row>
    <row r="1818" spans="8:31" x14ac:dyDescent="0.2"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AC1818" t="e">
        <f ca="1">RANK(AB1818,OFFSET($AB$2,0,0,#REF!,1))</f>
        <v>#REF!</v>
      </c>
      <c r="AD1818" s="4" t="e">
        <f>InsurerSize(#REF!)</f>
        <v>#VALUE!</v>
      </c>
      <c r="AE1818" s="4" t="e">
        <f t="shared" si="40"/>
        <v>#VALUE!</v>
      </c>
    </row>
    <row r="1819" spans="8:31" x14ac:dyDescent="0.2"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AC1819" t="e">
        <f ca="1">RANK(AB1819,OFFSET($AB$2,0,0,#REF!,1))</f>
        <v>#REF!</v>
      </c>
      <c r="AD1819" s="4" t="e">
        <f>InsurerSize(#REF!)</f>
        <v>#VALUE!</v>
      </c>
      <c r="AE1819" s="4" t="e">
        <f t="shared" si="40"/>
        <v>#VALUE!</v>
      </c>
    </row>
    <row r="1820" spans="8:31" x14ac:dyDescent="0.2"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AC1820" t="e">
        <f ca="1">RANK(AB1820,OFFSET($AB$2,0,0,#REF!,1))</f>
        <v>#REF!</v>
      </c>
      <c r="AD1820" s="4" t="e">
        <f>InsurerSize(#REF!)</f>
        <v>#VALUE!</v>
      </c>
      <c r="AE1820" s="4" t="e">
        <f t="shared" si="40"/>
        <v>#VALUE!</v>
      </c>
    </row>
    <row r="1821" spans="8:31" x14ac:dyDescent="0.2"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AC1821" t="e">
        <f ca="1">RANK(AB1821,OFFSET($AB$2,0,0,#REF!,1))</f>
        <v>#REF!</v>
      </c>
      <c r="AD1821" s="4" t="e">
        <f>InsurerSize(#REF!)</f>
        <v>#VALUE!</v>
      </c>
      <c r="AE1821" s="4" t="e">
        <f t="shared" si="40"/>
        <v>#VALUE!</v>
      </c>
    </row>
    <row r="1822" spans="8:31" x14ac:dyDescent="0.2"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AC1822" t="e">
        <f ca="1">RANK(AB1822,OFFSET($AB$2,0,0,#REF!,1))</f>
        <v>#REF!</v>
      </c>
      <c r="AD1822" s="4" t="e">
        <f>InsurerSize(#REF!)</f>
        <v>#VALUE!</v>
      </c>
      <c r="AE1822" s="4" t="e">
        <f t="shared" si="40"/>
        <v>#VALUE!</v>
      </c>
    </row>
    <row r="1823" spans="8:31" x14ac:dyDescent="0.2"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AC1823" t="e">
        <f ca="1">RANK(AB1823,OFFSET($AB$2,0,0,#REF!,1))</f>
        <v>#REF!</v>
      </c>
      <c r="AD1823" s="4" t="e">
        <f>InsurerSize(#REF!)</f>
        <v>#VALUE!</v>
      </c>
      <c r="AE1823" s="4" t="e">
        <f t="shared" si="40"/>
        <v>#VALUE!</v>
      </c>
    </row>
    <row r="1824" spans="8:31" x14ac:dyDescent="0.2"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AC1824" t="e">
        <f ca="1">RANK(AB1824,OFFSET($AB$2,0,0,#REF!,1))</f>
        <v>#REF!</v>
      </c>
      <c r="AD1824" s="4" t="e">
        <f>InsurerSize(#REF!)</f>
        <v>#VALUE!</v>
      </c>
      <c r="AE1824" s="4" t="e">
        <f t="shared" si="40"/>
        <v>#VALUE!</v>
      </c>
    </row>
    <row r="1825" spans="8:31" x14ac:dyDescent="0.2"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AC1825" t="e">
        <f ca="1">RANK(AB1825,OFFSET($AB$2,0,0,#REF!,1))</f>
        <v>#REF!</v>
      </c>
      <c r="AD1825" s="4" t="e">
        <f>InsurerSize(#REF!)</f>
        <v>#VALUE!</v>
      </c>
      <c r="AE1825" s="4" t="e">
        <f t="shared" si="40"/>
        <v>#VALUE!</v>
      </c>
    </row>
    <row r="1826" spans="8:31" x14ac:dyDescent="0.2"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AC1826" t="e">
        <f ca="1">RANK(AB1826,OFFSET($AB$2,0,0,#REF!,1))</f>
        <v>#REF!</v>
      </c>
      <c r="AD1826" s="4" t="e">
        <f>InsurerSize(#REF!)</f>
        <v>#VALUE!</v>
      </c>
      <c r="AE1826" s="4" t="e">
        <f t="shared" si="40"/>
        <v>#VALUE!</v>
      </c>
    </row>
    <row r="1827" spans="8:31" x14ac:dyDescent="0.2"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AC1827" t="e">
        <f ca="1">RANK(AB1827,OFFSET($AB$2,0,0,#REF!,1))</f>
        <v>#REF!</v>
      </c>
      <c r="AD1827" s="4" t="e">
        <f>InsurerSize(#REF!)</f>
        <v>#VALUE!</v>
      </c>
      <c r="AE1827" s="4" t="e">
        <f t="shared" si="40"/>
        <v>#VALUE!</v>
      </c>
    </row>
    <row r="1828" spans="8:31" x14ac:dyDescent="0.2"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AC1828" t="e">
        <f ca="1">RANK(AB1828,OFFSET($AB$2,0,0,#REF!,1))</f>
        <v>#REF!</v>
      </c>
      <c r="AD1828" s="4" t="e">
        <f>InsurerSize(#REF!)</f>
        <v>#VALUE!</v>
      </c>
      <c r="AE1828" s="4" t="e">
        <f t="shared" si="40"/>
        <v>#VALUE!</v>
      </c>
    </row>
    <row r="1829" spans="8:31" x14ac:dyDescent="0.2"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AC1829" t="e">
        <f ca="1">RANK(AB1829,OFFSET($AB$2,0,0,#REF!,1))</f>
        <v>#REF!</v>
      </c>
      <c r="AD1829" s="4" t="e">
        <f>InsurerSize(#REF!)</f>
        <v>#VALUE!</v>
      </c>
      <c r="AE1829" s="4" t="e">
        <f t="shared" si="40"/>
        <v>#VALUE!</v>
      </c>
    </row>
    <row r="1830" spans="8:31" x14ac:dyDescent="0.2"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AC1830" t="e">
        <f ca="1">RANK(AB1830,OFFSET($AB$2,0,0,#REF!,1))</f>
        <v>#REF!</v>
      </c>
      <c r="AD1830" s="4" t="e">
        <f>InsurerSize(#REF!)</f>
        <v>#VALUE!</v>
      </c>
      <c r="AE1830" s="4" t="e">
        <f t="shared" si="40"/>
        <v>#VALUE!</v>
      </c>
    </row>
    <row r="1831" spans="8:31" x14ac:dyDescent="0.2"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AC1831" t="e">
        <f ca="1">RANK(AB1831,OFFSET($AB$2,0,0,#REF!,1))</f>
        <v>#REF!</v>
      </c>
      <c r="AD1831" s="4" t="e">
        <f>InsurerSize(#REF!)</f>
        <v>#VALUE!</v>
      </c>
      <c r="AE1831" s="4" t="e">
        <f t="shared" si="40"/>
        <v>#VALUE!</v>
      </c>
    </row>
    <row r="1832" spans="8:31" x14ac:dyDescent="0.2"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AC1832" t="e">
        <f ca="1">RANK(AB1832,OFFSET($AB$2,0,0,#REF!,1))</f>
        <v>#REF!</v>
      </c>
      <c r="AD1832" s="4" t="e">
        <f>InsurerSize(#REF!)</f>
        <v>#VALUE!</v>
      </c>
      <c r="AE1832" s="4" t="e">
        <f t="shared" si="40"/>
        <v>#VALUE!</v>
      </c>
    </row>
    <row r="1833" spans="8:31" x14ac:dyDescent="0.2"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AC1833" t="e">
        <f ca="1">RANK(AB1833,OFFSET($AB$2,0,0,#REF!,1))</f>
        <v>#REF!</v>
      </c>
      <c r="AD1833" s="4" t="e">
        <f>InsurerSize(#REF!)</f>
        <v>#VALUE!</v>
      </c>
      <c r="AE1833" s="4" t="e">
        <f t="shared" si="40"/>
        <v>#VALUE!</v>
      </c>
    </row>
    <row r="1834" spans="8:31" x14ac:dyDescent="0.2"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AC1834" t="e">
        <f ca="1">RANK(AB1834,OFFSET($AB$2,0,0,#REF!,1))</f>
        <v>#REF!</v>
      </c>
      <c r="AD1834" s="4" t="e">
        <f>InsurerSize(#REF!)</f>
        <v>#VALUE!</v>
      </c>
      <c r="AE1834" s="4" t="e">
        <f t="shared" si="40"/>
        <v>#VALUE!</v>
      </c>
    </row>
    <row r="1835" spans="8:31" x14ac:dyDescent="0.2"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AC1835" t="e">
        <f ca="1">RANK(AB1835,OFFSET($AB$2,0,0,#REF!,1))</f>
        <v>#REF!</v>
      </c>
      <c r="AD1835" s="4" t="e">
        <f>InsurerSize(#REF!)</f>
        <v>#VALUE!</v>
      </c>
      <c r="AE1835" s="4" t="e">
        <f t="shared" si="40"/>
        <v>#VALUE!</v>
      </c>
    </row>
    <row r="1836" spans="8:31" x14ac:dyDescent="0.2"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AC1836" t="e">
        <f ca="1">RANK(AB1836,OFFSET($AB$2,0,0,#REF!,1))</f>
        <v>#REF!</v>
      </c>
      <c r="AD1836" s="4" t="e">
        <f>InsurerSize(#REF!)</f>
        <v>#VALUE!</v>
      </c>
      <c r="AE1836" s="4" t="e">
        <f t="shared" si="40"/>
        <v>#VALUE!</v>
      </c>
    </row>
    <row r="1837" spans="8:31" x14ac:dyDescent="0.2"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AC1837" t="e">
        <f ca="1">RANK(AB1837,OFFSET($AB$2,0,0,#REF!,1))</f>
        <v>#REF!</v>
      </c>
      <c r="AD1837" s="4" t="e">
        <f>InsurerSize(#REF!)</f>
        <v>#VALUE!</v>
      </c>
      <c r="AE1837" s="4" t="e">
        <f t="shared" si="40"/>
        <v>#VALUE!</v>
      </c>
    </row>
    <row r="1838" spans="8:31" x14ac:dyDescent="0.2"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AC1838" t="e">
        <f ca="1">RANK(AB1838,OFFSET($AB$2,0,0,#REF!,1))</f>
        <v>#REF!</v>
      </c>
      <c r="AD1838" s="4" t="e">
        <f>InsurerSize(#REF!)</f>
        <v>#VALUE!</v>
      </c>
      <c r="AE1838" s="4" t="e">
        <f t="shared" si="40"/>
        <v>#VALUE!</v>
      </c>
    </row>
    <row r="1839" spans="8:31" x14ac:dyDescent="0.2"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AC1839" t="e">
        <f ca="1">RANK(AB1839,OFFSET($AB$2,0,0,#REF!,1))</f>
        <v>#REF!</v>
      </c>
      <c r="AD1839" s="4" t="e">
        <f>InsurerSize(#REF!)</f>
        <v>#VALUE!</v>
      </c>
      <c r="AE1839" s="4" t="e">
        <f t="shared" si="40"/>
        <v>#VALUE!</v>
      </c>
    </row>
    <row r="1840" spans="8:31" x14ac:dyDescent="0.2"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AC1840" t="e">
        <f ca="1">RANK(AB1840,OFFSET($AB$2,0,0,#REF!,1))</f>
        <v>#REF!</v>
      </c>
      <c r="AD1840" s="4" t="e">
        <f>InsurerSize(#REF!)</f>
        <v>#VALUE!</v>
      </c>
      <c r="AE1840" s="4" t="e">
        <f t="shared" si="40"/>
        <v>#VALUE!</v>
      </c>
    </row>
    <row r="1841" spans="8:31" x14ac:dyDescent="0.2"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AC1841" t="e">
        <f ca="1">RANK(AB1841,OFFSET($AB$2,0,0,#REF!,1))</f>
        <v>#REF!</v>
      </c>
      <c r="AD1841" s="4" t="e">
        <f>InsurerSize(#REF!)</f>
        <v>#VALUE!</v>
      </c>
      <c r="AE1841" s="4" t="e">
        <f t="shared" si="40"/>
        <v>#VALUE!</v>
      </c>
    </row>
    <row r="1842" spans="8:31" x14ac:dyDescent="0.2"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AC1842" t="e">
        <f ca="1">RANK(AB1842,OFFSET($AB$2,0,0,#REF!,1))</f>
        <v>#REF!</v>
      </c>
      <c r="AD1842" s="4" t="e">
        <f>InsurerSize(#REF!)</f>
        <v>#VALUE!</v>
      </c>
      <c r="AE1842" s="4" t="e">
        <f t="shared" si="40"/>
        <v>#VALUE!</v>
      </c>
    </row>
    <row r="1843" spans="8:31" x14ac:dyDescent="0.2"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AC1843" t="e">
        <f ca="1">RANK(AB1843,OFFSET($AB$2,0,0,#REF!,1))</f>
        <v>#REF!</v>
      </c>
      <c r="AD1843" s="4" t="e">
        <f>InsurerSize(#REF!)</f>
        <v>#VALUE!</v>
      </c>
      <c r="AE1843" s="4" t="e">
        <f t="shared" si="40"/>
        <v>#VALUE!</v>
      </c>
    </row>
    <row r="1844" spans="8:31" x14ac:dyDescent="0.2"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AC1844" t="e">
        <f ca="1">RANK(AB1844,OFFSET($AB$2,0,0,#REF!,1))</f>
        <v>#REF!</v>
      </c>
      <c r="AD1844" s="4" t="e">
        <f>InsurerSize(#REF!)</f>
        <v>#VALUE!</v>
      </c>
      <c r="AE1844" s="4" t="e">
        <f t="shared" si="40"/>
        <v>#VALUE!</v>
      </c>
    </row>
    <row r="1845" spans="8:31" x14ac:dyDescent="0.2"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AC1845" t="e">
        <f ca="1">RANK(AB1845,OFFSET($AB$2,0,0,#REF!,1))</f>
        <v>#REF!</v>
      </c>
      <c r="AD1845" s="4" t="e">
        <f>InsurerSize(#REF!)</f>
        <v>#VALUE!</v>
      </c>
      <c r="AE1845" s="4" t="e">
        <f t="shared" si="40"/>
        <v>#VALUE!</v>
      </c>
    </row>
    <row r="1846" spans="8:31" x14ac:dyDescent="0.2"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AC1846" t="e">
        <f ca="1">RANK(AB1846,OFFSET($AB$2,0,0,#REF!,1))</f>
        <v>#REF!</v>
      </c>
      <c r="AD1846" s="4" t="e">
        <f>InsurerSize(#REF!)</f>
        <v>#VALUE!</v>
      </c>
      <c r="AE1846" s="4" t="e">
        <f t="shared" si="40"/>
        <v>#VALUE!</v>
      </c>
    </row>
    <row r="1847" spans="8:31" x14ac:dyDescent="0.2"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AC1847" t="e">
        <f ca="1">RANK(AB1847,OFFSET($AB$2,0,0,#REF!,1))</f>
        <v>#REF!</v>
      </c>
      <c r="AD1847" s="4" t="e">
        <f>InsurerSize(#REF!)</f>
        <v>#VALUE!</v>
      </c>
      <c r="AE1847" s="4" t="e">
        <f t="shared" si="40"/>
        <v>#VALUE!</v>
      </c>
    </row>
    <row r="1848" spans="8:31" x14ac:dyDescent="0.2"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AC1848" t="e">
        <f ca="1">RANK(AB1848,OFFSET($AB$2,0,0,#REF!,1))</f>
        <v>#REF!</v>
      </c>
      <c r="AD1848" s="4" t="e">
        <f>InsurerSize(#REF!)</f>
        <v>#VALUE!</v>
      </c>
      <c r="AE1848" s="4" t="e">
        <f t="shared" si="40"/>
        <v>#VALUE!</v>
      </c>
    </row>
    <row r="1849" spans="8:31" x14ac:dyDescent="0.2"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AC1849" t="e">
        <f ca="1">RANK(AB1849,OFFSET($AB$2,0,0,#REF!,1))</f>
        <v>#REF!</v>
      </c>
      <c r="AD1849" s="4" t="e">
        <f>InsurerSize(#REF!)</f>
        <v>#VALUE!</v>
      </c>
      <c r="AE1849" s="4" t="e">
        <f t="shared" si="40"/>
        <v>#VALUE!</v>
      </c>
    </row>
    <row r="1850" spans="8:31" x14ac:dyDescent="0.2"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AC1850" t="e">
        <f ca="1">RANK(AB1850,OFFSET($AB$2,0,0,#REF!,1))</f>
        <v>#REF!</v>
      </c>
      <c r="AD1850" s="4" t="e">
        <f>InsurerSize(#REF!)</f>
        <v>#VALUE!</v>
      </c>
      <c r="AE1850" s="4" t="e">
        <f t="shared" si="40"/>
        <v>#VALUE!</v>
      </c>
    </row>
    <row r="1851" spans="8:31" x14ac:dyDescent="0.2"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AC1851" t="e">
        <f ca="1">RANK(AB1851,OFFSET($AB$2,0,0,#REF!,1))</f>
        <v>#REF!</v>
      </c>
      <c r="AD1851" s="4" t="e">
        <f>InsurerSize(#REF!)</f>
        <v>#VALUE!</v>
      </c>
      <c r="AE1851" s="4" t="e">
        <f t="shared" si="40"/>
        <v>#VALUE!</v>
      </c>
    </row>
    <row r="1852" spans="8:31" x14ac:dyDescent="0.2"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AC1852" t="e">
        <f ca="1">RANK(AB1852,OFFSET($AB$2,0,0,#REF!,1))</f>
        <v>#REF!</v>
      </c>
      <c r="AD1852" s="4" t="e">
        <f>InsurerSize(#REF!)</f>
        <v>#VALUE!</v>
      </c>
      <c r="AE1852" s="4" t="e">
        <f t="shared" si="40"/>
        <v>#VALUE!</v>
      </c>
    </row>
    <row r="1853" spans="8:31" x14ac:dyDescent="0.2"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AC1853" t="e">
        <f ca="1">RANK(AB1853,OFFSET($AB$2,0,0,#REF!,1))</f>
        <v>#REF!</v>
      </c>
      <c r="AD1853" s="4" t="e">
        <f>InsurerSize(#REF!)</f>
        <v>#VALUE!</v>
      </c>
      <c r="AE1853" s="4" t="e">
        <f t="shared" si="40"/>
        <v>#VALUE!</v>
      </c>
    </row>
    <row r="1854" spans="8:31" x14ac:dyDescent="0.2"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AC1854" t="e">
        <f ca="1">RANK(AB1854,OFFSET($AB$2,0,0,#REF!,1))</f>
        <v>#REF!</v>
      </c>
      <c r="AD1854" s="4" t="e">
        <f>InsurerSize(#REF!)</f>
        <v>#VALUE!</v>
      </c>
      <c r="AE1854" s="4" t="e">
        <f t="shared" si="40"/>
        <v>#VALUE!</v>
      </c>
    </row>
    <row r="1855" spans="8:31" x14ac:dyDescent="0.2"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AC1855" t="e">
        <f ca="1">RANK(AB1855,OFFSET($AB$2,0,0,#REF!,1))</f>
        <v>#REF!</v>
      </c>
      <c r="AD1855" s="4" t="e">
        <f>InsurerSize(#REF!)</f>
        <v>#VALUE!</v>
      </c>
      <c r="AE1855" s="4" t="e">
        <f t="shared" si="40"/>
        <v>#VALUE!</v>
      </c>
    </row>
    <row r="1856" spans="8:31" x14ac:dyDescent="0.2"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AC1856" t="e">
        <f ca="1">RANK(AB1856,OFFSET($AB$2,0,0,#REF!,1))</f>
        <v>#REF!</v>
      </c>
      <c r="AD1856" s="4" t="e">
        <f>InsurerSize(#REF!)</f>
        <v>#VALUE!</v>
      </c>
      <c r="AE1856" s="4" t="e">
        <f t="shared" si="40"/>
        <v>#VALUE!</v>
      </c>
    </row>
    <row r="1857" spans="8:31" x14ac:dyDescent="0.2"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AC1857" t="e">
        <f ca="1">RANK(AB1857,OFFSET($AB$2,0,0,#REF!,1))</f>
        <v>#REF!</v>
      </c>
      <c r="AD1857" s="4" t="e">
        <f>InsurerSize(#REF!)</f>
        <v>#VALUE!</v>
      </c>
      <c r="AE1857" s="4" t="e">
        <f t="shared" si="40"/>
        <v>#VALUE!</v>
      </c>
    </row>
    <row r="1858" spans="8:31" x14ac:dyDescent="0.2"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AC1858" t="e">
        <f ca="1">RANK(AB1858,OFFSET($AB$2,0,0,#REF!,1))</f>
        <v>#REF!</v>
      </c>
      <c r="AD1858" s="4" t="e">
        <f>InsurerSize(#REF!)</f>
        <v>#VALUE!</v>
      </c>
      <c r="AE1858" s="4" t="e">
        <f t="shared" ref="AE1858:AE1921" si="41">A1858&amp;AD1858</f>
        <v>#VALUE!</v>
      </c>
    </row>
    <row r="1859" spans="8:31" x14ac:dyDescent="0.2"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AC1859" t="e">
        <f ca="1">RANK(AB1859,OFFSET($AB$2,0,0,#REF!,1))</f>
        <v>#REF!</v>
      </c>
      <c r="AD1859" s="4" t="e">
        <f>InsurerSize(#REF!)</f>
        <v>#VALUE!</v>
      </c>
      <c r="AE1859" s="4" t="e">
        <f t="shared" si="41"/>
        <v>#VALUE!</v>
      </c>
    </row>
    <row r="1860" spans="8:31" x14ac:dyDescent="0.2"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AC1860" t="e">
        <f ca="1">RANK(AB1860,OFFSET($AB$2,0,0,#REF!,1))</f>
        <v>#REF!</v>
      </c>
      <c r="AD1860" s="4" t="e">
        <f>InsurerSize(#REF!)</f>
        <v>#VALUE!</v>
      </c>
      <c r="AE1860" s="4" t="e">
        <f t="shared" si="41"/>
        <v>#VALUE!</v>
      </c>
    </row>
    <row r="1861" spans="8:31" x14ac:dyDescent="0.2"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AC1861" t="e">
        <f ca="1">RANK(AB1861,OFFSET($AB$2,0,0,#REF!,1))</f>
        <v>#REF!</v>
      </c>
      <c r="AD1861" s="4" t="e">
        <f>InsurerSize(#REF!)</f>
        <v>#VALUE!</v>
      </c>
      <c r="AE1861" s="4" t="e">
        <f t="shared" si="41"/>
        <v>#VALUE!</v>
      </c>
    </row>
    <row r="1862" spans="8:31" x14ac:dyDescent="0.2"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AC1862" t="e">
        <f ca="1">RANK(AB1862,OFFSET($AB$2,0,0,#REF!,1))</f>
        <v>#REF!</v>
      </c>
      <c r="AD1862" s="4" t="e">
        <f>InsurerSize(#REF!)</f>
        <v>#VALUE!</v>
      </c>
      <c r="AE1862" s="4" t="e">
        <f t="shared" si="41"/>
        <v>#VALUE!</v>
      </c>
    </row>
    <row r="1863" spans="8:31" x14ac:dyDescent="0.2"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AC1863" t="e">
        <f ca="1">RANK(AB1863,OFFSET($AB$2,0,0,#REF!,1))</f>
        <v>#REF!</v>
      </c>
      <c r="AD1863" s="4" t="e">
        <f>InsurerSize(#REF!)</f>
        <v>#VALUE!</v>
      </c>
      <c r="AE1863" s="4" t="e">
        <f t="shared" si="41"/>
        <v>#VALUE!</v>
      </c>
    </row>
    <row r="1864" spans="8:31" x14ac:dyDescent="0.2"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AC1864" t="e">
        <f ca="1">RANK(AB1864,OFFSET($AB$2,0,0,#REF!,1))</f>
        <v>#REF!</v>
      </c>
      <c r="AD1864" s="4" t="e">
        <f>InsurerSize(#REF!)</f>
        <v>#VALUE!</v>
      </c>
      <c r="AE1864" s="4" t="e">
        <f t="shared" si="41"/>
        <v>#VALUE!</v>
      </c>
    </row>
    <row r="1865" spans="8:31" x14ac:dyDescent="0.2"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AC1865" t="e">
        <f ca="1">RANK(AB1865,OFFSET($AB$2,0,0,#REF!,1))</f>
        <v>#REF!</v>
      </c>
      <c r="AD1865" s="4" t="e">
        <f>InsurerSize(#REF!)</f>
        <v>#VALUE!</v>
      </c>
      <c r="AE1865" s="4" t="e">
        <f t="shared" si="41"/>
        <v>#VALUE!</v>
      </c>
    </row>
    <row r="1866" spans="8:31" x14ac:dyDescent="0.2"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AC1866" t="e">
        <f ca="1">RANK(AB1866,OFFSET($AB$2,0,0,#REF!,1))</f>
        <v>#REF!</v>
      </c>
      <c r="AD1866" s="4" t="e">
        <f>InsurerSize(#REF!)</f>
        <v>#VALUE!</v>
      </c>
      <c r="AE1866" s="4" t="e">
        <f t="shared" si="41"/>
        <v>#VALUE!</v>
      </c>
    </row>
    <row r="1867" spans="8:31" x14ac:dyDescent="0.2"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AC1867" t="e">
        <f ca="1">RANK(AB1867,OFFSET($AB$2,0,0,#REF!,1))</f>
        <v>#REF!</v>
      </c>
      <c r="AD1867" s="4" t="e">
        <f>InsurerSize(#REF!)</f>
        <v>#VALUE!</v>
      </c>
      <c r="AE1867" s="4" t="e">
        <f t="shared" si="41"/>
        <v>#VALUE!</v>
      </c>
    </row>
    <row r="1868" spans="8:31" x14ac:dyDescent="0.2"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AC1868" t="e">
        <f ca="1">RANK(AB1868,OFFSET($AB$2,0,0,#REF!,1))</f>
        <v>#REF!</v>
      </c>
      <c r="AD1868" s="4" t="e">
        <f>InsurerSize(#REF!)</f>
        <v>#VALUE!</v>
      </c>
      <c r="AE1868" s="4" t="e">
        <f t="shared" si="41"/>
        <v>#VALUE!</v>
      </c>
    </row>
    <row r="1869" spans="8:31" x14ac:dyDescent="0.2"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AC1869" t="e">
        <f ca="1">RANK(AB1869,OFFSET($AB$2,0,0,#REF!,1))</f>
        <v>#REF!</v>
      </c>
      <c r="AD1869" s="4" t="e">
        <f>InsurerSize(#REF!)</f>
        <v>#VALUE!</v>
      </c>
      <c r="AE1869" s="4" t="e">
        <f t="shared" si="41"/>
        <v>#VALUE!</v>
      </c>
    </row>
    <row r="1870" spans="8:31" x14ac:dyDescent="0.2"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AC1870" t="e">
        <f ca="1">RANK(AB1870,OFFSET($AB$2,0,0,#REF!,1))</f>
        <v>#REF!</v>
      </c>
      <c r="AD1870" s="4" t="e">
        <f>InsurerSize(#REF!)</f>
        <v>#VALUE!</v>
      </c>
      <c r="AE1870" s="4" t="e">
        <f t="shared" si="41"/>
        <v>#VALUE!</v>
      </c>
    </row>
    <row r="1871" spans="8:31" x14ac:dyDescent="0.2"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AC1871" t="e">
        <f ca="1">RANK(AB1871,OFFSET($AB$2,0,0,#REF!,1))</f>
        <v>#REF!</v>
      </c>
      <c r="AD1871" s="4" t="e">
        <f>InsurerSize(#REF!)</f>
        <v>#VALUE!</v>
      </c>
      <c r="AE1871" s="4" t="e">
        <f t="shared" si="41"/>
        <v>#VALUE!</v>
      </c>
    </row>
    <row r="1872" spans="8:31" x14ac:dyDescent="0.2"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AC1872" t="e">
        <f ca="1">RANK(AB1872,OFFSET($AB$2,0,0,#REF!,1))</f>
        <v>#REF!</v>
      </c>
      <c r="AD1872" s="4" t="e">
        <f>InsurerSize(#REF!)</f>
        <v>#VALUE!</v>
      </c>
      <c r="AE1872" s="4" t="e">
        <f t="shared" si="41"/>
        <v>#VALUE!</v>
      </c>
    </row>
    <row r="1873" spans="8:31" x14ac:dyDescent="0.2"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AC1873" t="e">
        <f ca="1">RANK(AB1873,OFFSET($AB$2,0,0,#REF!,1))</f>
        <v>#REF!</v>
      </c>
      <c r="AD1873" s="4" t="e">
        <f>InsurerSize(#REF!)</f>
        <v>#VALUE!</v>
      </c>
      <c r="AE1873" s="4" t="e">
        <f t="shared" si="41"/>
        <v>#VALUE!</v>
      </c>
    </row>
    <row r="1874" spans="8:31" x14ac:dyDescent="0.2"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AC1874" t="e">
        <f ca="1">RANK(AB1874,OFFSET($AB$2,0,0,#REF!,1))</f>
        <v>#REF!</v>
      </c>
      <c r="AD1874" s="4" t="e">
        <f>InsurerSize(#REF!)</f>
        <v>#VALUE!</v>
      </c>
      <c r="AE1874" s="4" t="e">
        <f t="shared" si="41"/>
        <v>#VALUE!</v>
      </c>
    </row>
    <row r="1875" spans="8:31" x14ac:dyDescent="0.2"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AC1875" t="e">
        <f ca="1">RANK(AB1875,OFFSET($AB$2,0,0,#REF!,1))</f>
        <v>#REF!</v>
      </c>
      <c r="AD1875" s="4" t="e">
        <f>InsurerSize(#REF!)</f>
        <v>#VALUE!</v>
      </c>
      <c r="AE1875" s="4" t="e">
        <f t="shared" si="41"/>
        <v>#VALUE!</v>
      </c>
    </row>
    <row r="1876" spans="8:31" x14ac:dyDescent="0.2"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AC1876" t="e">
        <f ca="1">RANK(AB1876,OFFSET($AB$2,0,0,#REF!,1))</f>
        <v>#REF!</v>
      </c>
      <c r="AD1876" s="4" t="e">
        <f>InsurerSize(#REF!)</f>
        <v>#VALUE!</v>
      </c>
      <c r="AE1876" s="4" t="e">
        <f t="shared" si="41"/>
        <v>#VALUE!</v>
      </c>
    </row>
    <row r="1877" spans="8:31" x14ac:dyDescent="0.2"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AC1877" t="e">
        <f ca="1">RANK(AB1877,OFFSET($AB$2,0,0,#REF!,1))</f>
        <v>#REF!</v>
      </c>
      <c r="AD1877" s="4" t="e">
        <f>InsurerSize(#REF!)</f>
        <v>#VALUE!</v>
      </c>
      <c r="AE1877" s="4" t="e">
        <f t="shared" si="41"/>
        <v>#VALUE!</v>
      </c>
    </row>
    <row r="1878" spans="8:31" x14ac:dyDescent="0.2"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AC1878" t="e">
        <f ca="1">RANK(AB1878,OFFSET($AB$2,0,0,#REF!,1))</f>
        <v>#REF!</v>
      </c>
      <c r="AD1878" s="4" t="e">
        <f>InsurerSize(#REF!)</f>
        <v>#VALUE!</v>
      </c>
      <c r="AE1878" s="4" t="e">
        <f t="shared" si="41"/>
        <v>#VALUE!</v>
      </c>
    </row>
    <row r="1879" spans="8:31" x14ac:dyDescent="0.2"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AC1879" t="e">
        <f ca="1">RANK(AB1879,OFFSET($AB$2,0,0,#REF!,1))</f>
        <v>#REF!</v>
      </c>
      <c r="AD1879" s="4" t="e">
        <f>InsurerSize(#REF!)</f>
        <v>#VALUE!</v>
      </c>
      <c r="AE1879" s="4" t="e">
        <f t="shared" si="41"/>
        <v>#VALUE!</v>
      </c>
    </row>
    <row r="1880" spans="8:31" x14ac:dyDescent="0.2"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AC1880" t="e">
        <f ca="1">RANK(AB1880,OFFSET($AB$2,0,0,#REF!,1))</f>
        <v>#REF!</v>
      </c>
      <c r="AD1880" s="4" t="e">
        <f>InsurerSize(#REF!)</f>
        <v>#VALUE!</v>
      </c>
      <c r="AE1880" s="4" t="e">
        <f t="shared" si="41"/>
        <v>#VALUE!</v>
      </c>
    </row>
    <row r="1881" spans="8:31" x14ac:dyDescent="0.2"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AC1881" t="e">
        <f ca="1">RANK(AB1881,OFFSET($AB$2,0,0,#REF!,1))</f>
        <v>#REF!</v>
      </c>
      <c r="AD1881" s="4" t="e">
        <f>InsurerSize(#REF!)</f>
        <v>#VALUE!</v>
      </c>
      <c r="AE1881" s="4" t="e">
        <f t="shared" si="41"/>
        <v>#VALUE!</v>
      </c>
    </row>
    <row r="1882" spans="8:31" x14ac:dyDescent="0.2"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AC1882" t="e">
        <f ca="1">RANK(AB1882,OFFSET($AB$2,0,0,#REF!,1))</f>
        <v>#REF!</v>
      </c>
      <c r="AD1882" s="4" t="e">
        <f>InsurerSize(#REF!)</f>
        <v>#VALUE!</v>
      </c>
      <c r="AE1882" s="4" t="e">
        <f t="shared" si="41"/>
        <v>#VALUE!</v>
      </c>
    </row>
    <row r="1883" spans="8:31" x14ac:dyDescent="0.2"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AC1883" t="e">
        <f ca="1">RANK(AB1883,OFFSET($AB$2,0,0,#REF!,1))</f>
        <v>#REF!</v>
      </c>
      <c r="AD1883" s="4" t="e">
        <f>InsurerSize(#REF!)</f>
        <v>#VALUE!</v>
      </c>
      <c r="AE1883" s="4" t="e">
        <f t="shared" si="41"/>
        <v>#VALUE!</v>
      </c>
    </row>
    <row r="1884" spans="8:31" x14ac:dyDescent="0.2"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AC1884" t="e">
        <f ca="1">RANK(AB1884,OFFSET($AB$2,0,0,#REF!,1))</f>
        <v>#REF!</v>
      </c>
      <c r="AD1884" s="4" t="e">
        <f>InsurerSize(#REF!)</f>
        <v>#VALUE!</v>
      </c>
      <c r="AE1884" s="4" t="e">
        <f t="shared" si="41"/>
        <v>#VALUE!</v>
      </c>
    </row>
    <row r="1885" spans="8:31" x14ac:dyDescent="0.2"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AC1885" t="e">
        <f ca="1">RANK(AB1885,OFFSET($AB$2,0,0,#REF!,1))</f>
        <v>#REF!</v>
      </c>
      <c r="AD1885" s="4" t="e">
        <f>InsurerSize(#REF!)</f>
        <v>#VALUE!</v>
      </c>
      <c r="AE1885" s="4" t="e">
        <f t="shared" si="41"/>
        <v>#VALUE!</v>
      </c>
    </row>
    <row r="1886" spans="8:31" x14ac:dyDescent="0.2"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AC1886" t="e">
        <f ca="1">RANK(AB1886,OFFSET($AB$2,0,0,#REF!,1))</f>
        <v>#REF!</v>
      </c>
      <c r="AD1886" s="4" t="e">
        <f>InsurerSize(#REF!)</f>
        <v>#VALUE!</v>
      </c>
      <c r="AE1886" s="4" t="e">
        <f t="shared" si="41"/>
        <v>#VALUE!</v>
      </c>
    </row>
    <row r="1887" spans="8:31" x14ac:dyDescent="0.2"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AC1887" t="e">
        <f ca="1">RANK(AB1887,OFFSET($AB$2,0,0,#REF!,1))</f>
        <v>#REF!</v>
      </c>
      <c r="AD1887" s="4" t="e">
        <f>InsurerSize(#REF!)</f>
        <v>#VALUE!</v>
      </c>
      <c r="AE1887" s="4" t="e">
        <f t="shared" si="41"/>
        <v>#VALUE!</v>
      </c>
    </row>
    <row r="1888" spans="8:31" x14ac:dyDescent="0.2"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AC1888" t="e">
        <f ca="1">RANK(AB1888,OFFSET($AB$2,0,0,#REF!,1))</f>
        <v>#REF!</v>
      </c>
      <c r="AD1888" s="4" t="e">
        <f>InsurerSize(#REF!)</f>
        <v>#VALUE!</v>
      </c>
      <c r="AE1888" s="4" t="e">
        <f t="shared" si="41"/>
        <v>#VALUE!</v>
      </c>
    </row>
    <row r="1889" spans="8:31" x14ac:dyDescent="0.2"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AC1889" t="e">
        <f ca="1">RANK(AB1889,OFFSET($AB$2,0,0,#REF!,1))</f>
        <v>#REF!</v>
      </c>
      <c r="AD1889" s="4" t="e">
        <f>InsurerSize(#REF!)</f>
        <v>#VALUE!</v>
      </c>
      <c r="AE1889" s="4" t="e">
        <f t="shared" si="41"/>
        <v>#VALUE!</v>
      </c>
    </row>
    <row r="1890" spans="8:31" x14ac:dyDescent="0.2"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AC1890" t="e">
        <f ca="1">RANK(AB1890,OFFSET($AB$2,0,0,#REF!,1))</f>
        <v>#REF!</v>
      </c>
      <c r="AD1890" s="4" t="e">
        <f>InsurerSize(#REF!)</f>
        <v>#VALUE!</v>
      </c>
      <c r="AE1890" s="4" t="e">
        <f t="shared" si="41"/>
        <v>#VALUE!</v>
      </c>
    </row>
    <row r="1891" spans="8:31" x14ac:dyDescent="0.2"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AC1891" t="e">
        <f ca="1">RANK(AB1891,OFFSET($AB$2,0,0,#REF!,1))</f>
        <v>#REF!</v>
      </c>
      <c r="AD1891" s="4" t="e">
        <f>InsurerSize(#REF!)</f>
        <v>#VALUE!</v>
      </c>
      <c r="AE1891" s="4" t="e">
        <f t="shared" si="41"/>
        <v>#VALUE!</v>
      </c>
    </row>
    <row r="1892" spans="8:31" x14ac:dyDescent="0.2"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AC1892" t="e">
        <f ca="1">RANK(AB1892,OFFSET($AB$2,0,0,#REF!,1))</f>
        <v>#REF!</v>
      </c>
      <c r="AD1892" s="4" t="e">
        <f>InsurerSize(#REF!)</f>
        <v>#VALUE!</v>
      </c>
      <c r="AE1892" s="4" t="e">
        <f t="shared" si="41"/>
        <v>#VALUE!</v>
      </c>
    </row>
    <row r="1893" spans="8:31" x14ac:dyDescent="0.2"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AC1893" t="e">
        <f ca="1">RANK(AB1893,OFFSET($AB$2,0,0,#REF!,1))</f>
        <v>#REF!</v>
      </c>
      <c r="AD1893" s="4" t="e">
        <f>InsurerSize(#REF!)</f>
        <v>#VALUE!</v>
      </c>
      <c r="AE1893" s="4" t="e">
        <f t="shared" si="41"/>
        <v>#VALUE!</v>
      </c>
    </row>
    <row r="1894" spans="8:31" x14ac:dyDescent="0.2"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AC1894" t="e">
        <f ca="1">RANK(AB1894,OFFSET($AB$2,0,0,#REF!,1))</f>
        <v>#REF!</v>
      </c>
      <c r="AD1894" s="4" t="e">
        <f>InsurerSize(#REF!)</f>
        <v>#VALUE!</v>
      </c>
      <c r="AE1894" s="4" t="e">
        <f t="shared" si="41"/>
        <v>#VALUE!</v>
      </c>
    </row>
    <row r="1895" spans="8:31" x14ac:dyDescent="0.2"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AC1895" t="e">
        <f ca="1">RANK(AB1895,OFFSET($AB$2,0,0,#REF!,1))</f>
        <v>#REF!</v>
      </c>
      <c r="AD1895" s="4" t="e">
        <f>InsurerSize(#REF!)</f>
        <v>#VALUE!</v>
      </c>
      <c r="AE1895" s="4" t="e">
        <f t="shared" si="41"/>
        <v>#VALUE!</v>
      </c>
    </row>
    <row r="1896" spans="8:31" x14ac:dyDescent="0.2"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AC1896" t="e">
        <f ca="1">RANK(AB1896,OFFSET($AB$2,0,0,#REF!,1))</f>
        <v>#REF!</v>
      </c>
      <c r="AD1896" s="4" t="e">
        <f>InsurerSize(#REF!)</f>
        <v>#VALUE!</v>
      </c>
      <c r="AE1896" s="4" t="e">
        <f t="shared" si="41"/>
        <v>#VALUE!</v>
      </c>
    </row>
    <row r="1897" spans="8:31" x14ac:dyDescent="0.2"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AC1897" t="e">
        <f ca="1">RANK(AB1897,OFFSET($AB$2,0,0,#REF!,1))</f>
        <v>#REF!</v>
      </c>
      <c r="AD1897" s="4" t="e">
        <f>InsurerSize(#REF!)</f>
        <v>#VALUE!</v>
      </c>
      <c r="AE1897" s="4" t="e">
        <f t="shared" si="41"/>
        <v>#VALUE!</v>
      </c>
    </row>
    <row r="1898" spans="8:31" x14ac:dyDescent="0.2"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AC1898" t="e">
        <f ca="1">RANK(AB1898,OFFSET($AB$2,0,0,#REF!,1))</f>
        <v>#REF!</v>
      </c>
      <c r="AD1898" s="4" t="e">
        <f>InsurerSize(#REF!)</f>
        <v>#VALUE!</v>
      </c>
      <c r="AE1898" s="4" t="e">
        <f t="shared" si="41"/>
        <v>#VALUE!</v>
      </c>
    </row>
    <row r="1899" spans="8:31" x14ac:dyDescent="0.2"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AC1899" t="e">
        <f ca="1">RANK(AB1899,OFFSET($AB$2,0,0,#REF!,1))</f>
        <v>#REF!</v>
      </c>
      <c r="AD1899" s="4" t="e">
        <f>InsurerSize(#REF!)</f>
        <v>#VALUE!</v>
      </c>
      <c r="AE1899" s="4" t="e">
        <f t="shared" si="41"/>
        <v>#VALUE!</v>
      </c>
    </row>
    <row r="1900" spans="8:31" x14ac:dyDescent="0.2"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AC1900" t="e">
        <f ca="1">RANK(AB1900,OFFSET($AB$2,0,0,#REF!,1))</f>
        <v>#REF!</v>
      </c>
      <c r="AD1900" s="4" t="e">
        <f>InsurerSize(#REF!)</f>
        <v>#VALUE!</v>
      </c>
      <c r="AE1900" s="4" t="e">
        <f t="shared" si="41"/>
        <v>#VALUE!</v>
      </c>
    </row>
    <row r="1901" spans="8:31" x14ac:dyDescent="0.2"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AC1901" t="e">
        <f ca="1">RANK(AB1901,OFFSET($AB$2,0,0,#REF!,1))</f>
        <v>#REF!</v>
      </c>
      <c r="AD1901" s="4" t="e">
        <f>InsurerSize(#REF!)</f>
        <v>#VALUE!</v>
      </c>
      <c r="AE1901" s="4" t="e">
        <f t="shared" si="41"/>
        <v>#VALUE!</v>
      </c>
    </row>
    <row r="1902" spans="8:31" x14ac:dyDescent="0.2"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AC1902" t="e">
        <f ca="1">RANK(AB1902,OFFSET($AB$2,0,0,#REF!,1))</f>
        <v>#REF!</v>
      </c>
      <c r="AD1902" s="4" t="e">
        <f>InsurerSize(#REF!)</f>
        <v>#VALUE!</v>
      </c>
      <c r="AE1902" s="4" t="e">
        <f t="shared" si="41"/>
        <v>#VALUE!</v>
      </c>
    </row>
    <row r="1903" spans="8:31" x14ac:dyDescent="0.2"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AC1903" t="e">
        <f ca="1">RANK(AB1903,OFFSET($AB$2,0,0,#REF!,1))</f>
        <v>#REF!</v>
      </c>
      <c r="AD1903" s="4" t="e">
        <f>InsurerSize(#REF!)</f>
        <v>#VALUE!</v>
      </c>
      <c r="AE1903" s="4" t="e">
        <f t="shared" si="41"/>
        <v>#VALUE!</v>
      </c>
    </row>
    <row r="1904" spans="8:31" x14ac:dyDescent="0.2"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AC1904" t="e">
        <f ca="1">RANK(AB1904,OFFSET($AB$2,0,0,#REF!,1))</f>
        <v>#REF!</v>
      </c>
      <c r="AD1904" s="4" t="e">
        <f>InsurerSize(#REF!)</f>
        <v>#VALUE!</v>
      </c>
      <c r="AE1904" s="4" t="e">
        <f t="shared" si="41"/>
        <v>#VALUE!</v>
      </c>
    </row>
    <row r="1905" spans="8:31" x14ac:dyDescent="0.2"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AC1905" t="e">
        <f ca="1">RANK(AB1905,OFFSET($AB$2,0,0,#REF!,1))</f>
        <v>#REF!</v>
      </c>
      <c r="AD1905" s="4" t="e">
        <f>InsurerSize(#REF!)</f>
        <v>#VALUE!</v>
      </c>
      <c r="AE1905" s="4" t="e">
        <f t="shared" si="41"/>
        <v>#VALUE!</v>
      </c>
    </row>
    <row r="1906" spans="8:31" x14ac:dyDescent="0.2"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AC1906" t="e">
        <f ca="1">RANK(AB1906,OFFSET($AB$2,0,0,#REF!,1))</f>
        <v>#REF!</v>
      </c>
      <c r="AD1906" s="4" t="e">
        <f>InsurerSize(#REF!)</f>
        <v>#VALUE!</v>
      </c>
      <c r="AE1906" s="4" t="e">
        <f t="shared" si="41"/>
        <v>#VALUE!</v>
      </c>
    </row>
    <row r="1907" spans="8:31" x14ac:dyDescent="0.2"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AC1907" t="e">
        <f ca="1">RANK(AB1907,OFFSET($AB$2,0,0,#REF!,1))</f>
        <v>#REF!</v>
      </c>
      <c r="AD1907" s="4" t="e">
        <f>InsurerSize(#REF!)</f>
        <v>#VALUE!</v>
      </c>
      <c r="AE1907" s="4" t="e">
        <f t="shared" si="41"/>
        <v>#VALUE!</v>
      </c>
    </row>
    <row r="1908" spans="8:31" x14ac:dyDescent="0.2"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AC1908" t="e">
        <f ca="1">RANK(AB1908,OFFSET($AB$2,0,0,#REF!,1))</f>
        <v>#REF!</v>
      </c>
      <c r="AD1908" s="4" t="e">
        <f>InsurerSize(#REF!)</f>
        <v>#VALUE!</v>
      </c>
      <c r="AE1908" s="4" t="e">
        <f t="shared" si="41"/>
        <v>#VALUE!</v>
      </c>
    </row>
    <row r="1909" spans="8:31" x14ac:dyDescent="0.2"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AC1909" t="e">
        <f ca="1">RANK(AB1909,OFFSET($AB$2,0,0,#REF!,1))</f>
        <v>#REF!</v>
      </c>
      <c r="AD1909" s="4" t="e">
        <f>InsurerSize(#REF!)</f>
        <v>#VALUE!</v>
      </c>
      <c r="AE1909" s="4" t="e">
        <f t="shared" si="41"/>
        <v>#VALUE!</v>
      </c>
    </row>
    <row r="1910" spans="8:31" x14ac:dyDescent="0.2"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AC1910" t="e">
        <f ca="1">RANK(AB1910,OFFSET($AB$2,0,0,#REF!,1))</f>
        <v>#REF!</v>
      </c>
      <c r="AD1910" s="4" t="e">
        <f>InsurerSize(#REF!)</f>
        <v>#VALUE!</v>
      </c>
      <c r="AE1910" s="4" t="e">
        <f t="shared" si="41"/>
        <v>#VALUE!</v>
      </c>
    </row>
    <row r="1911" spans="8:31" x14ac:dyDescent="0.2"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AC1911" t="e">
        <f ca="1">RANK(AB1911,OFFSET($AB$2,0,0,#REF!,1))</f>
        <v>#REF!</v>
      </c>
      <c r="AD1911" s="4" t="e">
        <f>InsurerSize(#REF!)</f>
        <v>#VALUE!</v>
      </c>
      <c r="AE1911" s="4" t="e">
        <f t="shared" si="41"/>
        <v>#VALUE!</v>
      </c>
    </row>
    <row r="1912" spans="8:31" x14ac:dyDescent="0.2"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AC1912" t="e">
        <f ca="1">RANK(AB1912,OFFSET($AB$2,0,0,#REF!,1))</f>
        <v>#REF!</v>
      </c>
      <c r="AD1912" s="4" t="e">
        <f>InsurerSize(#REF!)</f>
        <v>#VALUE!</v>
      </c>
      <c r="AE1912" s="4" t="e">
        <f t="shared" si="41"/>
        <v>#VALUE!</v>
      </c>
    </row>
    <row r="1913" spans="8:31" x14ac:dyDescent="0.2"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AC1913" t="e">
        <f ca="1">RANK(AB1913,OFFSET($AB$2,0,0,#REF!,1))</f>
        <v>#REF!</v>
      </c>
      <c r="AD1913" s="4" t="e">
        <f>InsurerSize(#REF!)</f>
        <v>#VALUE!</v>
      </c>
      <c r="AE1913" s="4" t="e">
        <f t="shared" si="41"/>
        <v>#VALUE!</v>
      </c>
    </row>
    <row r="1914" spans="8:31" x14ac:dyDescent="0.2"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AC1914" t="e">
        <f ca="1">RANK(AB1914,OFFSET($AB$2,0,0,#REF!,1))</f>
        <v>#REF!</v>
      </c>
      <c r="AD1914" s="4" t="e">
        <f>InsurerSize(#REF!)</f>
        <v>#VALUE!</v>
      </c>
      <c r="AE1914" s="4" t="e">
        <f t="shared" si="41"/>
        <v>#VALUE!</v>
      </c>
    </row>
    <row r="1915" spans="8:31" x14ac:dyDescent="0.2"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AC1915" t="e">
        <f ca="1">RANK(AB1915,OFFSET($AB$2,0,0,#REF!,1))</f>
        <v>#REF!</v>
      </c>
      <c r="AD1915" s="4" t="e">
        <f>InsurerSize(#REF!)</f>
        <v>#VALUE!</v>
      </c>
      <c r="AE1915" s="4" t="e">
        <f t="shared" si="41"/>
        <v>#VALUE!</v>
      </c>
    </row>
    <row r="1916" spans="8:31" x14ac:dyDescent="0.2"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AC1916" t="e">
        <f ca="1">RANK(AB1916,OFFSET($AB$2,0,0,#REF!,1))</f>
        <v>#REF!</v>
      </c>
      <c r="AD1916" s="4" t="e">
        <f>InsurerSize(#REF!)</f>
        <v>#VALUE!</v>
      </c>
      <c r="AE1916" s="4" t="e">
        <f t="shared" si="41"/>
        <v>#VALUE!</v>
      </c>
    </row>
    <row r="1917" spans="8:31" x14ac:dyDescent="0.2"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AC1917" t="e">
        <f ca="1">RANK(AB1917,OFFSET($AB$2,0,0,#REF!,1))</f>
        <v>#REF!</v>
      </c>
      <c r="AD1917" s="4" t="e">
        <f>InsurerSize(#REF!)</f>
        <v>#VALUE!</v>
      </c>
      <c r="AE1917" s="4" t="e">
        <f t="shared" si="41"/>
        <v>#VALUE!</v>
      </c>
    </row>
    <row r="1918" spans="8:31" x14ac:dyDescent="0.2"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AC1918" t="e">
        <f ca="1">RANK(AB1918,OFFSET($AB$2,0,0,#REF!,1))</f>
        <v>#REF!</v>
      </c>
      <c r="AD1918" s="4" t="e">
        <f>InsurerSize(#REF!)</f>
        <v>#VALUE!</v>
      </c>
      <c r="AE1918" s="4" t="e">
        <f t="shared" si="41"/>
        <v>#VALUE!</v>
      </c>
    </row>
    <row r="1919" spans="8:31" x14ac:dyDescent="0.2"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AC1919" t="e">
        <f ca="1">RANK(AB1919,OFFSET($AB$2,0,0,#REF!,1))</f>
        <v>#REF!</v>
      </c>
      <c r="AD1919" s="4" t="e">
        <f>InsurerSize(#REF!)</f>
        <v>#VALUE!</v>
      </c>
      <c r="AE1919" s="4" t="e">
        <f t="shared" si="41"/>
        <v>#VALUE!</v>
      </c>
    </row>
    <row r="1920" spans="8:31" x14ac:dyDescent="0.2"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AC1920" t="e">
        <f ca="1">RANK(AB1920,OFFSET($AB$2,0,0,#REF!,1))</f>
        <v>#REF!</v>
      </c>
      <c r="AD1920" s="4" t="e">
        <f>InsurerSize(#REF!)</f>
        <v>#VALUE!</v>
      </c>
      <c r="AE1920" s="4" t="e">
        <f t="shared" si="41"/>
        <v>#VALUE!</v>
      </c>
    </row>
    <row r="1921" spans="8:31" x14ac:dyDescent="0.2"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AC1921" t="e">
        <f ca="1">RANK(AB1921,OFFSET($AB$2,0,0,#REF!,1))</f>
        <v>#REF!</v>
      </c>
      <c r="AD1921" s="4" t="e">
        <f>InsurerSize(#REF!)</f>
        <v>#VALUE!</v>
      </c>
      <c r="AE1921" s="4" t="e">
        <f t="shared" si="41"/>
        <v>#VALUE!</v>
      </c>
    </row>
    <row r="1922" spans="8:31" x14ac:dyDescent="0.2"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AC1922" t="e">
        <f ca="1">RANK(AB1922,OFFSET($AB$2,0,0,#REF!,1))</f>
        <v>#REF!</v>
      </c>
      <c r="AD1922" s="4" t="e">
        <f>InsurerSize(#REF!)</f>
        <v>#VALUE!</v>
      </c>
      <c r="AE1922" s="4" t="e">
        <f t="shared" ref="AE1922:AE1985" si="42">A1922&amp;AD1922</f>
        <v>#VALUE!</v>
      </c>
    </row>
    <row r="1923" spans="8:31" x14ac:dyDescent="0.2"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AC1923" t="e">
        <f ca="1">RANK(AB1923,OFFSET($AB$2,0,0,#REF!,1))</f>
        <v>#REF!</v>
      </c>
      <c r="AD1923" s="4" t="e">
        <f>InsurerSize(#REF!)</f>
        <v>#VALUE!</v>
      </c>
      <c r="AE1923" s="4" t="e">
        <f t="shared" si="42"/>
        <v>#VALUE!</v>
      </c>
    </row>
    <row r="1924" spans="8:31" x14ac:dyDescent="0.2"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AC1924" t="e">
        <f ca="1">RANK(AB1924,OFFSET($AB$2,0,0,#REF!,1))</f>
        <v>#REF!</v>
      </c>
      <c r="AD1924" s="4" t="e">
        <f>InsurerSize(#REF!)</f>
        <v>#VALUE!</v>
      </c>
      <c r="AE1924" s="4" t="e">
        <f t="shared" si="42"/>
        <v>#VALUE!</v>
      </c>
    </row>
    <row r="1925" spans="8:31" x14ac:dyDescent="0.2"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AC1925" t="e">
        <f ca="1">RANK(AB1925,OFFSET($AB$2,0,0,#REF!,1))</f>
        <v>#REF!</v>
      </c>
      <c r="AD1925" s="4" t="e">
        <f>InsurerSize(#REF!)</f>
        <v>#VALUE!</v>
      </c>
      <c r="AE1925" s="4" t="e">
        <f t="shared" si="42"/>
        <v>#VALUE!</v>
      </c>
    </row>
    <row r="1926" spans="8:31" x14ac:dyDescent="0.2"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AC1926" t="e">
        <f ca="1">RANK(AB1926,OFFSET($AB$2,0,0,#REF!,1))</f>
        <v>#REF!</v>
      </c>
      <c r="AD1926" s="4" t="e">
        <f>InsurerSize(#REF!)</f>
        <v>#VALUE!</v>
      </c>
      <c r="AE1926" s="4" t="e">
        <f t="shared" si="42"/>
        <v>#VALUE!</v>
      </c>
    </row>
    <row r="1927" spans="8:31" x14ac:dyDescent="0.2"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AC1927" t="e">
        <f ca="1">RANK(AB1927,OFFSET($AB$2,0,0,#REF!,1))</f>
        <v>#REF!</v>
      </c>
      <c r="AD1927" s="4" t="e">
        <f>InsurerSize(#REF!)</f>
        <v>#VALUE!</v>
      </c>
      <c r="AE1927" s="4" t="e">
        <f t="shared" si="42"/>
        <v>#VALUE!</v>
      </c>
    </row>
    <row r="1928" spans="8:31" x14ac:dyDescent="0.2"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AC1928" t="e">
        <f ca="1">RANK(AB1928,OFFSET($AB$2,0,0,#REF!,1))</f>
        <v>#REF!</v>
      </c>
      <c r="AD1928" s="4" t="e">
        <f>InsurerSize(#REF!)</f>
        <v>#VALUE!</v>
      </c>
      <c r="AE1928" s="4" t="e">
        <f t="shared" si="42"/>
        <v>#VALUE!</v>
      </c>
    </row>
    <row r="1929" spans="8:31" x14ac:dyDescent="0.2"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AC1929" t="e">
        <f ca="1">RANK(AB1929,OFFSET($AB$2,0,0,#REF!,1))</f>
        <v>#REF!</v>
      </c>
      <c r="AD1929" s="4" t="e">
        <f>InsurerSize(#REF!)</f>
        <v>#VALUE!</v>
      </c>
      <c r="AE1929" s="4" t="e">
        <f t="shared" si="42"/>
        <v>#VALUE!</v>
      </c>
    </row>
    <row r="1930" spans="8:31" x14ac:dyDescent="0.2"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AC1930" t="e">
        <f ca="1">RANK(AB1930,OFFSET($AB$2,0,0,#REF!,1))</f>
        <v>#REF!</v>
      </c>
      <c r="AD1930" s="4" t="e">
        <f>InsurerSize(#REF!)</f>
        <v>#VALUE!</v>
      </c>
      <c r="AE1930" s="4" t="e">
        <f t="shared" si="42"/>
        <v>#VALUE!</v>
      </c>
    </row>
    <row r="1931" spans="8:31" x14ac:dyDescent="0.2"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AC1931" t="e">
        <f ca="1">RANK(AB1931,OFFSET($AB$2,0,0,#REF!,1))</f>
        <v>#REF!</v>
      </c>
      <c r="AD1931" s="4" t="e">
        <f>InsurerSize(#REF!)</f>
        <v>#VALUE!</v>
      </c>
      <c r="AE1931" s="4" t="e">
        <f t="shared" si="42"/>
        <v>#VALUE!</v>
      </c>
    </row>
    <row r="1932" spans="8:31" x14ac:dyDescent="0.2"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AC1932" t="e">
        <f ca="1">RANK(AB1932,OFFSET($AB$2,0,0,#REF!,1))</f>
        <v>#REF!</v>
      </c>
      <c r="AD1932" s="4" t="e">
        <f>InsurerSize(#REF!)</f>
        <v>#VALUE!</v>
      </c>
      <c r="AE1932" s="4" t="e">
        <f t="shared" si="42"/>
        <v>#VALUE!</v>
      </c>
    </row>
    <row r="1933" spans="8:31" x14ac:dyDescent="0.2"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AC1933" t="e">
        <f ca="1">RANK(AB1933,OFFSET($AB$2,0,0,#REF!,1))</f>
        <v>#REF!</v>
      </c>
      <c r="AD1933" s="4" t="e">
        <f>InsurerSize(#REF!)</f>
        <v>#VALUE!</v>
      </c>
      <c r="AE1933" s="4" t="e">
        <f t="shared" si="42"/>
        <v>#VALUE!</v>
      </c>
    </row>
    <row r="1934" spans="8:31" x14ac:dyDescent="0.2"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AC1934" t="e">
        <f ca="1">RANK(AB1934,OFFSET($AB$2,0,0,#REF!,1))</f>
        <v>#REF!</v>
      </c>
      <c r="AD1934" s="4" t="e">
        <f>InsurerSize(#REF!)</f>
        <v>#VALUE!</v>
      </c>
      <c r="AE1934" s="4" t="e">
        <f t="shared" si="42"/>
        <v>#VALUE!</v>
      </c>
    </row>
    <row r="1935" spans="8:31" x14ac:dyDescent="0.2"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AC1935" t="e">
        <f ca="1">RANK(AB1935,OFFSET($AB$2,0,0,#REF!,1))</f>
        <v>#REF!</v>
      </c>
      <c r="AD1935" s="4" t="e">
        <f>InsurerSize(#REF!)</f>
        <v>#VALUE!</v>
      </c>
      <c r="AE1935" s="4" t="e">
        <f t="shared" si="42"/>
        <v>#VALUE!</v>
      </c>
    </row>
    <row r="1936" spans="8:31" x14ac:dyDescent="0.2"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AC1936" t="e">
        <f ca="1">RANK(AB1936,OFFSET($AB$2,0,0,#REF!,1))</f>
        <v>#REF!</v>
      </c>
      <c r="AD1936" s="4" t="e">
        <f>InsurerSize(#REF!)</f>
        <v>#VALUE!</v>
      </c>
      <c r="AE1936" s="4" t="e">
        <f t="shared" si="42"/>
        <v>#VALUE!</v>
      </c>
    </row>
    <row r="1937" spans="8:31" x14ac:dyDescent="0.2"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AC1937" t="e">
        <f ca="1">RANK(AB1937,OFFSET($AB$2,0,0,#REF!,1))</f>
        <v>#REF!</v>
      </c>
      <c r="AD1937" s="4" t="e">
        <f>InsurerSize(#REF!)</f>
        <v>#VALUE!</v>
      </c>
      <c r="AE1937" s="4" t="e">
        <f t="shared" si="42"/>
        <v>#VALUE!</v>
      </c>
    </row>
    <row r="1938" spans="8:31" x14ac:dyDescent="0.2"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AC1938" t="e">
        <f ca="1">RANK(AB1938,OFFSET($AB$2,0,0,#REF!,1))</f>
        <v>#REF!</v>
      </c>
      <c r="AD1938" s="4" t="e">
        <f>InsurerSize(#REF!)</f>
        <v>#VALUE!</v>
      </c>
      <c r="AE1938" s="4" t="e">
        <f t="shared" si="42"/>
        <v>#VALUE!</v>
      </c>
    </row>
    <row r="1939" spans="8:31" x14ac:dyDescent="0.2"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AC1939" t="e">
        <f ca="1">RANK(AB1939,OFFSET($AB$2,0,0,#REF!,1))</f>
        <v>#REF!</v>
      </c>
      <c r="AD1939" s="4" t="e">
        <f>InsurerSize(#REF!)</f>
        <v>#VALUE!</v>
      </c>
      <c r="AE1939" s="4" t="e">
        <f t="shared" si="42"/>
        <v>#VALUE!</v>
      </c>
    </row>
    <row r="1940" spans="8:31" x14ac:dyDescent="0.2"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AC1940" t="e">
        <f ca="1">RANK(AB1940,OFFSET($AB$2,0,0,#REF!,1))</f>
        <v>#REF!</v>
      </c>
      <c r="AD1940" s="4" t="e">
        <f>InsurerSize(#REF!)</f>
        <v>#VALUE!</v>
      </c>
      <c r="AE1940" s="4" t="e">
        <f t="shared" si="42"/>
        <v>#VALUE!</v>
      </c>
    </row>
    <row r="1941" spans="8:31" x14ac:dyDescent="0.2"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AC1941" t="e">
        <f ca="1">RANK(AB1941,OFFSET($AB$2,0,0,#REF!,1))</f>
        <v>#REF!</v>
      </c>
      <c r="AD1941" s="4" t="e">
        <f>InsurerSize(#REF!)</f>
        <v>#VALUE!</v>
      </c>
      <c r="AE1941" s="4" t="e">
        <f t="shared" si="42"/>
        <v>#VALUE!</v>
      </c>
    </row>
    <row r="1942" spans="8:31" x14ac:dyDescent="0.2"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AC1942" t="e">
        <f ca="1">RANK(AB1942,OFFSET($AB$2,0,0,#REF!,1))</f>
        <v>#REF!</v>
      </c>
      <c r="AD1942" s="4" t="e">
        <f>InsurerSize(#REF!)</f>
        <v>#VALUE!</v>
      </c>
      <c r="AE1942" s="4" t="e">
        <f t="shared" si="42"/>
        <v>#VALUE!</v>
      </c>
    </row>
    <row r="1943" spans="8:31" x14ac:dyDescent="0.2"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AC1943" t="e">
        <f ca="1">RANK(AB1943,OFFSET($AB$2,0,0,#REF!,1))</f>
        <v>#REF!</v>
      </c>
      <c r="AD1943" s="4" t="e">
        <f>InsurerSize(#REF!)</f>
        <v>#VALUE!</v>
      </c>
      <c r="AE1943" s="4" t="e">
        <f t="shared" si="42"/>
        <v>#VALUE!</v>
      </c>
    </row>
    <row r="1944" spans="8:31" x14ac:dyDescent="0.2"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AC1944" t="e">
        <f ca="1">RANK(AB1944,OFFSET($AB$2,0,0,#REF!,1))</f>
        <v>#REF!</v>
      </c>
      <c r="AD1944" s="4" t="e">
        <f>InsurerSize(#REF!)</f>
        <v>#VALUE!</v>
      </c>
      <c r="AE1944" s="4" t="e">
        <f t="shared" si="42"/>
        <v>#VALUE!</v>
      </c>
    </row>
    <row r="1945" spans="8:31" x14ac:dyDescent="0.2"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AC1945" t="e">
        <f ca="1">RANK(AB1945,OFFSET($AB$2,0,0,#REF!,1))</f>
        <v>#REF!</v>
      </c>
      <c r="AD1945" s="4" t="e">
        <f>InsurerSize(#REF!)</f>
        <v>#VALUE!</v>
      </c>
      <c r="AE1945" s="4" t="e">
        <f t="shared" si="42"/>
        <v>#VALUE!</v>
      </c>
    </row>
    <row r="1946" spans="8:31" x14ac:dyDescent="0.2"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AC1946" t="e">
        <f ca="1">RANK(AB1946,OFFSET($AB$2,0,0,#REF!,1))</f>
        <v>#REF!</v>
      </c>
      <c r="AD1946" s="4" t="e">
        <f>InsurerSize(#REF!)</f>
        <v>#VALUE!</v>
      </c>
      <c r="AE1946" s="4" t="e">
        <f t="shared" si="42"/>
        <v>#VALUE!</v>
      </c>
    </row>
    <row r="1947" spans="8:31" x14ac:dyDescent="0.2"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AC1947" t="e">
        <f ca="1">RANK(AB1947,OFFSET($AB$2,0,0,#REF!,1))</f>
        <v>#REF!</v>
      </c>
      <c r="AD1947" s="4" t="e">
        <f>InsurerSize(#REF!)</f>
        <v>#VALUE!</v>
      </c>
      <c r="AE1947" s="4" t="e">
        <f t="shared" si="42"/>
        <v>#VALUE!</v>
      </c>
    </row>
    <row r="1948" spans="8:31" x14ac:dyDescent="0.2"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AC1948" t="e">
        <f ca="1">RANK(AB1948,OFFSET($AB$2,0,0,#REF!,1))</f>
        <v>#REF!</v>
      </c>
      <c r="AD1948" s="4" t="e">
        <f>InsurerSize(#REF!)</f>
        <v>#VALUE!</v>
      </c>
      <c r="AE1948" s="4" t="e">
        <f t="shared" si="42"/>
        <v>#VALUE!</v>
      </c>
    </row>
    <row r="1949" spans="8:31" x14ac:dyDescent="0.2"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AC1949" t="e">
        <f ca="1">RANK(AB1949,OFFSET($AB$2,0,0,#REF!,1))</f>
        <v>#REF!</v>
      </c>
      <c r="AD1949" s="4" t="e">
        <f>InsurerSize(#REF!)</f>
        <v>#VALUE!</v>
      </c>
      <c r="AE1949" s="4" t="e">
        <f t="shared" si="42"/>
        <v>#VALUE!</v>
      </c>
    </row>
    <row r="1950" spans="8:31" x14ac:dyDescent="0.2"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AC1950" t="e">
        <f ca="1">RANK(AB1950,OFFSET($AB$2,0,0,#REF!,1))</f>
        <v>#REF!</v>
      </c>
      <c r="AD1950" s="4" t="e">
        <f>InsurerSize(#REF!)</f>
        <v>#VALUE!</v>
      </c>
      <c r="AE1950" s="4" t="e">
        <f t="shared" si="42"/>
        <v>#VALUE!</v>
      </c>
    </row>
    <row r="1951" spans="8:31" x14ac:dyDescent="0.2"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AC1951" t="e">
        <f ca="1">RANK(AB1951,OFFSET($AB$2,0,0,#REF!,1))</f>
        <v>#REF!</v>
      </c>
      <c r="AD1951" s="4" t="e">
        <f>InsurerSize(#REF!)</f>
        <v>#VALUE!</v>
      </c>
      <c r="AE1951" s="4" t="e">
        <f t="shared" si="42"/>
        <v>#VALUE!</v>
      </c>
    </row>
    <row r="1952" spans="8:31" x14ac:dyDescent="0.2"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AC1952" t="e">
        <f ca="1">RANK(AB1952,OFFSET($AB$2,0,0,#REF!,1))</f>
        <v>#REF!</v>
      </c>
      <c r="AD1952" s="4" t="e">
        <f>InsurerSize(#REF!)</f>
        <v>#VALUE!</v>
      </c>
      <c r="AE1952" s="4" t="e">
        <f t="shared" si="42"/>
        <v>#VALUE!</v>
      </c>
    </row>
    <row r="1953" spans="8:31" x14ac:dyDescent="0.2"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AC1953" t="e">
        <f ca="1">RANK(AB1953,OFFSET($AB$2,0,0,#REF!,1))</f>
        <v>#REF!</v>
      </c>
      <c r="AD1953" s="4" t="e">
        <f>InsurerSize(#REF!)</f>
        <v>#VALUE!</v>
      </c>
      <c r="AE1953" s="4" t="e">
        <f t="shared" si="42"/>
        <v>#VALUE!</v>
      </c>
    </row>
    <row r="1954" spans="8:31" x14ac:dyDescent="0.2"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AC1954" t="e">
        <f ca="1">RANK(AB1954,OFFSET($AB$2,0,0,#REF!,1))</f>
        <v>#REF!</v>
      </c>
      <c r="AD1954" s="4" t="e">
        <f>InsurerSize(#REF!)</f>
        <v>#VALUE!</v>
      </c>
      <c r="AE1954" s="4" t="e">
        <f t="shared" si="42"/>
        <v>#VALUE!</v>
      </c>
    </row>
    <row r="1955" spans="8:31" x14ac:dyDescent="0.2"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AC1955" t="e">
        <f ca="1">RANK(AB1955,OFFSET($AB$2,0,0,#REF!,1))</f>
        <v>#REF!</v>
      </c>
      <c r="AD1955" s="4" t="e">
        <f>InsurerSize(#REF!)</f>
        <v>#VALUE!</v>
      </c>
      <c r="AE1955" s="4" t="e">
        <f t="shared" si="42"/>
        <v>#VALUE!</v>
      </c>
    </row>
    <row r="1956" spans="8:31" x14ac:dyDescent="0.2"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AC1956" t="e">
        <f ca="1">RANK(AB1956,OFFSET($AB$2,0,0,#REF!,1))</f>
        <v>#REF!</v>
      </c>
      <c r="AD1956" s="4" t="e">
        <f>InsurerSize(#REF!)</f>
        <v>#VALUE!</v>
      </c>
      <c r="AE1956" s="4" t="e">
        <f t="shared" si="42"/>
        <v>#VALUE!</v>
      </c>
    </row>
    <row r="1957" spans="8:31" x14ac:dyDescent="0.2"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AC1957" t="e">
        <f ca="1">RANK(AB1957,OFFSET($AB$2,0,0,#REF!,1))</f>
        <v>#REF!</v>
      </c>
      <c r="AD1957" s="4" t="e">
        <f>InsurerSize(#REF!)</f>
        <v>#VALUE!</v>
      </c>
      <c r="AE1957" s="4" t="e">
        <f t="shared" si="42"/>
        <v>#VALUE!</v>
      </c>
    </row>
    <row r="1958" spans="8:31" x14ac:dyDescent="0.2"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AC1958" t="e">
        <f ca="1">RANK(AB1958,OFFSET($AB$2,0,0,#REF!,1))</f>
        <v>#REF!</v>
      </c>
      <c r="AD1958" s="4" t="e">
        <f>InsurerSize(#REF!)</f>
        <v>#VALUE!</v>
      </c>
      <c r="AE1958" s="4" t="e">
        <f t="shared" si="42"/>
        <v>#VALUE!</v>
      </c>
    </row>
    <row r="1959" spans="8:31" x14ac:dyDescent="0.2"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AC1959" t="e">
        <f ca="1">RANK(AB1959,OFFSET($AB$2,0,0,#REF!,1))</f>
        <v>#REF!</v>
      </c>
      <c r="AD1959" s="4" t="e">
        <f>InsurerSize(#REF!)</f>
        <v>#VALUE!</v>
      </c>
      <c r="AE1959" s="4" t="e">
        <f t="shared" si="42"/>
        <v>#VALUE!</v>
      </c>
    </row>
    <row r="1960" spans="8:31" x14ac:dyDescent="0.2"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AC1960" t="e">
        <f ca="1">RANK(AB1960,OFFSET($AB$2,0,0,#REF!,1))</f>
        <v>#REF!</v>
      </c>
      <c r="AD1960" s="4" t="e">
        <f>InsurerSize(#REF!)</f>
        <v>#VALUE!</v>
      </c>
      <c r="AE1960" s="4" t="e">
        <f t="shared" si="42"/>
        <v>#VALUE!</v>
      </c>
    </row>
    <row r="1961" spans="8:31" x14ac:dyDescent="0.2"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AC1961" t="e">
        <f ca="1">RANK(AB1961,OFFSET($AB$2,0,0,#REF!,1))</f>
        <v>#REF!</v>
      </c>
      <c r="AD1961" s="4" t="e">
        <f>InsurerSize(#REF!)</f>
        <v>#VALUE!</v>
      </c>
      <c r="AE1961" s="4" t="e">
        <f t="shared" si="42"/>
        <v>#VALUE!</v>
      </c>
    </row>
    <row r="1962" spans="8:31" x14ac:dyDescent="0.2"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AC1962" t="e">
        <f ca="1">RANK(AB1962,OFFSET($AB$2,0,0,#REF!,1))</f>
        <v>#REF!</v>
      </c>
      <c r="AD1962" s="4" t="e">
        <f>InsurerSize(#REF!)</f>
        <v>#VALUE!</v>
      </c>
      <c r="AE1962" s="4" t="e">
        <f t="shared" si="42"/>
        <v>#VALUE!</v>
      </c>
    </row>
    <row r="1963" spans="8:31" x14ac:dyDescent="0.2"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AC1963" t="e">
        <f ca="1">RANK(AB1963,OFFSET($AB$2,0,0,#REF!,1))</f>
        <v>#REF!</v>
      </c>
      <c r="AD1963" s="4" t="e">
        <f>InsurerSize(#REF!)</f>
        <v>#VALUE!</v>
      </c>
      <c r="AE1963" s="4" t="e">
        <f t="shared" si="42"/>
        <v>#VALUE!</v>
      </c>
    </row>
    <row r="1964" spans="8:31" x14ac:dyDescent="0.2"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AC1964" t="e">
        <f ca="1">RANK(AB1964,OFFSET($AB$2,0,0,#REF!,1))</f>
        <v>#REF!</v>
      </c>
      <c r="AD1964" s="4" t="e">
        <f>InsurerSize(#REF!)</f>
        <v>#VALUE!</v>
      </c>
      <c r="AE1964" s="4" t="e">
        <f t="shared" si="42"/>
        <v>#VALUE!</v>
      </c>
    </row>
    <row r="1965" spans="8:31" x14ac:dyDescent="0.2"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AC1965" t="e">
        <f ca="1">RANK(AB1965,OFFSET($AB$2,0,0,#REF!,1))</f>
        <v>#REF!</v>
      </c>
      <c r="AD1965" s="4" t="e">
        <f>InsurerSize(#REF!)</f>
        <v>#VALUE!</v>
      </c>
      <c r="AE1965" s="4" t="e">
        <f t="shared" si="42"/>
        <v>#VALUE!</v>
      </c>
    </row>
    <row r="1966" spans="8:31" x14ac:dyDescent="0.2"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AC1966" t="e">
        <f ca="1">RANK(AB1966,OFFSET($AB$2,0,0,#REF!,1))</f>
        <v>#REF!</v>
      </c>
      <c r="AD1966" s="4" t="e">
        <f>InsurerSize(#REF!)</f>
        <v>#VALUE!</v>
      </c>
      <c r="AE1966" s="4" t="e">
        <f t="shared" si="42"/>
        <v>#VALUE!</v>
      </c>
    </row>
    <row r="1967" spans="8:31" x14ac:dyDescent="0.2"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AC1967" t="e">
        <f ca="1">RANK(AB1967,OFFSET($AB$2,0,0,#REF!,1))</f>
        <v>#REF!</v>
      </c>
      <c r="AD1967" s="4" t="e">
        <f>InsurerSize(#REF!)</f>
        <v>#VALUE!</v>
      </c>
      <c r="AE1967" s="4" t="e">
        <f t="shared" si="42"/>
        <v>#VALUE!</v>
      </c>
    </row>
    <row r="1968" spans="8:31" x14ac:dyDescent="0.2"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AC1968" t="e">
        <f ca="1">RANK(AB1968,OFFSET($AB$2,0,0,#REF!,1))</f>
        <v>#REF!</v>
      </c>
      <c r="AD1968" s="4" t="e">
        <f>InsurerSize(#REF!)</f>
        <v>#VALUE!</v>
      </c>
      <c r="AE1968" s="4" t="e">
        <f t="shared" si="42"/>
        <v>#VALUE!</v>
      </c>
    </row>
    <row r="1969" spans="8:31" x14ac:dyDescent="0.2"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AC1969" t="e">
        <f ca="1">RANK(AB1969,OFFSET($AB$2,0,0,#REF!,1))</f>
        <v>#REF!</v>
      </c>
      <c r="AD1969" s="4" t="e">
        <f>InsurerSize(#REF!)</f>
        <v>#VALUE!</v>
      </c>
      <c r="AE1969" s="4" t="e">
        <f t="shared" si="42"/>
        <v>#VALUE!</v>
      </c>
    </row>
    <row r="1970" spans="8:31" x14ac:dyDescent="0.2"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AC1970" t="e">
        <f ca="1">RANK(AB1970,OFFSET($AB$2,0,0,#REF!,1))</f>
        <v>#REF!</v>
      </c>
      <c r="AD1970" s="4" t="e">
        <f>InsurerSize(#REF!)</f>
        <v>#VALUE!</v>
      </c>
      <c r="AE1970" s="4" t="e">
        <f t="shared" si="42"/>
        <v>#VALUE!</v>
      </c>
    </row>
    <row r="1971" spans="8:31" x14ac:dyDescent="0.2"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AC1971" t="e">
        <f ca="1">RANK(AB1971,OFFSET($AB$2,0,0,#REF!,1))</f>
        <v>#REF!</v>
      </c>
      <c r="AD1971" s="4" t="e">
        <f>InsurerSize(#REF!)</f>
        <v>#VALUE!</v>
      </c>
      <c r="AE1971" s="4" t="e">
        <f t="shared" si="42"/>
        <v>#VALUE!</v>
      </c>
    </row>
    <row r="1972" spans="8:31" x14ac:dyDescent="0.2"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AC1972" t="e">
        <f ca="1">RANK(AB1972,OFFSET($AB$2,0,0,#REF!,1))</f>
        <v>#REF!</v>
      </c>
      <c r="AD1972" s="4" t="e">
        <f>InsurerSize(#REF!)</f>
        <v>#VALUE!</v>
      </c>
      <c r="AE1972" s="4" t="e">
        <f t="shared" si="42"/>
        <v>#VALUE!</v>
      </c>
    </row>
    <row r="1973" spans="8:31" x14ac:dyDescent="0.2"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AC1973" t="e">
        <f ca="1">RANK(AB1973,OFFSET($AB$2,0,0,#REF!,1))</f>
        <v>#REF!</v>
      </c>
      <c r="AD1973" s="4" t="e">
        <f>InsurerSize(#REF!)</f>
        <v>#VALUE!</v>
      </c>
      <c r="AE1973" s="4" t="e">
        <f t="shared" si="42"/>
        <v>#VALUE!</v>
      </c>
    </row>
    <row r="1974" spans="8:31" x14ac:dyDescent="0.2"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AC1974" t="e">
        <f ca="1">RANK(AB1974,OFFSET($AB$2,0,0,#REF!,1))</f>
        <v>#REF!</v>
      </c>
      <c r="AD1974" s="4" t="e">
        <f>InsurerSize(#REF!)</f>
        <v>#VALUE!</v>
      </c>
      <c r="AE1974" s="4" t="e">
        <f t="shared" si="42"/>
        <v>#VALUE!</v>
      </c>
    </row>
    <row r="1975" spans="8:31" x14ac:dyDescent="0.2"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AC1975" t="e">
        <f ca="1">RANK(AB1975,OFFSET($AB$2,0,0,#REF!,1))</f>
        <v>#REF!</v>
      </c>
      <c r="AD1975" s="4" t="e">
        <f>InsurerSize(#REF!)</f>
        <v>#VALUE!</v>
      </c>
      <c r="AE1975" s="4" t="e">
        <f t="shared" si="42"/>
        <v>#VALUE!</v>
      </c>
    </row>
    <row r="1976" spans="8:31" x14ac:dyDescent="0.2"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AC1976" t="e">
        <f ca="1">RANK(AB1976,OFFSET($AB$2,0,0,#REF!,1))</f>
        <v>#REF!</v>
      </c>
      <c r="AD1976" s="4" t="e">
        <f>InsurerSize(#REF!)</f>
        <v>#VALUE!</v>
      </c>
      <c r="AE1976" s="4" t="e">
        <f t="shared" si="42"/>
        <v>#VALUE!</v>
      </c>
    </row>
    <row r="1977" spans="8:31" x14ac:dyDescent="0.2"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AC1977" t="e">
        <f ca="1">RANK(AB1977,OFFSET($AB$2,0,0,#REF!,1))</f>
        <v>#REF!</v>
      </c>
      <c r="AD1977" s="4" t="e">
        <f>InsurerSize(#REF!)</f>
        <v>#VALUE!</v>
      </c>
      <c r="AE1977" s="4" t="e">
        <f t="shared" si="42"/>
        <v>#VALUE!</v>
      </c>
    </row>
    <row r="1978" spans="8:31" x14ac:dyDescent="0.2"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AC1978" t="e">
        <f ca="1">RANK(AB1978,OFFSET($AB$2,0,0,#REF!,1))</f>
        <v>#REF!</v>
      </c>
      <c r="AD1978" s="4" t="e">
        <f>InsurerSize(#REF!)</f>
        <v>#VALUE!</v>
      </c>
      <c r="AE1978" s="4" t="e">
        <f t="shared" si="42"/>
        <v>#VALUE!</v>
      </c>
    </row>
    <row r="1979" spans="8:31" x14ac:dyDescent="0.2"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AC1979" t="e">
        <f ca="1">RANK(AB1979,OFFSET($AB$2,0,0,#REF!,1))</f>
        <v>#REF!</v>
      </c>
      <c r="AD1979" s="4" t="e">
        <f>InsurerSize(#REF!)</f>
        <v>#VALUE!</v>
      </c>
      <c r="AE1979" s="4" t="e">
        <f t="shared" si="42"/>
        <v>#VALUE!</v>
      </c>
    </row>
    <row r="1980" spans="8:31" x14ac:dyDescent="0.2"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AC1980" t="e">
        <f ca="1">RANK(AB1980,OFFSET($AB$2,0,0,#REF!,1))</f>
        <v>#REF!</v>
      </c>
      <c r="AD1980" s="4" t="e">
        <f>InsurerSize(#REF!)</f>
        <v>#VALUE!</v>
      </c>
      <c r="AE1980" s="4" t="e">
        <f t="shared" si="42"/>
        <v>#VALUE!</v>
      </c>
    </row>
    <row r="1981" spans="8:31" x14ac:dyDescent="0.2"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AC1981" t="e">
        <f ca="1">RANK(AB1981,OFFSET($AB$2,0,0,#REF!,1))</f>
        <v>#REF!</v>
      </c>
      <c r="AD1981" s="4" t="e">
        <f>InsurerSize(#REF!)</f>
        <v>#VALUE!</v>
      </c>
      <c r="AE1981" s="4" t="e">
        <f t="shared" si="42"/>
        <v>#VALUE!</v>
      </c>
    </row>
    <row r="1982" spans="8:31" x14ac:dyDescent="0.2"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AC1982" t="e">
        <f ca="1">RANK(AB1982,OFFSET($AB$2,0,0,#REF!,1))</f>
        <v>#REF!</v>
      </c>
      <c r="AD1982" s="4" t="e">
        <f>InsurerSize(#REF!)</f>
        <v>#VALUE!</v>
      </c>
      <c r="AE1982" s="4" t="e">
        <f t="shared" si="42"/>
        <v>#VALUE!</v>
      </c>
    </row>
    <row r="1983" spans="8:31" x14ac:dyDescent="0.2"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AC1983" t="e">
        <f ca="1">RANK(AB1983,OFFSET($AB$2,0,0,#REF!,1))</f>
        <v>#REF!</v>
      </c>
      <c r="AD1983" s="4" t="e">
        <f>InsurerSize(#REF!)</f>
        <v>#VALUE!</v>
      </c>
      <c r="AE1983" s="4" t="e">
        <f t="shared" si="42"/>
        <v>#VALUE!</v>
      </c>
    </row>
    <row r="1984" spans="8:31" x14ac:dyDescent="0.2"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AC1984" t="e">
        <f ca="1">RANK(AB1984,OFFSET($AB$2,0,0,#REF!,1))</f>
        <v>#REF!</v>
      </c>
      <c r="AD1984" s="4" t="e">
        <f>InsurerSize(#REF!)</f>
        <v>#VALUE!</v>
      </c>
      <c r="AE1984" s="4" t="e">
        <f t="shared" si="42"/>
        <v>#VALUE!</v>
      </c>
    </row>
    <row r="1985" spans="8:31" x14ac:dyDescent="0.2"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AC1985" t="e">
        <f ca="1">RANK(AB1985,OFFSET($AB$2,0,0,#REF!,1))</f>
        <v>#REF!</v>
      </c>
      <c r="AD1985" s="4" t="e">
        <f>InsurerSize(#REF!)</f>
        <v>#VALUE!</v>
      </c>
      <c r="AE1985" s="4" t="e">
        <f t="shared" si="42"/>
        <v>#VALUE!</v>
      </c>
    </row>
    <row r="1986" spans="8:31" x14ac:dyDescent="0.2"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AC1986" t="e">
        <f ca="1">RANK(AB1986,OFFSET($AB$2,0,0,#REF!,1))</f>
        <v>#REF!</v>
      </c>
      <c r="AD1986" s="4" t="e">
        <f>InsurerSize(#REF!)</f>
        <v>#VALUE!</v>
      </c>
      <c r="AE1986" s="4" t="e">
        <f t="shared" ref="AE1986:AE2049" si="43">A1986&amp;AD1986</f>
        <v>#VALUE!</v>
      </c>
    </row>
    <row r="1987" spans="8:31" x14ac:dyDescent="0.2"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AC1987" t="e">
        <f ca="1">RANK(AB1987,OFFSET($AB$2,0,0,#REF!,1))</f>
        <v>#REF!</v>
      </c>
      <c r="AD1987" s="4" t="e">
        <f>InsurerSize(#REF!)</f>
        <v>#VALUE!</v>
      </c>
      <c r="AE1987" s="4" t="e">
        <f t="shared" si="43"/>
        <v>#VALUE!</v>
      </c>
    </row>
    <row r="1988" spans="8:31" x14ac:dyDescent="0.2"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AC1988" t="e">
        <f ca="1">RANK(AB1988,OFFSET($AB$2,0,0,#REF!,1))</f>
        <v>#REF!</v>
      </c>
      <c r="AD1988" s="4" t="e">
        <f>InsurerSize(#REF!)</f>
        <v>#VALUE!</v>
      </c>
      <c r="AE1988" s="4" t="e">
        <f t="shared" si="43"/>
        <v>#VALUE!</v>
      </c>
    </row>
    <row r="1989" spans="8:31" x14ac:dyDescent="0.2"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AC1989" t="e">
        <f ca="1">RANK(AB1989,OFFSET($AB$2,0,0,#REF!,1))</f>
        <v>#REF!</v>
      </c>
      <c r="AD1989" s="4" t="e">
        <f>InsurerSize(#REF!)</f>
        <v>#VALUE!</v>
      </c>
      <c r="AE1989" s="4" t="e">
        <f t="shared" si="43"/>
        <v>#VALUE!</v>
      </c>
    </row>
    <row r="1990" spans="8:31" x14ac:dyDescent="0.2"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AC1990" t="e">
        <f ca="1">RANK(AB1990,OFFSET($AB$2,0,0,#REF!,1))</f>
        <v>#REF!</v>
      </c>
      <c r="AD1990" s="4" t="e">
        <f>InsurerSize(#REF!)</f>
        <v>#VALUE!</v>
      </c>
      <c r="AE1990" s="4" t="e">
        <f t="shared" si="43"/>
        <v>#VALUE!</v>
      </c>
    </row>
    <row r="1991" spans="8:31" x14ac:dyDescent="0.2"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AC1991" t="e">
        <f ca="1">RANK(AB1991,OFFSET($AB$2,0,0,#REF!,1))</f>
        <v>#REF!</v>
      </c>
      <c r="AD1991" s="4" t="e">
        <f>InsurerSize(#REF!)</f>
        <v>#VALUE!</v>
      </c>
      <c r="AE1991" s="4" t="e">
        <f t="shared" si="43"/>
        <v>#VALUE!</v>
      </c>
    </row>
    <row r="1992" spans="8:31" x14ac:dyDescent="0.2"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AC1992" t="e">
        <f ca="1">RANK(AB1992,OFFSET($AB$2,0,0,#REF!,1))</f>
        <v>#REF!</v>
      </c>
      <c r="AD1992" s="4" t="e">
        <f>InsurerSize(#REF!)</f>
        <v>#VALUE!</v>
      </c>
      <c r="AE1992" s="4" t="e">
        <f t="shared" si="43"/>
        <v>#VALUE!</v>
      </c>
    </row>
    <row r="1993" spans="8:31" x14ac:dyDescent="0.2"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AC1993" t="e">
        <f ca="1">RANK(AB1993,OFFSET($AB$2,0,0,#REF!,1))</f>
        <v>#REF!</v>
      </c>
      <c r="AD1993" s="4" t="e">
        <f>InsurerSize(#REF!)</f>
        <v>#VALUE!</v>
      </c>
      <c r="AE1993" s="4" t="e">
        <f t="shared" si="43"/>
        <v>#VALUE!</v>
      </c>
    </row>
    <row r="1994" spans="8:31" x14ac:dyDescent="0.2"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AC1994" t="e">
        <f ca="1">RANK(AB1994,OFFSET($AB$2,0,0,#REF!,1))</f>
        <v>#REF!</v>
      </c>
      <c r="AD1994" s="4" t="e">
        <f>InsurerSize(#REF!)</f>
        <v>#VALUE!</v>
      </c>
      <c r="AE1994" s="4" t="e">
        <f t="shared" si="43"/>
        <v>#VALUE!</v>
      </c>
    </row>
    <row r="1995" spans="8:31" x14ac:dyDescent="0.2"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AC1995" t="e">
        <f ca="1">RANK(AB1995,OFFSET($AB$2,0,0,#REF!,1))</f>
        <v>#REF!</v>
      </c>
      <c r="AD1995" s="4" t="e">
        <f>InsurerSize(#REF!)</f>
        <v>#VALUE!</v>
      </c>
      <c r="AE1995" s="4" t="e">
        <f t="shared" si="43"/>
        <v>#VALUE!</v>
      </c>
    </row>
    <row r="1996" spans="8:31" x14ac:dyDescent="0.2"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AC1996" t="e">
        <f ca="1">RANK(AB1996,OFFSET($AB$2,0,0,#REF!,1))</f>
        <v>#REF!</v>
      </c>
      <c r="AD1996" s="4" t="e">
        <f>InsurerSize(#REF!)</f>
        <v>#VALUE!</v>
      </c>
      <c r="AE1996" s="4" t="e">
        <f t="shared" si="43"/>
        <v>#VALUE!</v>
      </c>
    </row>
    <row r="1997" spans="8:31" x14ac:dyDescent="0.2"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AC1997" t="e">
        <f ca="1">RANK(AB1997,OFFSET($AB$2,0,0,#REF!,1))</f>
        <v>#REF!</v>
      </c>
      <c r="AD1997" s="4" t="e">
        <f>InsurerSize(#REF!)</f>
        <v>#VALUE!</v>
      </c>
      <c r="AE1997" s="4" t="e">
        <f t="shared" si="43"/>
        <v>#VALUE!</v>
      </c>
    </row>
    <row r="1998" spans="8:31" x14ac:dyDescent="0.2"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AC1998" t="e">
        <f ca="1">RANK(AB1998,OFFSET($AB$2,0,0,#REF!,1))</f>
        <v>#REF!</v>
      </c>
      <c r="AD1998" s="4" t="e">
        <f>InsurerSize(#REF!)</f>
        <v>#VALUE!</v>
      </c>
      <c r="AE1998" s="4" t="e">
        <f t="shared" si="43"/>
        <v>#VALUE!</v>
      </c>
    </row>
    <row r="1999" spans="8:31" x14ac:dyDescent="0.2"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AC1999" t="e">
        <f ca="1">RANK(AB1999,OFFSET($AB$2,0,0,#REF!,1))</f>
        <v>#REF!</v>
      </c>
      <c r="AD1999" s="4" t="e">
        <f>InsurerSize(#REF!)</f>
        <v>#VALUE!</v>
      </c>
      <c r="AE1999" s="4" t="e">
        <f t="shared" si="43"/>
        <v>#VALUE!</v>
      </c>
    </row>
    <row r="2000" spans="8:31" x14ac:dyDescent="0.2"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5"/>
      <c r="AC2000" t="e">
        <f ca="1">RANK(AB2000,OFFSET($AB$2,0,0,#REF!,1))</f>
        <v>#REF!</v>
      </c>
      <c r="AD2000" s="4" t="e">
        <f>InsurerSize(#REF!)</f>
        <v>#VALUE!</v>
      </c>
      <c r="AE2000" s="4" t="e">
        <f t="shared" si="43"/>
        <v>#VALUE!</v>
      </c>
    </row>
    <row r="2001" spans="8:31" x14ac:dyDescent="0.2"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5"/>
      <c r="AC2001" t="e">
        <f ca="1">RANK(AB2001,OFFSET($AB$2,0,0,#REF!,1))</f>
        <v>#REF!</v>
      </c>
      <c r="AD2001" s="4" t="e">
        <f>InsurerSize(#REF!)</f>
        <v>#VALUE!</v>
      </c>
      <c r="AE2001" s="4" t="e">
        <f t="shared" si="43"/>
        <v>#VALUE!</v>
      </c>
    </row>
    <row r="2002" spans="8:31" x14ac:dyDescent="0.2"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5"/>
      <c r="AC2002" t="e">
        <f ca="1">RANK(AB2002,OFFSET($AB$2,0,0,#REF!,1))</f>
        <v>#REF!</v>
      </c>
      <c r="AD2002" s="4" t="e">
        <f>InsurerSize(#REF!)</f>
        <v>#VALUE!</v>
      </c>
      <c r="AE2002" s="4" t="e">
        <f t="shared" si="43"/>
        <v>#VALUE!</v>
      </c>
    </row>
    <row r="2003" spans="8:31" x14ac:dyDescent="0.2"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5"/>
      <c r="AC2003" t="e">
        <f ca="1">RANK(AB2003,OFFSET($AB$2,0,0,#REF!,1))</f>
        <v>#REF!</v>
      </c>
      <c r="AD2003" s="4" t="e">
        <f>InsurerSize(#REF!)</f>
        <v>#VALUE!</v>
      </c>
      <c r="AE2003" s="4" t="e">
        <f t="shared" si="43"/>
        <v>#VALUE!</v>
      </c>
    </row>
    <row r="2004" spans="8:31" x14ac:dyDescent="0.2"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5"/>
      <c r="AC2004" t="e">
        <f ca="1">RANK(AB2004,OFFSET($AB$2,0,0,#REF!,1))</f>
        <v>#REF!</v>
      </c>
      <c r="AD2004" s="4" t="e">
        <f>InsurerSize(#REF!)</f>
        <v>#VALUE!</v>
      </c>
      <c r="AE2004" s="4" t="e">
        <f t="shared" si="43"/>
        <v>#VALUE!</v>
      </c>
    </row>
    <row r="2005" spans="8:31" x14ac:dyDescent="0.2"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5"/>
      <c r="AC2005" t="e">
        <f ca="1">RANK(AB2005,OFFSET($AB$2,0,0,#REF!,1))</f>
        <v>#REF!</v>
      </c>
      <c r="AD2005" s="4" t="e">
        <f>InsurerSize(#REF!)</f>
        <v>#VALUE!</v>
      </c>
      <c r="AE2005" s="4" t="e">
        <f t="shared" si="43"/>
        <v>#VALUE!</v>
      </c>
    </row>
    <row r="2006" spans="8:31" x14ac:dyDescent="0.2"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5"/>
      <c r="AC2006" t="e">
        <f ca="1">RANK(AB2006,OFFSET($AB$2,0,0,#REF!,1))</f>
        <v>#REF!</v>
      </c>
      <c r="AD2006" s="4" t="e">
        <f>InsurerSize(#REF!)</f>
        <v>#VALUE!</v>
      </c>
      <c r="AE2006" s="4" t="e">
        <f t="shared" si="43"/>
        <v>#VALUE!</v>
      </c>
    </row>
    <row r="2007" spans="8:31" x14ac:dyDescent="0.2"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5"/>
      <c r="AC2007" t="e">
        <f ca="1">RANK(AB2007,OFFSET($AB$2,0,0,#REF!,1))</f>
        <v>#REF!</v>
      </c>
      <c r="AD2007" s="4" t="e">
        <f>InsurerSize(#REF!)</f>
        <v>#VALUE!</v>
      </c>
      <c r="AE2007" s="4" t="e">
        <f t="shared" si="43"/>
        <v>#VALUE!</v>
      </c>
    </row>
    <row r="2008" spans="8:31" x14ac:dyDescent="0.2"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5"/>
      <c r="AC2008" t="e">
        <f ca="1">RANK(AB2008,OFFSET($AB$2,0,0,#REF!,1))</f>
        <v>#REF!</v>
      </c>
      <c r="AD2008" s="4" t="e">
        <f>InsurerSize(#REF!)</f>
        <v>#VALUE!</v>
      </c>
      <c r="AE2008" s="4" t="e">
        <f t="shared" si="43"/>
        <v>#VALUE!</v>
      </c>
    </row>
    <row r="2009" spans="8:31" x14ac:dyDescent="0.2"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5"/>
      <c r="AC2009" t="e">
        <f ca="1">RANK(AB2009,OFFSET($AB$2,0,0,#REF!,1))</f>
        <v>#REF!</v>
      </c>
      <c r="AD2009" s="4" t="e">
        <f>InsurerSize(#REF!)</f>
        <v>#VALUE!</v>
      </c>
      <c r="AE2009" s="4" t="e">
        <f t="shared" si="43"/>
        <v>#VALUE!</v>
      </c>
    </row>
    <row r="2010" spans="8:31" x14ac:dyDescent="0.2"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5"/>
      <c r="AC2010" t="e">
        <f ca="1">RANK(AB2010,OFFSET($AB$2,0,0,#REF!,1))</f>
        <v>#REF!</v>
      </c>
      <c r="AD2010" s="4" t="e">
        <f>InsurerSize(#REF!)</f>
        <v>#VALUE!</v>
      </c>
      <c r="AE2010" s="4" t="e">
        <f t="shared" si="43"/>
        <v>#VALUE!</v>
      </c>
    </row>
    <row r="2011" spans="8:31" x14ac:dyDescent="0.2"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5"/>
      <c r="AC2011" t="e">
        <f ca="1">RANK(AB2011,OFFSET($AB$2,0,0,#REF!,1))</f>
        <v>#REF!</v>
      </c>
      <c r="AD2011" s="4" t="e">
        <f>InsurerSize(#REF!)</f>
        <v>#VALUE!</v>
      </c>
      <c r="AE2011" s="4" t="e">
        <f t="shared" si="43"/>
        <v>#VALUE!</v>
      </c>
    </row>
    <row r="2012" spans="8:31" x14ac:dyDescent="0.2"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5"/>
      <c r="AC2012" t="e">
        <f ca="1">RANK(AB2012,OFFSET($AB$2,0,0,#REF!,1))</f>
        <v>#REF!</v>
      </c>
      <c r="AD2012" s="4" t="e">
        <f>InsurerSize(#REF!)</f>
        <v>#VALUE!</v>
      </c>
      <c r="AE2012" s="4" t="e">
        <f t="shared" si="43"/>
        <v>#VALUE!</v>
      </c>
    </row>
    <row r="2013" spans="8:31" x14ac:dyDescent="0.2"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5"/>
      <c r="AC2013" t="e">
        <f ca="1">RANK(AB2013,OFFSET($AB$2,0,0,#REF!,1))</f>
        <v>#REF!</v>
      </c>
      <c r="AD2013" s="4" t="e">
        <f>InsurerSize(#REF!)</f>
        <v>#VALUE!</v>
      </c>
      <c r="AE2013" s="4" t="e">
        <f t="shared" si="43"/>
        <v>#VALUE!</v>
      </c>
    </row>
    <row r="2014" spans="8:31" x14ac:dyDescent="0.2"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5"/>
      <c r="AC2014" t="e">
        <f ca="1">RANK(AB2014,OFFSET($AB$2,0,0,#REF!,1))</f>
        <v>#REF!</v>
      </c>
      <c r="AD2014" s="4" t="e">
        <f>InsurerSize(#REF!)</f>
        <v>#VALUE!</v>
      </c>
      <c r="AE2014" s="4" t="e">
        <f t="shared" si="43"/>
        <v>#VALUE!</v>
      </c>
    </row>
    <row r="2015" spans="8:31" x14ac:dyDescent="0.2"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5"/>
      <c r="AC2015" t="e">
        <f ca="1">RANK(AB2015,OFFSET($AB$2,0,0,#REF!,1))</f>
        <v>#REF!</v>
      </c>
      <c r="AD2015" s="4" t="e">
        <f>InsurerSize(#REF!)</f>
        <v>#VALUE!</v>
      </c>
      <c r="AE2015" s="4" t="e">
        <f t="shared" si="43"/>
        <v>#VALUE!</v>
      </c>
    </row>
    <row r="2016" spans="8:31" x14ac:dyDescent="0.2"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5"/>
      <c r="AC2016" t="e">
        <f ca="1">RANK(AB2016,OFFSET($AB$2,0,0,#REF!,1))</f>
        <v>#REF!</v>
      </c>
      <c r="AD2016" s="4" t="e">
        <f>InsurerSize(#REF!)</f>
        <v>#VALUE!</v>
      </c>
      <c r="AE2016" s="4" t="e">
        <f t="shared" si="43"/>
        <v>#VALUE!</v>
      </c>
    </row>
    <row r="2017" spans="8:31" x14ac:dyDescent="0.2"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5"/>
      <c r="AC2017" t="e">
        <f ca="1">RANK(AB2017,OFFSET($AB$2,0,0,#REF!,1))</f>
        <v>#REF!</v>
      </c>
      <c r="AD2017" s="4" t="e">
        <f>InsurerSize(#REF!)</f>
        <v>#VALUE!</v>
      </c>
      <c r="AE2017" s="4" t="e">
        <f t="shared" si="43"/>
        <v>#VALUE!</v>
      </c>
    </row>
    <row r="2018" spans="8:31" x14ac:dyDescent="0.2"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5"/>
      <c r="AC2018" t="e">
        <f ca="1">RANK(AB2018,OFFSET($AB$2,0,0,#REF!,1))</f>
        <v>#REF!</v>
      </c>
      <c r="AD2018" s="4" t="e">
        <f>InsurerSize(#REF!)</f>
        <v>#VALUE!</v>
      </c>
      <c r="AE2018" s="4" t="e">
        <f t="shared" si="43"/>
        <v>#VALUE!</v>
      </c>
    </row>
    <row r="2019" spans="8:31" x14ac:dyDescent="0.2"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5"/>
      <c r="AC2019" t="e">
        <f ca="1">RANK(AB2019,OFFSET($AB$2,0,0,#REF!,1))</f>
        <v>#REF!</v>
      </c>
      <c r="AD2019" s="4" t="e">
        <f>InsurerSize(#REF!)</f>
        <v>#VALUE!</v>
      </c>
      <c r="AE2019" s="4" t="e">
        <f t="shared" si="43"/>
        <v>#VALUE!</v>
      </c>
    </row>
    <row r="2020" spans="8:31" x14ac:dyDescent="0.2"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5"/>
      <c r="AC2020" t="e">
        <f ca="1">RANK(AB2020,OFFSET($AB$2,0,0,#REF!,1))</f>
        <v>#REF!</v>
      </c>
      <c r="AD2020" s="4" t="e">
        <f>InsurerSize(#REF!)</f>
        <v>#VALUE!</v>
      </c>
      <c r="AE2020" s="4" t="e">
        <f t="shared" si="43"/>
        <v>#VALUE!</v>
      </c>
    </row>
    <row r="2021" spans="8:31" x14ac:dyDescent="0.2"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AC2021" t="e">
        <f ca="1">RANK(AB2021,OFFSET($AB$2,0,0,#REF!,1))</f>
        <v>#REF!</v>
      </c>
      <c r="AD2021" s="4" t="e">
        <f>InsurerSize(#REF!)</f>
        <v>#VALUE!</v>
      </c>
      <c r="AE2021" s="4" t="e">
        <f t="shared" si="43"/>
        <v>#VALUE!</v>
      </c>
    </row>
    <row r="2022" spans="8:31" x14ac:dyDescent="0.2"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5"/>
      <c r="AC2022" t="e">
        <f ca="1">RANK(AB2022,OFFSET($AB$2,0,0,#REF!,1))</f>
        <v>#REF!</v>
      </c>
      <c r="AD2022" s="4" t="e">
        <f>InsurerSize(#REF!)</f>
        <v>#VALUE!</v>
      </c>
      <c r="AE2022" s="4" t="e">
        <f t="shared" si="43"/>
        <v>#VALUE!</v>
      </c>
    </row>
    <row r="2023" spans="8:31" x14ac:dyDescent="0.2"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5"/>
      <c r="AC2023" t="e">
        <f ca="1">RANK(AB2023,OFFSET($AB$2,0,0,#REF!,1))</f>
        <v>#REF!</v>
      </c>
      <c r="AD2023" s="4" t="e">
        <f>InsurerSize(#REF!)</f>
        <v>#VALUE!</v>
      </c>
      <c r="AE2023" s="4" t="e">
        <f t="shared" si="43"/>
        <v>#VALUE!</v>
      </c>
    </row>
    <row r="2024" spans="8:31" x14ac:dyDescent="0.2"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AC2024" t="e">
        <f ca="1">RANK(AB2024,OFFSET($AB$2,0,0,#REF!,1))</f>
        <v>#REF!</v>
      </c>
      <c r="AD2024" s="4" t="e">
        <f>InsurerSize(#REF!)</f>
        <v>#VALUE!</v>
      </c>
      <c r="AE2024" s="4" t="e">
        <f t="shared" si="43"/>
        <v>#VALUE!</v>
      </c>
    </row>
    <row r="2025" spans="8:31" x14ac:dyDescent="0.2"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5"/>
      <c r="AC2025" t="e">
        <f ca="1">RANK(AB2025,OFFSET($AB$2,0,0,#REF!,1))</f>
        <v>#REF!</v>
      </c>
      <c r="AD2025" s="4" t="e">
        <f>InsurerSize(#REF!)</f>
        <v>#VALUE!</v>
      </c>
      <c r="AE2025" s="4" t="e">
        <f t="shared" si="43"/>
        <v>#VALUE!</v>
      </c>
    </row>
    <row r="2026" spans="8:31" x14ac:dyDescent="0.2"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5"/>
      <c r="AC2026" t="e">
        <f ca="1">RANK(AB2026,OFFSET($AB$2,0,0,#REF!,1))</f>
        <v>#REF!</v>
      </c>
      <c r="AD2026" s="4" t="e">
        <f>InsurerSize(#REF!)</f>
        <v>#VALUE!</v>
      </c>
      <c r="AE2026" s="4" t="e">
        <f t="shared" si="43"/>
        <v>#VALUE!</v>
      </c>
    </row>
    <row r="2027" spans="8:31" x14ac:dyDescent="0.2"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5"/>
      <c r="AC2027" t="e">
        <f ca="1">RANK(AB2027,OFFSET($AB$2,0,0,#REF!,1))</f>
        <v>#REF!</v>
      </c>
      <c r="AD2027" s="4" t="e">
        <f>InsurerSize(#REF!)</f>
        <v>#VALUE!</v>
      </c>
      <c r="AE2027" s="4" t="e">
        <f t="shared" si="43"/>
        <v>#VALUE!</v>
      </c>
    </row>
    <row r="2028" spans="8:31" x14ac:dyDescent="0.2"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5"/>
      <c r="AC2028" t="e">
        <f ca="1">RANK(AB2028,OFFSET($AB$2,0,0,#REF!,1))</f>
        <v>#REF!</v>
      </c>
      <c r="AD2028" s="4" t="e">
        <f>InsurerSize(#REF!)</f>
        <v>#VALUE!</v>
      </c>
      <c r="AE2028" s="4" t="e">
        <f t="shared" si="43"/>
        <v>#VALUE!</v>
      </c>
    </row>
    <row r="2029" spans="8:31" x14ac:dyDescent="0.2"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5"/>
      <c r="AC2029" t="e">
        <f ca="1">RANK(AB2029,OFFSET($AB$2,0,0,#REF!,1))</f>
        <v>#REF!</v>
      </c>
      <c r="AD2029" s="4" t="e">
        <f>InsurerSize(#REF!)</f>
        <v>#VALUE!</v>
      </c>
      <c r="AE2029" s="4" t="e">
        <f t="shared" si="43"/>
        <v>#VALUE!</v>
      </c>
    </row>
    <row r="2030" spans="8:31" x14ac:dyDescent="0.2"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5"/>
      <c r="AC2030" t="e">
        <f ca="1">RANK(AB2030,OFFSET($AB$2,0,0,#REF!,1))</f>
        <v>#REF!</v>
      </c>
      <c r="AD2030" s="4" t="e">
        <f>InsurerSize(#REF!)</f>
        <v>#VALUE!</v>
      </c>
      <c r="AE2030" s="4" t="e">
        <f t="shared" si="43"/>
        <v>#VALUE!</v>
      </c>
    </row>
    <row r="2031" spans="8:31" x14ac:dyDescent="0.2"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5"/>
      <c r="AC2031" t="e">
        <f ca="1">RANK(AB2031,OFFSET($AB$2,0,0,#REF!,1))</f>
        <v>#REF!</v>
      </c>
      <c r="AD2031" s="4" t="e">
        <f>InsurerSize(#REF!)</f>
        <v>#VALUE!</v>
      </c>
      <c r="AE2031" s="4" t="e">
        <f t="shared" si="43"/>
        <v>#VALUE!</v>
      </c>
    </row>
    <row r="2032" spans="8:31" x14ac:dyDescent="0.2"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5"/>
      <c r="AC2032" t="e">
        <f ca="1">RANK(AB2032,OFFSET($AB$2,0,0,#REF!,1))</f>
        <v>#REF!</v>
      </c>
      <c r="AD2032" s="4" t="e">
        <f>InsurerSize(#REF!)</f>
        <v>#VALUE!</v>
      </c>
      <c r="AE2032" s="4" t="e">
        <f t="shared" si="43"/>
        <v>#VALUE!</v>
      </c>
    </row>
    <row r="2033" spans="8:31" x14ac:dyDescent="0.2"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5"/>
      <c r="AC2033" t="e">
        <f ca="1">RANK(AB2033,OFFSET($AB$2,0,0,#REF!,1))</f>
        <v>#REF!</v>
      </c>
      <c r="AD2033" s="4" t="e">
        <f>InsurerSize(#REF!)</f>
        <v>#VALUE!</v>
      </c>
      <c r="AE2033" s="4" t="e">
        <f t="shared" si="43"/>
        <v>#VALUE!</v>
      </c>
    </row>
    <row r="2034" spans="8:31" x14ac:dyDescent="0.2"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5"/>
      <c r="AC2034" t="e">
        <f ca="1">RANK(AB2034,OFFSET($AB$2,0,0,#REF!,1))</f>
        <v>#REF!</v>
      </c>
      <c r="AD2034" s="4" t="e">
        <f>InsurerSize(#REF!)</f>
        <v>#VALUE!</v>
      </c>
      <c r="AE2034" s="4" t="e">
        <f t="shared" si="43"/>
        <v>#VALUE!</v>
      </c>
    </row>
    <row r="2035" spans="8:31" x14ac:dyDescent="0.2"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5"/>
      <c r="AC2035" t="e">
        <f ca="1">RANK(AB2035,OFFSET($AB$2,0,0,#REF!,1))</f>
        <v>#REF!</v>
      </c>
      <c r="AD2035" s="4" t="e">
        <f>InsurerSize(#REF!)</f>
        <v>#VALUE!</v>
      </c>
      <c r="AE2035" s="4" t="e">
        <f t="shared" si="43"/>
        <v>#VALUE!</v>
      </c>
    </row>
    <row r="2036" spans="8:31" x14ac:dyDescent="0.2"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5"/>
      <c r="AC2036" t="e">
        <f ca="1">RANK(AB2036,OFFSET($AB$2,0,0,#REF!,1))</f>
        <v>#REF!</v>
      </c>
      <c r="AD2036" s="4" t="e">
        <f>InsurerSize(#REF!)</f>
        <v>#VALUE!</v>
      </c>
      <c r="AE2036" s="4" t="e">
        <f t="shared" si="43"/>
        <v>#VALUE!</v>
      </c>
    </row>
    <row r="2037" spans="8:31" x14ac:dyDescent="0.2"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5"/>
      <c r="AC2037" t="e">
        <f ca="1">RANK(AB2037,OFFSET($AB$2,0,0,#REF!,1))</f>
        <v>#REF!</v>
      </c>
      <c r="AD2037" s="4" t="e">
        <f>InsurerSize(#REF!)</f>
        <v>#VALUE!</v>
      </c>
      <c r="AE2037" s="4" t="e">
        <f t="shared" si="43"/>
        <v>#VALUE!</v>
      </c>
    </row>
    <row r="2038" spans="8:31" x14ac:dyDescent="0.2"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5"/>
      <c r="AC2038" t="e">
        <f ca="1">RANK(AB2038,OFFSET($AB$2,0,0,#REF!,1))</f>
        <v>#REF!</v>
      </c>
      <c r="AD2038" s="4" t="e">
        <f>InsurerSize(#REF!)</f>
        <v>#VALUE!</v>
      </c>
      <c r="AE2038" s="4" t="e">
        <f t="shared" si="43"/>
        <v>#VALUE!</v>
      </c>
    </row>
    <row r="2039" spans="8:31" x14ac:dyDescent="0.2"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5"/>
      <c r="AC2039" t="e">
        <f ca="1">RANK(AB2039,OFFSET($AB$2,0,0,#REF!,1))</f>
        <v>#REF!</v>
      </c>
      <c r="AD2039" s="4" t="e">
        <f>InsurerSize(#REF!)</f>
        <v>#VALUE!</v>
      </c>
      <c r="AE2039" s="4" t="e">
        <f t="shared" si="43"/>
        <v>#VALUE!</v>
      </c>
    </row>
    <row r="2040" spans="8:31" x14ac:dyDescent="0.2"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5"/>
      <c r="AC2040" t="e">
        <f ca="1">RANK(AB2040,OFFSET($AB$2,0,0,#REF!,1))</f>
        <v>#REF!</v>
      </c>
      <c r="AD2040" s="4" t="e">
        <f>InsurerSize(#REF!)</f>
        <v>#VALUE!</v>
      </c>
      <c r="AE2040" s="4" t="e">
        <f t="shared" si="43"/>
        <v>#VALUE!</v>
      </c>
    </row>
    <row r="2041" spans="8:31" x14ac:dyDescent="0.2"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5"/>
      <c r="AC2041" t="e">
        <f ca="1">RANK(AB2041,OFFSET($AB$2,0,0,#REF!,1))</f>
        <v>#REF!</v>
      </c>
      <c r="AD2041" s="4" t="e">
        <f>InsurerSize(#REF!)</f>
        <v>#VALUE!</v>
      </c>
      <c r="AE2041" s="4" t="e">
        <f t="shared" si="43"/>
        <v>#VALUE!</v>
      </c>
    </row>
    <row r="2042" spans="8:31" x14ac:dyDescent="0.2"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5"/>
      <c r="AC2042" t="e">
        <f ca="1">RANK(AB2042,OFFSET($AB$2,0,0,#REF!,1))</f>
        <v>#REF!</v>
      </c>
      <c r="AD2042" s="4" t="e">
        <f>InsurerSize(#REF!)</f>
        <v>#VALUE!</v>
      </c>
      <c r="AE2042" s="4" t="e">
        <f t="shared" si="43"/>
        <v>#VALUE!</v>
      </c>
    </row>
    <row r="2043" spans="8:31" x14ac:dyDescent="0.2"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5"/>
      <c r="AC2043" t="e">
        <f ca="1">RANK(AB2043,OFFSET($AB$2,0,0,#REF!,1))</f>
        <v>#REF!</v>
      </c>
      <c r="AD2043" s="4" t="e">
        <f>InsurerSize(#REF!)</f>
        <v>#VALUE!</v>
      </c>
      <c r="AE2043" s="4" t="e">
        <f t="shared" si="43"/>
        <v>#VALUE!</v>
      </c>
    </row>
    <row r="2044" spans="8:31" x14ac:dyDescent="0.2"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5"/>
      <c r="AC2044" t="e">
        <f ca="1">RANK(AB2044,OFFSET($AB$2,0,0,#REF!,1))</f>
        <v>#REF!</v>
      </c>
      <c r="AD2044" s="4" t="e">
        <f>InsurerSize(#REF!)</f>
        <v>#VALUE!</v>
      </c>
      <c r="AE2044" s="4" t="e">
        <f t="shared" si="43"/>
        <v>#VALUE!</v>
      </c>
    </row>
    <row r="2045" spans="8:31" x14ac:dyDescent="0.2"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5"/>
      <c r="AC2045" t="e">
        <f ca="1">RANK(AB2045,OFFSET($AB$2,0,0,#REF!,1))</f>
        <v>#REF!</v>
      </c>
      <c r="AD2045" s="4" t="e">
        <f>InsurerSize(#REF!)</f>
        <v>#VALUE!</v>
      </c>
      <c r="AE2045" s="4" t="e">
        <f t="shared" si="43"/>
        <v>#VALUE!</v>
      </c>
    </row>
    <row r="2046" spans="8:31" x14ac:dyDescent="0.2"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5"/>
      <c r="AC2046" t="e">
        <f ca="1">RANK(AB2046,OFFSET($AB$2,0,0,#REF!,1))</f>
        <v>#REF!</v>
      </c>
      <c r="AD2046" s="4" t="e">
        <f>InsurerSize(#REF!)</f>
        <v>#VALUE!</v>
      </c>
      <c r="AE2046" s="4" t="e">
        <f t="shared" si="43"/>
        <v>#VALUE!</v>
      </c>
    </row>
    <row r="2047" spans="8:31" x14ac:dyDescent="0.2"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5"/>
      <c r="AC2047" t="e">
        <f ca="1">RANK(AB2047,OFFSET($AB$2,0,0,#REF!,1))</f>
        <v>#REF!</v>
      </c>
      <c r="AD2047" s="4" t="e">
        <f>InsurerSize(#REF!)</f>
        <v>#VALUE!</v>
      </c>
      <c r="AE2047" s="4" t="e">
        <f t="shared" si="43"/>
        <v>#VALUE!</v>
      </c>
    </row>
    <row r="2048" spans="8:31" x14ac:dyDescent="0.2"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5"/>
      <c r="AC2048" t="e">
        <f ca="1">RANK(AB2048,OFFSET($AB$2,0,0,#REF!,1))</f>
        <v>#REF!</v>
      </c>
      <c r="AD2048" s="4" t="e">
        <f>InsurerSize(#REF!)</f>
        <v>#VALUE!</v>
      </c>
      <c r="AE2048" s="4" t="e">
        <f t="shared" si="43"/>
        <v>#VALUE!</v>
      </c>
    </row>
    <row r="2049" spans="8:31" x14ac:dyDescent="0.2"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5"/>
      <c r="AC2049" t="e">
        <f ca="1">RANK(AB2049,OFFSET($AB$2,0,0,#REF!,1))</f>
        <v>#REF!</v>
      </c>
      <c r="AD2049" s="4" t="e">
        <f>InsurerSize(#REF!)</f>
        <v>#VALUE!</v>
      </c>
      <c r="AE2049" s="4" t="e">
        <f t="shared" si="43"/>
        <v>#VALUE!</v>
      </c>
    </row>
    <row r="2050" spans="8:31" x14ac:dyDescent="0.2"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5"/>
      <c r="AC2050" t="e">
        <f ca="1">RANK(AB2050,OFFSET($AB$2,0,0,#REF!,1))</f>
        <v>#REF!</v>
      </c>
      <c r="AD2050" s="4" t="e">
        <f>InsurerSize(#REF!)</f>
        <v>#VALUE!</v>
      </c>
      <c r="AE2050" s="4" t="e">
        <f t="shared" ref="AE2050:AE2113" si="44">A2050&amp;AD2050</f>
        <v>#VALUE!</v>
      </c>
    </row>
    <row r="2051" spans="8:31" x14ac:dyDescent="0.2"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5"/>
      <c r="AC2051" t="e">
        <f ca="1">RANK(AB2051,OFFSET($AB$2,0,0,#REF!,1))</f>
        <v>#REF!</v>
      </c>
      <c r="AD2051" s="4" t="e">
        <f>InsurerSize(#REF!)</f>
        <v>#VALUE!</v>
      </c>
      <c r="AE2051" s="4" t="e">
        <f t="shared" si="44"/>
        <v>#VALUE!</v>
      </c>
    </row>
    <row r="2052" spans="8:31" x14ac:dyDescent="0.2"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5"/>
      <c r="AC2052" t="e">
        <f ca="1">RANK(AB2052,OFFSET($AB$2,0,0,#REF!,1))</f>
        <v>#REF!</v>
      </c>
      <c r="AD2052" s="4" t="e">
        <f>InsurerSize(#REF!)</f>
        <v>#VALUE!</v>
      </c>
      <c r="AE2052" s="4" t="e">
        <f t="shared" si="44"/>
        <v>#VALUE!</v>
      </c>
    </row>
    <row r="2053" spans="8:31" x14ac:dyDescent="0.2"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5"/>
      <c r="AC2053" t="e">
        <f ca="1">RANK(AB2053,OFFSET($AB$2,0,0,#REF!,1))</f>
        <v>#REF!</v>
      </c>
      <c r="AD2053" s="4" t="e">
        <f>InsurerSize(#REF!)</f>
        <v>#VALUE!</v>
      </c>
      <c r="AE2053" s="4" t="e">
        <f t="shared" si="44"/>
        <v>#VALUE!</v>
      </c>
    </row>
    <row r="2054" spans="8:31" x14ac:dyDescent="0.2"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5"/>
      <c r="AC2054" t="e">
        <f ca="1">RANK(AB2054,OFFSET($AB$2,0,0,#REF!,1))</f>
        <v>#REF!</v>
      </c>
      <c r="AD2054" s="4" t="e">
        <f>InsurerSize(#REF!)</f>
        <v>#VALUE!</v>
      </c>
      <c r="AE2054" s="4" t="e">
        <f t="shared" si="44"/>
        <v>#VALUE!</v>
      </c>
    </row>
    <row r="2055" spans="8:31" x14ac:dyDescent="0.2"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5"/>
      <c r="AC2055" t="e">
        <f ca="1">RANK(AB2055,OFFSET($AB$2,0,0,#REF!,1))</f>
        <v>#REF!</v>
      </c>
      <c r="AD2055" s="4" t="e">
        <f>InsurerSize(#REF!)</f>
        <v>#VALUE!</v>
      </c>
      <c r="AE2055" s="4" t="e">
        <f t="shared" si="44"/>
        <v>#VALUE!</v>
      </c>
    </row>
    <row r="2056" spans="8:31" x14ac:dyDescent="0.2"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5"/>
      <c r="AC2056" t="e">
        <f ca="1">RANK(AB2056,OFFSET($AB$2,0,0,#REF!,1))</f>
        <v>#REF!</v>
      </c>
      <c r="AD2056" s="4" t="e">
        <f>InsurerSize(#REF!)</f>
        <v>#VALUE!</v>
      </c>
      <c r="AE2056" s="4" t="e">
        <f t="shared" si="44"/>
        <v>#VALUE!</v>
      </c>
    </row>
    <row r="2057" spans="8:31" x14ac:dyDescent="0.2"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AC2057" t="e">
        <f ca="1">RANK(AB2057,OFFSET($AB$2,0,0,#REF!,1))</f>
        <v>#REF!</v>
      </c>
      <c r="AD2057" s="4" t="e">
        <f>InsurerSize(#REF!)</f>
        <v>#VALUE!</v>
      </c>
      <c r="AE2057" s="4" t="e">
        <f t="shared" si="44"/>
        <v>#VALUE!</v>
      </c>
    </row>
    <row r="2058" spans="8:31" x14ac:dyDescent="0.2"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5"/>
      <c r="AC2058" t="e">
        <f ca="1">RANK(AB2058,OFFSET($AB$2,0,0,#REF!,1))</f>
        <v>#REF!</v>
      </c>
      <c r="AD2058" s="4" t="e">
        <f>InsurerSize(#REF!)</f>
        <v>#VALUE!</v>
      </c>
      <c r="AE2058" s="4" t="e">
        <f t="shared" si="44"/>
        <v>#VALUE!</v>
      </c>
    </row>
    <row r="2059" spans="8:31" x14ac:dyDescent="0.2"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5"/>
      <c r="AC2059" t="e">
        <f ca="1">RANK(AB2059,OFFSET($AB$2,0,0,#REF!,1))</f>
        <v>#REF!</v>
      </c>
      <c r="AD2059" s="4" t="e">
        <f>InsurerSize(#REF!)</f>
        <v>#VALUE!</v>
      </c>
      <c r="AE2059" s="4" t="e">
        <f t="shared" si="44"/>
        <v>#VALUE!</v>
      </c>
    </row>
    <row r="2060" spans="8:31" x14ac:dyDescent="0.2"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5"/>
      <c r="AC2060" t="e">
        <f ca="1">RANK(AB2060,OFFSET($AB$2,0,0,#REF!,1))</f>
        <v>#REF!</v>
      </c>
      <c r="AD2060" s="4" t="e">
        <f>InsurerSize(#REF!)</f>
        <v>#VALUE!</v>
      </c>
      <c r="AE2060" s="4" t="e">
        <f t="shared" si="44"/>
        <v>#VALUE!</v>
      </c>
    </row>
    <row r="2061" spans="8:31" x14ac:dyDescent="0.2"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5"/>
      <c r="AC2061" t="e">
        <f ca="1">RANK(AB2061,OFFSET($AB$2,0,0,#REF!,1))</f>
        <v>#REF!</v>
      </c>
      <c r="AD2061" s="4" t="e">
        <f>InsurerSize(#REF!)</f>
        <v>#VALUE!</v>
      </c>
      <c r="AE2061" s="4" t="e">
        <f t="shared" si="44"/>
        <v>#VALUE!</v>
      </c>
    </row>
    <row r="2062" spans="8:31" x14ac:dyDescent="0.2"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5"/>
      <c r="AC2062" t="e">
        <f ca="1">RANK(AB2062,OFFSET($AB$2,0,0,#REF!,1))</f>
        <v>#REF!</v>
      </c>
      <c r="AD2062" s="4" t="e">
        <f>InsurerSize(#REF!)</f>
        <v>#VALUE!</v>
      </c>
      <c r="AE2062" s="4" t="e">
        <f t="shared" si="44"/>
        <v>#VALUE!</v>
      </c>
    </row>
    <row r="2063" spans="8:31" x14ac:dyDescent="0.2"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5"/>
      <c r="AC2063" t="e">
        <f ca="1">RANK(AB2063,OFFSET($AB$2,0,0,#REF!,1))</f>
        <v>#REF!</v>
      </c>
      <c r="AD2063" s="4" t="e">
        <f>InsurerSize(#REF!)</f>
        <v>#VALUE!</v>
      </c>
      <c r="AE2063" s="4" t="e">
        <f t="shared" si="44"/>
        <v>#VALUE!</v>
      </c>
    </row>
    <row r="2064" spans="8:31" x14ac:dyDescent="0.2"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5"/>
      <c r="AC2064" t="e">
        <f ca="1">RANK(AB2064,OFFSET($AB$2,0,0,#REF!,1))</f>
        <v>#REF!</v>
      </c>
      <c r="AD2064" s="4" t="e">
        <f>InsurerSize(#REF!)</f>
        <v>#VALUE!</v>
      </c>
      <c r="AE2064" s="4" t="e">
        <f t="shared" si="44"/>
        <v>#VALUE!</v>
      </c>
    </row>
    <row r="2065" spans="8:31" x14ac:dyDescent="0.2"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5"/>
      <c r="AC2065" t="e">
        <f ca="1">RANK(AB2065,OFFSET($AB$2,0,0,#REF!,1))</f>
        <v>#REF!</v>
      </c>
      <c r="AD2065" s="4" t="e">
        <f>InsurerSize(#REF!)</f>
        <v>#VALUE!</v>
      </c>
      <c r="AE2065" s="4" t="e">
        <f t="shared" si="44"/>
        <v>#VALUE!</v>
      </c>
    </row>
    <row r="2066" spans="8:31" x14ac:dyDescent="0.2"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5"/>
      <c r="AC2066" t="e">
        <f ca="1">RANK(AB2066,OFFSET($AB$2,0,0,#REF!,1))</f>
        <v>#REF!</v>
      </c>
      <c r="AD2066" s="4" t="e">
        <f>InsurerSize(#REF!)</f>
        <v>#VALUE!</v>
      </c>
      <c r="AE2066" s="4" t="e">
        <f t="shared" si="44"/>
        <v>#VALUE!</v>
      </c>
    </row>
    <row r="2067" spans="8:31" x14ac:dyDescent="0.2"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5"/>
      <c r="AC2067" t="e">
        <f ca="1">RANK(AB2067,OFFSET($AB$2,0,0,#REF!,1))</f>
        <v>#REF!</v>
      </c>
      <c r="AD2067" s="4" t="e">
        <f>InsurerSize(#REF!)</f>
        <v>#VALUE!</v>
      </c>
      <c r="AE2067" s="4" t="e">
        <f t="shared" si="44"/>
        <v>#VALUE!</v>
      </c>
    </row>
    <row r="2068" spans="8:31" x14ac:dyDescent="0.2"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5"/>
      <c r="AC2068" t="e">
        <f ca="1">RANK(AB2068,OFFSET($AB$2,0,0,#REF!,1))</f>
        <v>#REF!</v>
      </c>
      <c r="AD2068" s="4" t="e">
        <f>InsurerSize(#REF!)</f>
        <v>#VALUE!</v>
      </c>
      <c r="AE2068" s="4" t="e">
        <f t="shared" si="44"/>
        <v>#VALUE!</v>
      </c>
    </row>
    <row r="2069" spans="8:31" x14ac:dyDescent="0.2"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5"/>
      <c r="AC2069" t="e">
        <f ca="1">RANK(AB2069,OFFSET($AB$2,0,0,#REF!,1))</f>
        <v>#REF!</v>
      </c>
      <c r="AD2069" s="4" t="e">
        <f>InsurerSize(#REF!)</f>
        <v>#VALUE!</v>
      </c>
      <c r="AE2069" s="4" t="e">
        <f t="shared" si="44"/>
        <v>#VALUE!</v>
      </c>
    </row>
    <row r="2070" spans="8:31" x14ac:dyDescent="0.2"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5"/>
      <c r="AC2070" t="e">
        <f ca="1">RANK(AB2070,OFFSET($AB$2,0,0,#REF!,1))</f>
        <v>#REF!</v>
      </c>
      <c r="AD2070" s="4" t="e">
        <f>InsurerSize(#REF!)</f>
        <v>#VALUE!</v>
      </c>
      <c r="AE2070" s="4" t="e">
        <f t="shared" si="44"/>
        <v>#VALUE!</v>
      </c>
    </row>
    <row r="2071" spans="8:31" x14ac:dyDescent="0.2"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5"/>
      <c r="AC2071" t="e">
        <f ca="1">RANK(AB2071,OFFSET($AB$2,0,0,#REF!,1))</f>
        <v>#REF!</v>
      </c>
      <c r="AD2071" s="4" t="e">
        <f>InsurerSize(#REF!)</f>
        <v>#VALUE!</v>
      </c>
      <c r="AE2071" s="4" t="e">
        <f t="shared" si="44"/>
        <v>#VALUE!</v>
      </c>
    </row>
    <row r="2072" spans="8:31" x14ac:dyDescent="0.2"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5"/>
      <c r="AC2072" t="e">
        <f ca="1">RANK(AB2072,OFFSET($AB$2,0,0,#REF!,1))</f>
        <v>#REF!</v>
      </c>
      <c r="AD2072" s="4" t="e">
        <f>InsurerSize(#REF!)</f>
        <v>#VALUE!</v>
      </c>
      <c r="AE2072" s="4" t="e">
        <f t="shared" si="44"/>
        <v>#VALUE!</v>
      </c>
    </row>
    <row r="2073" spans="8:31" x14ac:dyDescent="0.2"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5"/>
      <c r="AC2073" t="e">
        <f ca="1">RANK(AB2073,OFFSET($AB$2,0,0,#REF!,1))</f>
        <v>#REF!</v>
      </c>
      <c r="AD2073" s="4" t="e">
        <f>InsurerSize(#REF!)</f>
        <v>#VALUE!</v>
      </c>
      <c r="AE2073" s="4" t="e">
        <f t="shared" si="44"/>
        <v>#VALUE!</v>
      </c>
    </row>
    <row r="2074" spans="8:31" x14ac:dyDescent="0.2"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5"/>
      <c r="AC2074" t="e">
        <f ca="1">RANK(AB2074,OFFSET($AB$2,0,0,#REF!,1))</f>
        <v>#REF!</v>
      </c>
      <c r="AD2074" s="4" t="e">
        <f>InsurerSize(#REF!)</f>
        <v>#VALUE!</v>
      </c>
      <c r="AE2074" s="4" t="e">
        <f t="shared" si="44"/>
        <v>#VALUE!</v>
      </c>
    </row>
    <row r="2075" spans="8:31" x14ac:dyDescent="0.2"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5"/>
      <c r="AC2075" t="e">
        <f ca="1">RANK(AB2075,OFFSET($AB$2,0,0,#REF!,1))</f>
        <v>#REF!</v>
      </c>
      <c r="AD2075" s="4" t="e">
        <f>InsurerSize(#REF!)</f>
        <v>#VALUE!</v>
      </c>
      <c r="AE2075" s="4" t="e">
        <f t="shared" si="44"/>
        <v>#VALUE!</v>
      </c>
    </row>
    <row r="2076" spans="8:31" x14ac:dyDescent="0.2"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5"/>
      <c r="AC2076" t="e">
        <f ca="1">RANK(AB2076,OFFSET($AB$2,0,0,#REF!,1))</f>
        <v>#REF!</v>
      </c>
      <c r="AD2076" s="4" t="e">
        <f>InsurerSize(#REF!)</f>
        <v>#VALUE!</v>
      </c>
      <c r="AE2076" s="4" t="e">
        <f t="shared" si="44"/>
        <v>#VALUE!</v>
      </c>
    </row>
    <row r="2077" spans="8:31" x14ac:dyDescent="0.2"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5"/>
      <c r="AC2077" t="e">
        <f ca="1">RANK(AB2077,OFFSET($AB$2,0,0,#REF!,1))</f>
        <v>#REF!</v>
      </c>
      <c r="AD2077" s="4" t="e">
        <f>InsurerSize(#REF!)</f>
        <v>#VALUE!</v>
      </c>
      <c r="AE2077" s="4" t="e">
        <f t="shared" si="44"/>
        <v>#VALUE!</v>
      </c>
    </row>
    <row r="2078" spans="8:31" x14ac:dyDescent="0.2"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5"/>
      <c r="AC2078" t="e">
        <f ca="1">RANK(AB2078,OFFSET($AB$2,0,0,#REF!,1))</f>
        <v>#REF!</v>
      </c>
      <c r="AD2078" s="4" t="e">
        <f>InsurerSize(#REF!)</f>
        <v>#VALUE!</v>
      </c>
      <c r="AE2078" s="4" t="e">
        <f t="shared" si="44"/>
        <v>#VALUE!</v>
      </c>
    </row>
    <row r="2079" spans="8:31" x14ac:dyDescent="0.2"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5"/>
      <c r="AC2079" t="e">
        <f ca="1">RANK(AB2079,OFFSET($AB$2,0,0,#REF!,1))</f>
        <v>#REF!</v>
      </c>
      <c r="AD2079" s="4" t="e">
        <f>InsurerSize(#REF!)</f>
        <v>#VALUE!</v>
      </c>
      <c r="AE2079" s="4" t="e">
        <f t="shared" si="44"/>
        <v>#VALUE!</v>
      </c>
    </row>
    <row r="2080" spans="8:31" x14ac:dyDescent="0.2"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5"/>
      <c r="AC2080" t="e">
        <f ca="1">RANK(AB2080,OFFSET($AB$2,0,0,#REF!,1))</f>
        <v>#REF!</v>
      </c>
      <c r="AD2080" s="4" t="e">
        <f>InsurerSize(#REF!)</f>
        <v>#VALUE!</v>
      </c>
      <c r="AE2080" s="4" t="e">
        <f t="shared" si="44"/>
        <v>#VALUE!</v>
      </c>
    </row>
    <row r="2081" spans="8:31" x14ac:dyDescent="0.2"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5"/>
      <c r="AC2081" t="e">
        <f ca="1">RANK(AB2081,OFFSET($AB$2,0,0,#REF!,1))</f>
        <v>#REF!</v>
      </c>
      <c r="AD2081" s="4" t="e">
        <f>InsurerSize(#REF!)</f>
        <v>#VALUE!</v>
      </c>
      <c r="AE2081" s="4" t="e">
        <f t="shared" si="44"/>
        <v>#VALUE!</v>
      </c>
    </row>
    <row r="2082" spans="8:31" x14ac:dyDescent="0.2"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5"/>
      <c r="AC2082" t="e">
        <f ca="1">RANK(AB2082,OFFSET($AB$2,0,0,#REF!,1))</f>
        <v>#REF!</v>
      </c>
      <c r="AD2082" s="4" t="e">
        <f>InsurerSize(#REF!)</f>
        <v>#VALUE!</v>
      </c>
      <c r="AE2082" s="4" t="e">
        <f t="shared" si="44"/>
        <v>#VALUE!</v>
      </c>
    </row>
    <row r="2083" spans="8:31" x14ac:dyDescent="0.2"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5"/>
      <c r="AC2083" t="e">
        <f ca="1">RANK(AB2083,OFFSET($AB$2,0,0,#REF!,1))</f>
        <v>#REF!</v>
      </c>
      <c r="AD2083" s="4" t="e">
        <f>InsurerSize(#REF!)</f>
        <v>#VALUE!</v>
      </c>
      <c r="AE2083" s="4" t="e">
        <f t="shared" si="44"/>
        <v>#VALUE!</v>
      </c>
    </row>
    <row r="2084" spans="8:31" x14ac:dyDescent="0.2"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5"/>
      <c r="AC2084" t="e">
        <f ca="1">RANK(AB2084,OFFSET($AB$2,0,0,#REF!,1))</f>
        <v>#REF!</v>
      </c>
      <c r="AD2084" s="4" t="e">
        <f>InsurerSize(#REF!)</f>
        <v>#VALUE!</v>
      </c>
      <c r="AE2084" s="4" t="e">
        <f t="shared" si="44"/>
        <v>#VALUE!</v>
      </c>
    </row>
    <row r="2085" spans="8:31" x14ac:dyDescent="0.2"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5"/>
      <c r="AC2085" t="e">
        <f ca="1">RANK(AB2085,OFFSET($AB$2,0,0,#REF!,1))</f>
        <v>#REF!</v>
      </c>
      <c r="AD2085" s="4" t="e">
        <f>InsurerSize(#REF!)</f>
        <v>#VALUE!</v>
      </c>
      <c r="AE2085" s="4" t="e">
        <f t="shared" si="44"/>
        <v>#VALUE!</v>
      </c>
    </row>
    <row r="2086" spans="8:31" x14ac:dyDescent="0.2"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5"/>
      <c r="AC2086" t="e">
        <f ca="1">RANK(AB2086,OFFSET($AB$2,0,0,#REF!,1))</f>
        <v>#REF!</v>
      </c>
      <c r="AD2086" s="4" t="e">
        <f>InsurerSize(#REF!)</f>
        <v>#VALUE!</v>
      </c>
      <c r="AE2086" s="4" t="e">
        <f t="shared" si="44"/>
        <v>#VALUE!</v>
      </c>
    </row>
    <row r="2087" spans="8:31" x14ac:dyDescent="0.2"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5"/>
      <c r="AC2087" t="e">
        <f ca="1">RANK(AB2087,OFFSET($AB$2,0,0,#REF!,1))</f>
        <v>#REF!</v>
      </c>
      <c r="AD2087" s="4" t="e">
        <f>InsurerSize(#REF!)</f>
        <v>#VALUE!</v>
      </c>
      <c r="AE2087" s="4" t="e">
        <f t="shared" si="44"/>
        <v>#VALUE!</v>
      </c>
    </row>
    <row r="2088" spans="8:31" x14ac:dyDescent="0.2"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5"/>
      <c r="AC2088" t="e">
        <f ca="1">RANK(AB2088,OFFSET($AB$2,0,0,#REF!,1))</f>
        <v>#REF!</v>
      </c>
      <c r="AD2088" s="4" t="e">
        <f>InsurerSize(#REF!)</f>
        <v>#VALUE!</v>
      </c>
      <c r="AE2088" s="4" t="e">
        <f t="shared" si="44"/>
        <v>#VALUE!</v>
      </c>
    </row>
    <row r="2089" spans="8:31" x14ac:dyDescent="0.2"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5"/>
      <c r="AC2089" t="e">
        <f ca="1">RANK(AB2089,OFFSET($AB$2,0,0,#REF!,1))</f>
        <v>#REF!</v>
      </c>
      <c r="AD2089" s="4" t="e">
        <f>InsurerSize(#REF!)</f>
        <v>#VALUE!</v>
      </c>
      <c r="AE2089" s="4" t="e">
        <f t="shared" si="44"/>
        <v>#VALUE!</v>
      </c>
    </row>
    <row r="2090" spans="8:31" x14ac:dyDescent="0.2"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5"/>
      <c r="AC2090" t="e">
        <f ca="1">RANK(AB2090,OFFSET($AB$2,0,0,#REF!,1))</f>
        <v>#REF!</v>
      </c>
      <c r="AD2090" s="4" t="e">
        <f>InsurerSize(#REF!)</f>
        <v>#VALUE!</v>
      </c>
      <c r="AE2090" s="4" t="e">
        <f t="shared" si="44"/>
        <v>#VALUE!</v>
      </c>
    </row>
    <row r="2091" spans="8:31" x14ac:dyDescent="0.2"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5"/>
      <c r="AC2091" t="e">
        <f ca="1">RANK(AB2091,OFFSET($AB$2,0,0,#REF!,1))</f>
        <v>#REF!</v>
      </c>
      <c r="AD2091" s="4" t="e">
        <f>InsurerSize(#REF!)</f>
        <v>#VALUE!</v>
      </c>
      <c r="AE2091" s="4" t="e">
        <f t="shared" si="44"/>
        <v>#VALUE!</v>
      </c>
    </row>
    <row r="2092" spans="8:31" x14ac:dyDescent="0.2"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5"/>
      <c r="AC2092" t="e">
        <f ca="1">RANK(AB2092,OFFSET($AB$2,0,0,#REF!,1))</f>
        <v>#REF!</v>
      </c>
      <c r="AD2092" s="4" t="e">
        <f>InsurerSize(#REF!)</f>
        <v>#VALUE!</v>
      </c>
      <c r="AE2092" s="4" t="e">
        <f t="shared" si="44"/>
        <v>#VALUE!</v>
      </c>
    </row>
    <row r="2093" spans="8:31" x14ac:dyDescent="0.2"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AC2093" t="e">
        <f ca="1">RANK(AB2093,OFFSET($AB$2,0,0,#REF!,1))</f>
        <v>#REF!</v>
      </c>
      <c r="AD2093" s="4" t="e">
        <f>InsurerSize(#REF!)</f>
        <v>#VALUE!</v>
      </c>
      <c r="AE2093" s="4" t="e">
        <f t="shared" si="44"/>
        <v>#VALUE!</v>
      </c>
    </row>
    <row r="2094" spans="8:31" x14ac:dyDescent="0.2"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AC2094" t="e">
        <f ca="1">RANK(AB2094,OFFSET($AB$2,0,0,#REF!,1))</f>
        <v>#REF!</v>
      </c>
      <c r="AD2094" s="4" t="e">
        <f>InsurerSize(#REF!)</f>
        <v>#VALUE!</v>
      </c>
      <c r="AE2094" s="4" t="e">
        <f t="shared" si="44"/>
        <v>#VALUE!</v>
      </c>
    </row>
    <row r="2095" spans="8:31" x14ac:dyDescent="0.2"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AC2095" t="e">
        <f ca="1">RANK(AB2095,OFFSET($AB$2,0,0,#REF!,1))</f>
        <v>#REF!</v>
      </c>
      <c r="AD2095" s="4" t="e">
        <f>InsurerSize(#REF!)</f>
        <v>#VALUE!</v>
      </c>
      <c r="AE2095" s="4" t="e">
        <f t="shared" si="44"/>
        <v>#VALUE!</v>
      </c>
    </row>
    <row r="2096" spans="8:31" x14ac:dyDescent="0.2"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AC2096" t="e">
        <f ca="1">RANK(AB2096,OFFSET($AB$2,0,0,#REF!,1))</f>
        <v>#REF!</v>
      </c>
      <c r="AD2096" s="4" t="e">
        <f>InsurerSize(#REF!)</f>
        <v>#VALUE!</v>
      </c>
      <c r="AE2096" s="4" t="e">
        <f t="shared" si="44"/>
        <v>#VALUE!</v>
      </c>
    </row>
    <row r="2097" spans="8:31" x14ac:dyDescent="0.2"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AC2097" t="e">
        <f ca="1">RANK(AB2097,OFFSET($AB$2,0,0,#REF!,1))</f>
        <v>#REF!</v>
      </c>
      <c r="AD2097" s="4" t="e">
        <f>InsurerSize(#REF!)</f>
        <v>#VALUE!</v>
      </c>
      <c r="AE2097" s="4" t="e">
        <f t="shared" si="44"/>
        <v>#VALUE!</v>
      </c>
    </row>
    <row r="2098" spans="8:31" x14ac:dyDescent="0.2"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AC2098" t="e">
        <f ca="1">RANK(AB2098,OFFSET($AB$2,0,0,#REF!,1))</f>
        <v>#REF!</v>
      </c>
      <c r="AD2098" s="4" t="e">
        <f>InsurerSize(#REF!)</f>
        <v>#VALUE!</v>
      </c>
      <c r="AE2098" s="4" t="e">
        <f t="shared" si="44"/>
        <v>#VALUE!</v>
      </c>
    </row>
    <row r="2099" spans="8:31" x14ac:dyDescent="0.2"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AC2099" t="e">
        <f ca="1">RANK(AB2099,OFFSET($AB$2,0,0,#REF!,1))</f>
        <v>#REF!</v>
      </c>
      <c r="AD2099" s="4" t="e">
        <f>InsurerSize(#REF!)</f>
        <v>#VALUE!</v>
      </c>
      <c r="AE2099" s="4" t="e">
        <f t="shared" si="44"/>
        <v>#VALUE!</v>
      </c>
    </row>
    <row r="2100" spans="8:31" x14ac:dyDescent="0.2"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AC2100" t="e">
        <f ca="1">RANK(AB2100,OFFSET($AB$2,0,0,#REF!,1))</f>
        <v>#REF!</v>
      </c>
      <c r="AD2100" s="4" t="e">
        <f>InsurerSize(#REF!)</f>
        <v>#VALUE!</v>
      </c>
      <c r="AE2100" s="4" t="e">
        <f t="shared" si="44"/>
        <v>#VALUE!</v>
      </c>
    </row>
    <row r="2101" spans="8:31" x14ac:dyDescent="0.2"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AC2101" t="e">
        <f ca="1">RANK(AB2101,OFFSET($AB$2,0,0,#REF!,1))</f>
        <v>#REF!</v>
      </c>
      <c r="AD2101" s="4" t="e">
        <f>InsurerSize(#REF!)</f>
        <v>#VALUE!</v>
      </c>
      <c r="AE2101" s="4" t="e">
        <f t="shared" si="44"/>
        <v>#VALUE!</v>
      </c>
    </row>
    <row r="2102" spans="8:31" x14ac:dyDescent="0.2"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AC2102" t="e">
        <f ca="1">RANK(AB2102,OFFSET($AB$2,0,0,#REF!,1))</f>
        <v>#REF!</v>
      </c>
      <c r="AD2102" s="4" t="e">
        <f>InsurerSize(#REF!)</f>
        <v>#VALUE!</v>
      </c>
      <c r="AE2102" s="4" t="e">
        <f t="shared" si="44"/>
        <v>#VALUE!</v>
      </c>
    </row>
    <row r="2103" spans="8:31" x14ac:dyDescent="0.2"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AC2103" t="e">
        <f ca="1">RANK(AB2103,OFFSET($AB$2,0,0,#REF!,1))</f>
        <v>#REF!</v>
      </c>
      <c r="AD2103" s="4" t="e">
        <f>InsurerSize(#REF!)</f>
        <v>#VALUE!</v>
      </c>
      <c r="AE2103" s="4" t="e">
        <f t="shared" si="44"/>
        <v>#VALUE!</v>
      </c>
    </row>
    <row r="2104" spans="8:31" x14ac:dyDescent="0.2"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AC2104" t="e">
        <f ca="1">RANK(AB2104,OFFSET($AB$2,0,0,#REF!,1))</f>
        <v>#REF!</v>
      </c>
      <c r="AD2104" s="4" t="e">
        <f>InsurerSize(#REF!)</f>
        <v>#VALUE!</v>
      </c>
      <c r="AE2104" s="4" t="e">
        <f t="shared" si="44"/>
        <v>#VALUE!</v>
      </c>
    </row>
    <row r="2105" spans="8:31" x14ac:dyDescent="0.2"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AC2105" t="e">
        <f ca="1">RANK(AB2105,OFFSET($AB$2,0,0,#REF!,1))</f>
        <v>#REF!</v>
      </c>
      <c r="AD2105" s="4" t="e">
        <f>InsurerSize(#REF!)</f>
        <v>#VALUE!</v>
      </c>
      <c r="AE2105" s="4" t="e">
        <f t="shared" si="44"/>
        <v>#VALUE!</v>
      </c>
    </row>
    <row r="2106" spans="8:31" x14ac:dyDescent="0.2"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AC2106" t="e">
        <f ca="1">RANK(AB2106,OFFSET($AB$2,0,0,#REF!,1))</f>
        <v>#REF!</v>
      </c>
      <c r="AD2106" s="4" t="e">
        <f>InsurerSize(#REF!)</f>
        <v>#VALUE!</v>
      </c>
      <c r="AE2106" s="4" t="e">
        <f t="shared" si="44"/>
        <v>#VALUE!</v>
      </c>
    </row>
    <row r="2107" spans="8:31" x14ac:dyDescent="0.2"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AC2107" t="e">
        <f ca="1">RANK(AB2107,OFFSET($AB$2,0,0,#REF!,1))</f>
        <v>#REF!</v>
      </c>
      <c r="AD2107" s="4" t="e">
        <f>InsurerSize(#REF!)</f>
        <v>#VALUE!</v>
      </c>
      <c r="AE2107" s="4" t="e">
        <f t="shared" si="44"/>
        <v>#VALUE!</v>
      </c>
    </row>
    <row r="2108" spans="8:31" x14ac:dyDescent="0.2"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AC2108" t="e">
        <f ca="1">RANK(AB2108,OFFSET($AB$2,0,0,#REF!,1))</f>
        <v>#REF!</v>
      </c>
      <c r="AD2108" s="4" t="e">
        <f>InsurerSize(#REF!)</f>
        <v>#VALUE!</v>
      </c>
      <c r="AE2108" s="4" t="e">
        <f t="shared" si="44"/>
        <v>#VALUE!</v>
      </c>
    </row>
    <row r="2109" spans="8:31" x14ac:dyDescent="0.2"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AC2109" t="e">
        <f ca="1">RANK(AB2109,OFFSET($AB$2,0,0,#REF!,1))</f>
        <v>#REF!</v>
      </c>
      <c r="AD2109" s="4" t="e">
        <f>InsurerSize(#REF!)</f>
        <v>#VALUE!</v>
      </c>
      <c r="AE2109" s="4" t="e">
        <f t="shared" si="44"/>
        <v>#VALUE!</v>
      </c>
    </row>
    <row r="2110" spans="8:31" x14ac:dyDescent="0.2"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AC2110" t="e">
        <f ca="1">RANK(AB2110,OFFSET($AB$2,0,0,#REF!,1))</f>
        <v>#REF!</v>
      </c>
      <c r="AD2110" s="4" t="e">
        <f>InsurerSize(#REF!)</f>
        <v>#VALUE!</v>
      </c>
      <c r="AE2110" s="4" t="e">
        <f t="shared" si="44"/>
        <v>#VALUE!</v>
      </c>
    </row>
    <row r="2111" spans="8:31" x14ac:dyDescent="0.2"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AC2111" t="e">
        <f ca="1">RANK(AB2111,OFFSET($AB$2,0,0,#REF!,1))</f>
        <v>#REF!</v>
      </c>
      <c r="AD2111" s="4" t="e">
        <f>InsurerSize(#REF!)</f>
        <v>#VALUE!</v>
      </c>
      <c r="AE2111" s="4" t="e">
        <f t="shared" si="44"/>
        <v>#VALUE!</v>
      </c>
    </row>
    <row r="2112" spans="8:31" x14ac:dyDescent="0.2"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AC2112" t="e">
        <f ca="1">RANK(AB2112,OFFSET($AB$2,0,0,#REF!,1))</f>
        <v>#REF!</v>
      </c>
      <c r="AD2112" s="4" t="e">
        <f>InsurerSize(#REF!)</f>
        <v>#VALUE!</v>
      </c>
      <c r="AE2112" s="4" t="e">
        <f t="shared" si="44"/>
        <v>#VALUE!</v>
      </c>
    </row>
    <row r="2113" spans="8:31" x14ac:dyDescent="0.2"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AC2113" t="e">
        <f ca="1">RANK(AB2113,OFFSET($AB$2,0,0,#REF!,1))</f>
        <v>#REF!</v>
      </c>
      <c r="AD2113" s="4" t="e">
        <f>InsurerSize(#REF!)</f>
        <v>#VALUE!</v>
      </c>
      <c r="AE2113" s="4" t="e">
        <f t="shared" si="44"/>
        <v>#VALUE!</v>
      </c>
    </row>
    <row r="2114" spans="8:31" x14ac:dyDescent="0.2"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AC2114" t="e">
        <f ca="1">RANK(AB2114,OFFSET($AB$2,0,0,#REF!,1))</f>
        <v>#REF!</v>
      </c>
      <c r="AD2114" s="4" t="e">
        <f>InsurerSize(#REF!)</f>
        <v>#VALUE!</v>
      </c>
      <c r="AE2114" s="4" t="e">
        <f t="shared" ref="AE2114:AE2177" si="45">A2114&amp;AD2114</f>
        <v>#VALUE!</v>
      </c>
    </row>
    <row r="2115" spans="8:31" x14ac:dyDescent="0.2"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AC2115" t="e">
        <f ca="1">RANK(AB2115,OFFSET($AB$2,0,0,#REF!,1))</f>
        <v>#REF!</v>
      </c>
      <c r="AD2115" s="4" t="e">
        <f>InsurerSize(#REF!)</f>
        <v>#VALUE!</v>
      </c>
      <c r="AE2115" s="4" t="e">
        <f t="shared" si="45"/>
        <v>#VALUE!</v>
      </c>
    </row>
    <row r="2116" spans="8:31" x14ac:dyDescent="0.2"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AC2116" t="e">
        <f ca="1">RANK(AB2116,OFFSET($AB$2,0,0,#REF!,1))</f>
        <v>#REF!</v>
      </c>
      <c r="AD2116" s="4" t="e">
        <f>InsurerSize(#REF!)</f>
        <v>#VALUE!</v>
      </c>
      <c r="AE2116" s="4" t="e">
        <f t="shared" si="45"/>
        <v>#VALUE!</v>
      </c>
    </row>
    <row r="2117" spans="8:31" x14ac:dyDescent="0.2"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AC2117" t="e">
        <f ca="1">RANK(AB2117,OFFSET($AB$2,0,0,#REF!,1))</f>
        <v>#REF!</v>
      </c>
      <c r="AD2117" s="4" t="e">
        <f>InsurerSize(#REF!)</f>
        <v>#VALUE!</v>
      </c>
      <c r="AE2117" s="4" t="e">
        <f t="shared" si="45"/>
        <v>#VALUE!</v>
      </c>
    </row>
    <row r="2118" spans="8:31" x14ac:dyDescent="0.2"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AC2118" t="e">
        <f ca="1">RANK(AB2118,OFFSET($AB$2,0,0,#REF!,1))</f>
        <v>#REF!</v>
      </c>
      <c r="AD2118" s="4" t="e">
        <f>InsurerSize(#REF!)</f>
        <v>#VALUE!</v>
      </c>
      <c r="AE2118" s="4" t="e">
        <f t="shared" si="45"/>
        <v>#VALUE!</v>
      </c>
    </row>
    <row r="2119" spans="8:31" x14ac:dyDescent="0.2"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AC2119" t="e">
        <f ca="1">RANK(AB2119,OFFSET($AB$2,0,0,#REF!,1))</f>
        <v>#REF!</v>
      </c>
      <c r="AD2119" s="4" t="e">
        <f>InsurerSize(#REF!)</f>
        <v>#VALUE!</v>
      </c>
      <c r="AE2119" s="4" t="e">
        <f t="shared" si="45"/>
        <v>#VALUE!</v>
      </c>
    </row>
    <row r="2120" spans="8:31" x14ac:dyDescent="0.2"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AC2120" t="e">
        <f ca="1">RANK(AB2120,OFFSET($AB$2,0,0,#REF!,1))</f>
        <v>#REF!</v>
      </c>
      <c r="AD2120" s="4" t="e">
        <f>InsurerSize(#REF!)</f>
        <v>#VALUE!</v>
      </c>
      <c r="AE2120" s="4" t="e">
        <f t="shared" si="45"/>
        <v>#VALUE!</v>
      </c>
    </row>
    <row r="2121" spans="8:31" x14ac:dyDescent="0.2"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AC2121" t="e">
        <f ca="1">RANK(AB2121,OFFSET($AB$2,0,0,#REF!,1))</f>
        <v>#REF!</v>
      </c>
      <c r="AD2121" s="4" t="e">
        <f>InsurerSize(#REF!)</f>
        <v>#VALUE!</v>
      </c>
      <c r="AE2121" s="4" t="e">
        <f t="shared" si="45"/>
        <v>#VALUE!</v>
      </c>
    </row>
    <row r="2122" spans="8:31" x14ac:dyDescent="0.2"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AC2122" t="e">
        <f ca="1">RANK(AB2122,OFFSET($AB$2,0,0,#REF!,1))</f>
        <v>#REF!</v>
      </c>
      <c r="AD2122" s="4" t="e">
        <f>InsurerSize(#REF!)</f>
        <v>#VALUE!</v>
      </c>
      <c r="AE2122" s="4" t="e">
        <f t="shared" si="45"/>
        <v>#VALUE!</v>
      </c>
    </row>
    <row r="2123" spans="8:31" x14ac:dyDescent="0.2"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AC2123" t="e">
        <f ca="1">RANK(AB2123,OFFSET($AB$2,0,0,#REF!,1))</f>
        <v>#REF!</v>
      </c>
      <c r="AD2123" s="4" t="e">
        <f>InsurerSize(#REF!)</f>
        <v>#VALUE!</v>
      </c>
      <c r="AE2123" s="4" t="e">
        <f t="shared" si="45"/>
        <v>#VALUE!</v>
      </c>
    </row>
    <row r="2124" spans="8:31" x14ac:dyDescent="0.2"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AC2124" t="e">
        <f ca="1">RANK(AB2124,OFFSET($AB$2,0,0,#REF!,1))</f>
        <v>#REF!</v>
      </c>
      <c r="AD2124" s="4" t="e">
        <f>InsurerSize(#REF!)</f>
        <v>#VALUE!</v>
      </c>
      <c r="AE2124" s="4" t="e">
        <f t="shared" si="45"/>
        <v>#VALUE!</v>
      </c>
    </row>
    <row r="2125" spans="8:31" x14ac:dyDescent="0.2"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AC2125" t="e">
        <f ca="1">RANK(AB2125,OFFSET($AB$2,0,0,#REF!,1))</f>
        <v>#REF!</v>
      </c>
      <c r="AD2125" s="4" t="e">
        <f>InsurerSize(#REF!)</f>
        <v>#VALUE!</v>
      </c>
      <c r="AE2125" s="4" t="e">
        <f t="shared" si="45"/>
        <v>#VALUE!</v>
      </c>
    </row>
    <row r="2126" spans="8:31" x14ac:dyDescent="0.2"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AC2126" t="e">
        <f ca="1">RANK(AB2126,OFFSET($AB$2,0,0,#REF!,1))</f>
        <v>#REF!</v>
      </c>
      <c r="AD2126" s="4" t="e">
        <f>InsurerSize(#REF!)</f>
        <v>#VALUE!</v>
      </c>
      <c r="AE2126" s="4" t="e">
        <f t="shared" si="45"/>
        <v>#VALUE!</v>
      </c>
    </row>
    <row r="2127" spans="8:31" x14ac:dyDescent="0.2"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AC2127" t="e">
        <f ca="1">RANK(AB2127,OFFSET($AB$2,0,0,#REF!,1))</f>
        <v>#REF!</v>
      </c>
      <c r="AD2127" s="4" t="e">
        <f>InsurerSize(#REF!)</f>
        <v>#VALUE!</v>
      </c>
      <c r="AE2127" s="4" t="e">
        <f t="shared" si="45"/>
        <v>#VALUE!</v>
      </c>
    </row>
    <row r="2128" spans="8:31" x14ac:dyDescent="0.2"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AC2128" t="e">
        <f ca="1">RANK(AB2128,OFFSET($AB$2,0,0,#REF!,1))</f>
        <v>#REF!</v>
      </c>
      <c r="AD2128" s="4" t="e">
        <f>InsurerSize(#REF!)</f>
        <v>#VALUE!</v>
      </c>
      <c r="AE2128" s="4" t="e">
        <f t="shared" si="45"/>
        <v>#VALUE!</v>
      </c>
    </row>
    <row r="2129" spans="8:31" x14ac:dyDescent="0.2"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AC2129" t="e">
        <f ca="1">RANK(AB2129,OFFSET($AB$2,0,0,#REF!,1))</f>
        <v>#REF!</v>
      </c>
      <c r="AD2129" s="4" t="e">
        <f>InsurerSize(#REF!)</f>
        <v>#VALUE!</v>
      </c>
      <c r="AE2129" s="4" t="e">
        <f t="shared" si="45"/>
        <v>#VALUE!</v>
      </c>
    </row>
    <row r="2130" spans="8:31" x14ac:dyDescent="0.2"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AC2130" t="e">
        <f ca="1">RANK(AB2130,OFFSET($AB$2,0,0,#REF!,1))</f>
        <v>#REF!</v>
      </c>
      <c r="AD2130" s="4" t="e">
        <f>InsurerSize(#REF!)</f>
        <v>#VALUE!</v>
      </c>
      <c r="AE2130" s="4" t="e">
        <f t="shared" si="45"/>
        <v>#VALUE!</v>
      </c>
    </row>
    <row r="2131" spans="8:31" x14ac:dyDescent="0.2"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AC2131" t="e">
        <f ca="1">RANK(AB2131,OFFSET($AB$2,0,0,#REF!,1))</f>
        <v>#REF!</v>
      </c>
      <c r="AD2131" s="4" t="e">
        <f>InsurerSize(#REF!)</f>
        <v>#VALUE!</v>
      </c>
      <c r="AE2131" s="4" t="e">
        <f t="shared" si="45"/>
        <v>#VALUE!</v>
      </c>
    </row>
    <row r="2132" spans="8:31" x14ac:dyDescent="0.2"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AC2132" t="e">
        <f ca="1">RANK(AB2132,OFFSET($AB$2,0,0,#REF!,1))</f>
        <v>#REF!</v>
      </c>
      <c r="AD2132" s="4" t="e">
        <f>InsurerSize(#REF!)</f>
        <v>#VALUE!</v>
      </c>
      <c r="AE2132" s="4" t="e">
        <f t="shared" si="45"/>
        <v>#VALUE!</v>
      </c>
    </row>
    <row r="2133" spans="8:31" x14ac:dyDescent="0.2"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AC2133" t="e">
        <f ca="1">RANK(AB2133,OFFSET($AB$2,0,0,#REF!,1))</f>
        <v>#REF!</v>
      </c>
      <c r="AD2133" s="4" t="e">
        <f>InsurerSize(#REF!)</f>
        <v>#VALUE!</v>
      </c>
      <c r="AE2133" s="4" t="e">
        <f t="shared" si="45"/>
        <v>#VALUE!</v>
      </c>
    </row>
    <row r="2134" spans="8:31" x14ac:dyDescent="0.2"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AC2134" t="e">
        <f ca="1">RANK(AB2134,OFFSET($AB$2,0,0,#REF!,1))</f>
        <v>#REF!</v>
      </c>
      <c r="AD2134" s="4" t="e">
        <f>InsurerSize(#REF!)</f>
        <v>#VALUE!</v>
      </c>
      <c r="AE2134" s="4" t="e">
        <f t="shared" si="45"/>
        <v>#VALUE!</v>
      </c>
    </row>
    <row r="2135" spans="8:31" x14ac:dyDescent="0.2"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AC2135" t="e">
        <f ca="1">RANK(AB2135,OFFSET($AB$2,0,0,#REF!,1))</f>
        <v>#REF!</v>
      </c>
      <c r="AD2135" s="4" t="e">
        <f>InsurerSize(#REF!)</f>
        <v>#VALUE!</v>
      </c>
      <c r="AE2135" s="4" t="e">
        <f t="shared" si="45"/>
        <v>#VALUE!</v>
      </c>
    </row>
    <row r="2136" spans="8:31" x14ac:dyDescent="0.2"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AC2136" t="e">
        <f ca="1">RANK(AB2136,OFFSET($AB$2,0,0,#REF!,1))</f>
        <v>#REF!</v>
      </c>
      <c r="AD2136" s="4" t="e">
        <f>InsurerSize(#REF!)</f>
        <v>#VALUE!</v>
      </c>
      <c r="AE2136" s="4" t="e">
        <f t="shared" si="45"/>
        <v>#VALUE!</v>
      </c>
    </row>
    <row r="2137" spans="8:31" x14ac:dyDescent="0.2"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AC2137" t="e">
        <f ca="1">RANK(AB2137,OFFSET($AB$2,0,0,#REF!,1))</f>
        <v>#REF!</v>
      </c>
      <c r="AD2137" s="4" t="e">
        <f>InsurerSize(#REF!)</f>
        <v>#VALUE!</v>
      </c>
      <c r="AE2137" s="4" t="e">
        <f t="shared" si="45"/>
        <v>#VALUE!</v>
      </c>
    </row>
    <row r="2138" spans="8:31" x14ac:dyDescent="0.2"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AC2138" t="e">
        <f ca="1">RANK(AB2138,OFFSET($AB$2,0,0,#REF!,1))</f>
        <v>#REF!</v>
      </c>
      <c r="AD2138" s="4" t="e">
        <f>InsurerSize(#REF!)</f>
        <v>#VALUE!</v>
      </c>
      <c r="AE2138" s="4" t="e">
        <f t="shared" si="45"/>
        <v>#VALUE!</v>
      </c>
    </row>
    <row r="2139" spans="8:31" x14ac:dyDescent="0.2"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AC2139" t="e">
        <f ca="1">RANK(AB2139,OFFSET($AB$2,0,0,#REF!,1))</f>
        <v>#REF!</v>
      </c>
      <c r="AD2139" s="4" t="e">
        <f>InsurerSize(#REF!)</f>
        <v>#VALUE!</v>
      </c>
      <c r="AE2139" s="4" t="e">
        <f t="shared" si="45"/>
        <v>#VALUE!</v>
      </c>
    </row>
    <row r="2140" spans="8:31" x14ac:dyDescent="0.2"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AC2140" t="e">
        <f ca="1">RANK(AB2140,OFFSET($AB$2,0,0,#REF!,1))</f>
        <v>#REF!</v>
      </c>
      <c r="AD2140" s="4" t="e">
        <f>InsurerSize(#REF!)</f>
        <v>#VALUE!</v>
      </c>
      <c r="AE2140" s="4" t="e">
        <f t="shared" si="45"/>
        <v>#VALUE!</v>
      </c>
    </row>
    <row r="2141" spans="8:31" x14ac:dyDescent="0.2"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AC2141" t="e">
        <f ca="1">RANK(AB2141,OFFSET($AB$2,0,0,#REF!,1))</f>
        <v>#REF!</v>
      </c>
      <c r="AD2141" s="4" t="e">
        <f>InsurerSize(#REF!)</f>
        <v>#VALUE!</v>
      </c>
      <c r="AE2141" s="4" t="e">
        <f t="shared" si="45"/>
        <v>#VALUE!</v>
      </c>
    </row>
    <row r="2142" spans="8:31" x14ac:dyDescent="0.2"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AC2142" t="e">
        <f ca="1">RANK(AB2142,OFFSET($AB$2,0,0,#REF!,1))</f>
        <v>#REF!</v>
      </c>
      <c r="AD2142" s="4" t="e">
        <f>InsurerSize(#REF!)</f>
        <v>#VALUE!</v>
      </c>
      <c r="AE2142" s="4" t="e">
        <f t="shared" si="45"/>
        <v>#VALUE!</v>
      </c>
    </row>
    <row r="2143" spans="8:31" x14ac:dyDescent="0.2"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AC2143" t="e">
        <f ca="1">RANK(AB2143,OFFSET($AB$2,0,0,#REF!,1))</f>
        <v>#REF!</v>
      </c>
      <c r="AD2143" s="4" t="e">
        <f>InsurerSize(#REF!)</f>
        <v>#VALUE!</v>
      </c>
      <c r="AE2143" s="4" t="e">
        <f t="shared" si="45"/>
        <v>#VALUE!</v>
      </c>
    </row>
    <row r="2144" spans="8:31" x14ac:dyDescent="0.2"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AC2144" t="e">
        <f ca="1">RANK(AB2144,OFFSET($AB$2,0,0,#REF!,1))</f>
        <v>#REF!</v>
      </c>
      <c r="AD2144" s="4" t="e">
        <f>InsurerSize(#REF!)</f>
        <v>#VALUE!</v>
      </c>
      <c r="AE2144" s="4" t="e">
        <f t="shared" si="45"/>
        <v>#VALUE!</v>
      </c>
    </row>
    <row r="2145" spans="8:31" x14ac:dyDescent="0.2"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AC2145" t="e">
        <f ca="1">RANK(AB2145,OFFSET($AB$2,0,0,#REF!,1))</f>
        <v>#REF!</v>
      </c>
      <c r="AD2145" s="4" t="e">
        <f>InsurerSize(#REF!)</f>
        <v>#VALUE!</v>
      </c>
      <c r="AE2145" s="4" t="e">
        <f t="shared" si="45"/>
        <v>#VALUE!</v>
      </c>
    </row>
    <row r="2146" spans="8:31" x14ac:dyDescent="0.2"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AC2146" t="e">
        <f ca="1">RANK(AB2146,OFFSET($AB$2,0,0,#REF!,1))</f>
        <v>#REF!</v>
      </c>
      <c r="AD2146" s="4" t="e">
        <f>InsurerSize(#REF!)</f>
        <v>#VALUE!</v>
      </c>
      <c r="AE2146" s="4" t="e">
        <f t="shared" si="45"/>
        <v>#VALUE!</v>
      </c>
    </row>
    <row r="2147" spans="8:31" x14ac:dyDescent="0.2"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AC2147" t="e">
        <f ca="1">RANK(AB2147,OFFSET($AB$2,0,0,#REF!,1))</f>
        <v>#REF!</v>
      </c>
      <c r="AD2147" s="4" t="e">
        <f>InsurerSize(#REF!)</f>
        <v>#VALUE!</v>
      </c>
      <c r="AE2147" s="4" t="e">
        <f t="shared" si="45"/>
        <v>#VALUE!</v>
      </c>
    </row>
    <row r="2148" spans="8:31" x14ac:dyDescent="0.2"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AC2148" t="e">
        <f ca="1">RANK(AB2148,OFFSET($AB$2,0,0,#REF!,1))</f>
        <v>#REF!</v>
      </c>
      <c r="AD2148" s="4" t="e">
        <f>InsurerSize(#REF!)</f>
        <v>#VALUE!</v>
      </c>
      <c r="AE2148" s="4" t="e">
        <f t="shared" si="45"/>
        <v>#VALUE!</v>
      </c>
    </row>
    <row r="2149" spans="8:31" x14ac:dyDescent="0.2"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AC2149" t="e">
        <f ca="1">RANK(AB2149,OFFSET($AB$2,0,0,#REF!,1))</f>
        <v>#REF!</v>
      </c>
      <c r="AD2149" s="4" t="e">
        <f>InsurerSize(#REF!)</f>
        <v>#VALUE!</v>
      </c>
      <c r="AE2149" s="4" t="e">
        <f t="shared" si="45"/>
        <v>#VALUE!</v>
      </c>
    </row>
    <row r="2150" spans="8:31" x14ac:dyDescent="0.2"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AC2150" t="e">
        <f ca="1">RANK(AB2150,OFFSET($AB$2,0,0,#REF!,1))</f>
        <v>#REF!</v>
      </c>
      <c r="AD2150" s="4" t="e">
        <f>InsurerSize(#REF!)</f>
        <v>#VALUE!</v>
      </c>
      <c r="AE2150" s="4" t="e">
        <f t="shared" si="45"/>
        <v>#VALUE!</v>
      </c>
    </row>
    <row r="2151" spans="8:31" x14ac:dyDescent="0.2"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AC2151" t="e">
        <f ca="1">RANK(AB2151,OFFSET($AB$2,0,0,#REF!,1))</f>
        <v>#REF!</v>
      </c>
      <c r="AD2151" s="4" t="e">
        <f>InsurerSize(#REF!)</f>
        <v>#VALUE!</v>
      </c>
      <c r="AE2151" s="4" t="e">
        <f t="shared" si="45"/>
        <v>#VALUE!</v>
      </c>
    </row>
    <row r="2152" spans="8:31" x14ac:dyDescent="0.2"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AC2152" t="e">
        <f ca="1">RANK(AB2152,OFFSET($AB$2,0,0,#REF!,1))</f>
        <v>#REF!</v>
      </c>
      <c r="AD2152" s="4" t="e">
        <f>InsurerSize(#REF!)</f>
        <v>#VALUE!</v>
      </c>
      <c r="AE2152" s="4" t="e">
        <f t="shared" si="45"/>
        <v>#VALUE!</v>
      </c>
    </row>
    <row r="2153" spans="8:31" x14ac:dyDescent="0.2"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AC2153" t="e">
        <f ca="1">RANK(AB2153,OFFSET($AB$2,0,0,#REF!,1))</f>
        <v>#REF!</v>
      </c>
      <c r="AD2153" s="4" t="e">
        <f>InsurerSize(#REF!)</f>
        <v>#VALUE!</v>
      </c>
      <c r="AE2153" s="4" t="e">
        <f t="shared" si="45"/>
        <v>#VALUE!</v>
      </c>
    </row>
    <row r="2154" spans="8:31" x14ac:dyDescent="0.2"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AC2154" t="e">
        <f ca="1">RANK(AB2154,OFFSET($AB$2,0,0,#REF!,1))</f>
        <v>#REF!</v>
      </c>
      <c r="AD2154" s="4" t="e">
        <f>InsurerSize(#REF!)</f>
        <v>#VALUE!</v>
      </c>
      <c r="AE2154" s="4" t="e">
        <f t="shared" si="45"/>
        <v>#VALUE!</v>
      </c>
    </row>
    <row r="2155" spans="8:31" x14ac:dyDescent="0.2"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AC2155" t="e">
        <f ca="1">RANK(AB2155,OFFSET($AB$2,0,0,#REF!,1))</f>
        <v>#REF!</v>
      </c>
      <c r="AD2155" s="4" t="e">
        <f>InsurerSize(#REF!)</f>
        <v>#VALUE!</v>
      </c>
      <c r="AE2155" s="4" t="e">
        <f t="shared" si="45"/>
        <v>#VALUE!</v>
      </c>
    </row>
    <row r="2156" spans="8:31" x14ac:dyDescent="0.2"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AC2156" t="e">
        <f ca="1">RANK(AB2156,OFFSET($AB$2,0,0,#REF!,1))</f>
        <v>#REF!</v>
      </c>
      <c r="AD2156" s="4" t="e">
        <f>InsurerSize(#REF!)</f>
        <v>#VALUE!</v>
      </c>
      <c r="AE2156" s="4" t="e">
        <f t="shared" si="45"/>
        <v>#VALUE!</v>
      </c>
    </row>
    <row r="2157" spans="8:31" x14ac:dyDescent="0.2"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AC2157" t="e">
        <f ca="1">RANK(AB2157,OFFSET($AB$2,0,0,#REF!,1))</f>
        <v>#REF!</v>
      </c>
      <c r="AD2157" s="4" t="e">
        <f>InsurerSize(#REF!)</f>
        <v>#VALUE!</v>
      </c>
      <c r="AE2157" s="4" t="e">
        <f t="shared" si="45"/>
        <v>#VALUE!</v>
      </c>
    </row>
    <row r="2158" spans="8:31" x14ac:dyDescent="0.2"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AC2158" t="e">
        <f ca="1">RANK(AB2158,OFFSET($AB$2,0,0,#REF!,1))</f>
        <v>#REF!</v>
      </c>
      <c r="AD2158" s="4" t="e">
        <f>InsurerSize(#REF!)</f>
        <v>#VALUE!</v>
      </c>
      <c r="AE2158" s="4" t="e">
        <f t="shared" si="45"/>
        <v>#VALUE!</v>
      </c>
    </row>
    <row r="2159" spans="8:31" x14ac:dyDescent="0.2"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AC2159" t="e">
        <f ca="1">RANK(AB2159,OFFSET($AB$2,0,0,#REF!,1))</f>
        <v>#REF!</v>
      </c>
      <c r="AD2159" s="4" t="e">
        <f>InsurerSize(#REF!)</f>
        <v>#VALUE!</v>
      </c>
      <c r="AE2159" s="4" t="e">
        <f t="shared" si="45"/>
        <v>#VALUE!</v>
      </c>
    </row>
    <row r="2160" spans="8:31" x14ac:dyDescent="0.2"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AC2160" t="e">
        <f ca="1">RANK(AB2160,OFFSET($AB$2,0,0,#REF!,1))</f>
        <v>#REF!</v>
      </c>
      <c r="AD2160" s="4" t="e">
        <f>InsurerSize(#REF!)</f>
        <v>#VALUE!</v>
      </c>
      <c r="AE2160" s="4" t="e">
        <f t="shared" si="45"/>
        <v>#VALUE!</v>
      </c>
    </row>
    <row r="2161" spans="8:31" x14ac:dyDescent="0.2"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AC2161" t="e">
        <f ca="1">RANK(AB2161,OFFSET($AB$2,0,0,#REF!,1))</f>
        <v>#REF!</v>
      </c>
      <c r="AD2161" s="4" t="e">
        <f>InsurerSize(#REF!)</f>
        <v>#VALUE!</v>
      </c>
      <c r="AE2161" s="4" t="e">
        <f t="shared" si="45"/>
        <v>#VALUE!</v>
      </c>
    </row>
    <row r="2162" spans="8:31" x14ac:dyDescent="0.2"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AC2162" t="e">
        <f ca="1">RANK(AB2162,OFFSET($AB$2,0,0,#REF!,1))</f>
        <v>#REF!</v>
      </c>
      <c r="AD2162" s="4" t="e">
        <f>InsurerSize(#REF!)</f>
        <v>#VALUE!</v>
      </c>
      <c r="AE2162" s="4" t="e">
        <f t="shared" si="45"/>
        <v>#VALUE!</v>
      </c>
    </row>
    <row r="2163" spans="8:31" x14ac:dyDescent="0.2"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AC2163" t="e">
        <f ca="1">RANK(AB2163,OFFSET($AB$2,0,0,#REF!,1))</f>
        <v>#REF!</v>
      </c>
      <c r="AD2163" s="4" t="e">
        <f>InsurerSize(#REF!)</f>
        <v>#VALUE!</v>
      </c>
      <c r="AE2163" s="4" t="e">
        <f t="shared" si="45"/>
        <v>#VALUE!</v>
      </c>
    </row>
    <row r="2164" spans="8:31" x14ac:dyDescent="0.2"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AC2164" t="e">
        <f ca="1">RANK(AB2164,OFFSET($AB$2,0,0,#REF!,1))</f>
        <v>#REF!</v>
      </c>
      <c r="AD2164" s="4" t="e">
        <f>InsurerSize(#REF!)</f>
        <v>#VALUE!</v>
      </c>
      <c r="AE2164" s="4" t="e">
        <f t="shared" si="45"/>
        <v>#VALUE!</v>
      </c>
    </row>
    <row r="2165" spans="8:31" x14ac:dyDescent="0.2"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AC2165" t="e">
        <f ca="1">RANK(AB2165,OFFSET($AB$2,0,0,#REF!,1))</f>
        <v>#REF!</v>
      </c>
      <c r="AD2165" s="4" t="e">
        <f>InsurerSize(#REF!)</f>
        <v>#VALUE!</v>
      </c>
      <c r="AE2165" s="4" t="e">
        <f t="shared" si="45"/>
        <v>#VALUE!</v>
      </c>
    </row>
    <row r="2166" spans="8:31" x14ac:dyDescent="0.2"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AC2166" t="e">
        <f ca="1">RANK(AB2166,OFFSET($AB$2,0,0,#REF!,1))</f>
        <v>#REF!</v>
      </c>
      <c r="AD2166" s="4" t="e">
        <f>InsurerSize(#REF!)</f>
        <v>#VALUE!</v>
      </c>
      <c r="AE2166" s="4" t="e">
        <f t="shared" si="45"/>
        <v>#VALUE!</v>
      </c>
    </row>
    <row r="2167" spans="8:31" x14ac:dyDescent="0.2"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AC2167" t="e">
        <f ca="1">RANK(AB2167,OFFSET($AB$2,0,0,#REF!,1))</f>
        <v>#REF!</v>
      </c>
      <c r="AD2167" s="4" t="e">
        <f>InsurerSize(#REF!)</f>
        <v>#VALUE!</v>
      </c>
      <c r="AE2167" s="4" t="e">
        <f t="shared" si="45"/>
        <v>#VALUE!</v>
      </c>
    </row>
    <row r="2168" spans="8:31" x14ac:dyDescent="0.2"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AC2168" t="e">
        <f ca="1">RANK(AB2168,OFFSET($AB$2,0,0,#REF!,1))</f>
        <v>#REF!</v>
      </c>
      <c r="AD2168" s="4" t="e">
        <f>InsurerSize(#REF!)</f>
        <v>#VALUE!</v>
      </c>
      <c r="AE2168" s="4" t="e">
        <f t="shared" si="45"/>
        <v>#VALUE!</v>
      </c>
    </row>
    <row r="2169" spans="8:31" x14ac:dyDescent="0.2"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AC2169" t="e">
        <f ca="1">RANK(AB2169,OFFSET($AB$2,0,0,#REF!,1))</f>
        <v>#REF!</v>
      </c>
      <c r="AD2169" s="4" t="e">
        <f>InsurerSize(#REF!)</f>
        <v>#VALUE!</v>
      </c>
      <c r="AE2169" s="4" t="e">
        <f t="shared" si="45"/>
        <v>#VALUE!</v>
      </c>
    </row>
    <row r="2170" spans="8:31" x14ac:dyDescent="0.2"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AC2170" t="e">
        <f ca="1">RANK(AB2170,OFFSET($AB$2,0,0,#REF!,1))</f>
        <v>#REF!</v>
      </c>
      <c r="AD2170" s="4" t="e">
        <f>InsurerSize(#REF!)</f>
        <v>#VALUE!</v>
      </c>
      <c r="AE2170" s="4" t="e">
        <f t="shared" si="45"/>
        <v>#VALUE!</v>
      </c>
    </row>
    <row r="2171" spans="8:31" x14ac:dyDescent="0.2"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AC2171" t="e">
        <f ca="1">RANK(AB2171,OFFSET($AB$2,0,0,#REF!,1))</f>
        <v>#REF!</v>
      </c>
      <c r="AD2171" s="4" t="e">
        <f>InsurerSize(#REF!)</f>
        <v>#VALUE!</v>
      </c>
      <c r="AE2171" s="4" t="e">
        <f t="shared" si="45"/>
        <v>#VALUE!</v>
      </c>
    </row>
    <row r="2172" spans="8:31" x14ac:dyDescent="0.2"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AC2172" t="e">
        <f ca="1">RANK(AB2172,OFFSET($AB$2,0,0,#REF!,1))</f>
        <v>#REF!</v>
      </c>
      <c r="AD2172" s="4" t="e">
        <f>InsurerSize(#REF!)</f>
        <v>#VALUE!</v>
      </c>
      <c r="AE2172" s="4" t="e">
        <f t="shared" si="45"/>
        <v>#VALUE!</v>
      </c>
    </row>
    <row r="2173" spans="8:31" x14ac:dyDescent="0.2"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AC2173" t="e">
        <f ca="1">RANK(AB2173,OFFSET($AB$2,0,0,#REF!,1))</f>
        <v>#REF!</v>
      </c>
      <c r="AD2173" s="4" t="e">
        <f>InsurerSize(#REF!)</f>
        <v>#VALUE!</v>
      </c>
      <c r="AE2173" s="4" t="e">
        <f t="shared" si="45"/>
        <v>#VALUE!</v>
      </c>
    </row>
    <row r="2174" spans="8:31" x14ac:dyDescent="0.2"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AC2174" t="e">
        <f ca="1">RANK(AB2174,OFFSET($AB$2,0,0,#REF!,1))</f>
        <v>#REF!</v>
      </c>
      <c r="AD2174" s="4" t="e">
        <f>InsurerSize(#REF!)</f>
        <v>#VALUE!</v>
      </c>
      <c r="AE2174" s="4" t="e">
        <f t="shared" si="45"/>
        <v>#VALUE!</v>
      </c>
    </row>
    <row r="2175" spans="8:31" x14ac:dyDescent="0.2"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AC2175" t="e">
        <f ca="1">RANK(AB2175,OFFSET($AB$2,0,0,#REF!,1))</f>
        <v>#REF!</v>
      </c>
      <c r="AD2175" s="4" t="e">
        <f>InsurerSize(#REF!)</f>
        <v>#VALUE!</v>
      </c>
      <c r="AE2175" s="4" t="e">
        <f t="shared" si="45"/>
        <v>#VALUE!</v>
      </c>
    </row>
    <row r="2176" spans="8:31" x14ac:dyDescent="0.2"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AC2176" t="e">
        <f ca="1">RANK(AB2176,OFFSET($AB$2,0,0,#REF!,1))</f>
        <v>#REF!</v>
      </c>
      <c r="AD2176" s="4" t="e">
        <f>InsurerSize(#REF!)</f>
        <v>#VALUE!</v>
      </c>
      <c r="AE2176" s="4" t="e">
        <f t="shared" si="45"/>
        <v>#VALUE!</v>
      </c>
    </row>
    <row r="2177" spans="8:31" x14ac:dyDescent="0.2"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AC2177" t="e">
        <f ca="1">RANK(AB2177,OFFSET($AB$2,0,0,#REF!,1))</f>
        <v>#REF!</v>
      </c>
      <c r="AD2177" s="4" t="e">
        <f>InsurerSize(#REF!)</f>
        <v>#VALUE!</v>
      </c>
      <c r="AE2177" s="4" t="e">
        <f t="shared" si="45"/>
        <v>#VALUE!</v>
      </c>
    </row>
    <row r="2178" spans="8:31" x14ac:dyDescent="0.2"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AC2178" t="e">
        <f ca="1">RANK(AB2178,OFFSET($AB$2,0,0,#REF!,1))</f>
        <v>#REF!</v>
      </c>
      <c r="AD2178" s="4" t="e">
        <f>InsurerSize(#REF!)</f>
        <v>#VALUE!</v>
      </c>
      <c r="AE2178" s="4" t="e">
        <f t="shared" ref="AE2178:AE2241" si="46">A2178&amp;AD2178</f>
        <v>#VALUE!</v>
      </c>
    </row>
    <row r="2179" spans="8:31" x14ac:dyDescent="0.2"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AC2179" t="e">
        <f ca="1">RANK(AB2179,OFFSET($AB$2,0,0,#REF!,1))</f>
        <v>#REF!</v>
      </c>
      <c r="AD2179" s="4" t="e">
        <f>InsurerSize(#REF!)</f>
        <v>#VALUE!</v>
      </c>
      <c r="AE2179" s="4" t="e">
        <f t="shared" si="46"/>
        <v>#VALUE!</v>
      </c>
    </row>
    <row r="2180" spans="8:31" x14ac:dyDescent="0.2"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AC2180" t="e">
        <f ca="1">RANK(AB2180,OFFSET($AB$2,0,0,#REF!,1))</f>
        <v>#REF!</v>
      </c>
      <c r="AD2180" s="4" t="e">
        <f>InsurerSize(#REF!)</f>
        <v>#VALUE!</v>
      </c>
      <c r="AE2180" s="4" t="e">
        <f t="shared" si="46"/>
        <v>#VALUE!</v>
      </c>
    </row>
    <row r="2181" spans="8:31" x14ac:dyDescent="0.2"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AC2181" t="e">
        <f ca="1">RANK(AB2181,OFFSET($AB$2,0,0,#REF!,1))</f>
        <v>#REF!</v>
      </c>
      <c r="AD2181" s="4" t="e">
        <f>InsurerSize(#REF!)</f>
        <v>#VALUE!</v>
      </c>
      <c r="AE2181" s="4" t="e">
        <f t="shared" si="46"/>
        <v>#VALUE!</v>
      </c>
    </row>
    <row r="2182" spans="8:31" x14ac:dyDescent="0.2"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AC2182" t="e">
        <f ca="1">RANK(AB2182,OFFSET($AB$2,0,0,#REF!,1))</f>
        <v>#REF!</v>
      </c>
      <c r="AD2182" s="4" t="e">
        <f>InsurerSize(#REF!)</f>
        <v>#VALUE!</v>
      </c>
      <c r="AE2182" s="4" t="e">
        <f t="shared" si="46"/>
        <v>#VALUE!</v>
      </c>
    </row>
    <row r="2183" spans="8:31" x14ac:dyDescent="0.2"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AC2183" t="e">
        <f ca="1">RANK(AB2183,OFFSET($AB$2,0,0,#REF!,1))</f>
        <v>#REF!</v>
      </c>
      <c r="AD2183" s="4" t="e">
        <f>InsurerSize(#REF!)</f>
        <v>#VALUE!</v>
      </c>
      <c r="AE2183" s="4" t="e">
        <f t="shared" si="46"/>
        <v>#VALUE!</v>
      </c>
    </row>
    <row r="2184" spans="8:31" x14ac:dyDescent="0.2"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AC2184" t="e">
        <f ca="1">RANK(AB2184,OFFSET($AB$2,0,0,#REF!,1))</f>
        <v>#REF!</v>
      </c>
      <c r="AD2184" s="4" t="e">
        <f>InsurerSize(#REF!)</f>
        <v>#VALUE!</v>
      </c>
      <c r="AE2184" s="4" t="e">
        <f t="shared" si="46"/>
        <v>#VALUE!</v>
      </c>
    </row>
    <row r="2185" spans="8:31" x14ac:dyDescent="0.2"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AC2185" t="e">
        <f ca="1">RANK(AB2185,OFFSET($AB$2,0,0,#REF!,1))</f>
        <v>#REF!</v>
      </c>
      <c r="AD2185" s="4" t="e">
        <f>InsurerSize(#REF!)</f>
        <v>#VALUE!</v>
      </c>
      <c r="AE2185" s="4" t="e">
        <f t="shared" si="46"/>
        <v>#VALUE!</v>
      </c>
    </row>
    <row r="2186" spans="8:31" x14ac:dyDescent="0.2"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AC2186" t="e">
        <f ca="1">RANK(AB2186,OFFSET($AB$2,0,0,#REF!,1))</f>
        <v>#REF!</v>
      </c>
      <c r="AD2186" s="4" t="e">
        <f>InsurerSize(#REF!)</f>
        <v>#VALUE!</v>
      </c>
      <c r="AE2186" s="4" t="e">
        <f t="shared" si="46"/>
        <v>#VALUE!</v>
      </c>
    </row>
    <row r="2187" spans="8:31" x14ac:dyDescent="0.2"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AC2187" t="e">
        <f ca="1">RANK(AB2187,OFFSET($AB$2,0,0,#REF!,1))</f>
        <v>#REF!</v>
      </c>
      <c r="AD2187" s="4" t="e">
        <f>InsurerSize(#REF!)</f>
        <v>#VALUE!</v>
      </c>
      <c r="AE2187" s="4" t="e">
        <f t="shared" si="46"/>
        <v>#VALUE!</v>
      </c>
    </row>
    <row r="2188" spans="8:31" x14ac:dyDescent="0.2"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AC2188" t="e">
        <f ca="1">RANK(AB2188,OFFSET($AB$2,0,0,#REF!,1))</f>
        <v>#REF!</v>
      </c>
      <c r="AD2188" s="4" t="e">
        <f>InsurerSize(#REF!)</f>
        <v>#VALUE!</v>
      </c>
      <c r="AE2188" s="4" t="e">
        <f t="shared" si="46"/>
        <v>#VALUE!</v>
      </c>
    </row>
    <row r="2189" spans="8:31" x14ac:dyDescent="0.2"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AC2189" t="e">
        <f ca="1">RANK(AB2189,OFFSET($AB$2,0,0,#REF!,1))</f>
        <v>#REF!</v>
      </c>
      <c r="AD2189" s="4" t="e">
        <f>InsurerSize(#REF!)</f>
        <v>#VALUE!</v>
      </c>
      <c r="AE2189" s="4" t="e">
        <f t="shared" si="46"/>
        <v>#VALUE!</v>
      </c>
    </row>
    <row r="2190" spans="8:31" x14ac:dyDescent="0.2"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AC2190" t="e">
        <f ca="1">RANK(AB2190,OFFSET($AB$2,0,0,#REF!,1))</f>
        <v>#REF!</v>
      </c>
      <c r="AD2190" s="4" t="e">
        <f>InsurerSize(#REF!)</f>
        <v>#VALUE!</v>
      </c>
      <c r="AE2190" s="4" t="e">
        <f t="shared" si="46"/>
        <v>#VALUE!</v>
      </c>
    </row>
    <row r="2191" spans="8:31" x14ac:dyDescent="0.2"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AC2191" t="e">
        <f ca="1">RANK(AB2191,OFFSET($AB$2,0,0,#REF!,1))</f>
        <v>#REF!</v>
      </c>
      <c r="AD2191" s="4" t="e">
        <f>InsurerSize(#REF!)</f>
        <v>#VALUE!</v>
      </c>
      <c r="AE2191" s="4" t="e">
        <f t="shared" si="46"/>
        <v>#VALUE!</v>
      </c>
    </row>
    <row r="2192" spans="8:31" x14ac:dyDescent="0.2"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AC2192" t="e">
        <f ca="1">RANK(AB2192,OFFSET($AB$2,0,0,#REF!,1))</f>
        <v>#REF!</v>
      </c>
      <c r="AD2192" s="4" t="e">
        <f>InsurerSize(#REF!)</f>
        <v>#VALUE!</v>
      </c>
      <c r="AE2192" s="4" t="e">
        <f t="shared" si="46"/>
        <v>#VALUE!</v>
      </c>
    </row>
    <row r="2193" spans="8:31" x14ac:dyDescent="0.2"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AC2193" t="e">
        <f ca="1">RANK(AB2193,OFFSET($AB$2,0,0,#REF!,1))</f>
        <v>#REF!</v>
      </c>
      <c r="AD2193" s="4" t="e">
        <f>InsurerSize(#REF!)</f>
        <v>#VALUE!</v>
      </c>
      <c r="AE2193" s="4" t="e">
        <f t="shared" si="46"/>
        <v>#VALUE!</v>
      </c>
    </row>
    <row r="2194" spans="8:31" x14ac:dyDescent="0.2"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AC2194" t="e">
        <f ca="1">RANK(AB2194,OFFSET($AB$2,0,0,#REF!,1))</f>
        <v>#REF!</v>
      </c>
      <c r="AD2194" s="4" t="e">
        <f>InsurerSize(#REF!)</f>
        <v>#VALUE!</v>
      </c>
      <c r="AE2194" s="4" t="e">
        <f t="shared" si="46"/>
        <v>#VALUE!</v>
      </c>
    </row>
    <row r="2195" spans="8:31" x14ac:dyDescent="0.2"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AC2195" t="e">
        <f ca="1">RANK(AB2195,OFFSET($AB$2,0,0,#REF!,1))</f>
        <v>#REF!</v>
      </c>
      <c r="AD2195" s="4" t="e">
        <f>InsurerSize(#REF!)</f>
        <v>#VALUE!</v>
      </c>
      <c r="AE2195" s="4" t="e">
        <f t="shared" si="46"/>
        <v>#VALUE!</v>
      </c>
    </row>
    <row r="2196" spans="8:31" x14ac:dyDescent="0.2"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AC2196" t="e">
        <f ca="1">RANK(AB2196,OFFSET($AB$2,0,0,#REF!,1))</f>
        <v>#REF!</v>
      </c>
      <c r="AD2196" s="4" t="e">
        <f>InsurerSize(#REF!)</f>
        <v>#VALUE!</v>
      </c>
      <c r="AE2196" s="4" t="e">
        <f t="shared" si="46"/>
        <v>#VALUE!</v>
      </c>
    </row>
    <row r="2197" spans="8:31" x14ac:dyDescent="0.2"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AC2197" t="e">
        <f ca="1">RANK(AB2197,OFFSET($AB$2,0,0,#REF!,1))</f>
        <v>#REF!</v>
      </c>
      <c r="AD2197" s="4" t="e">
        <f>InsurerSize(#REF!)</f>
        <v>#VALUE!</v>
      </c>
      <c r="AE2197" s="4" t="e">
        <f t="shared" si="46"/>
        <v>#VALUE!</v>
      </c>
    </row>
    <row r="2198" spans="8:31" x14ac:dyDescent="0.2"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AC2198" t="e">
        <f ca="1">RANK(AB2198,OFFSET($AB$2,0,0,#REF!,1))</f>
        <v>#REF!</v>
      </c>
      <c r="AD2198" s="4" t="e">
        <f>InsurerSize(#REF!)</f>
        <v>#VALUE!</v>
      </c>
      <c r="AE2198" s="4" t="e">
        <f t="shared" si="46"/>
        <v>#VALUE!</v>
      </c>
    </row>
    <row r="2199" spans="8:31" x14ac:dyDescent="0.2"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AC2199" t="e">
        <f ca="1">RANK(AB2199,OFFSET($AB$2,0,0,#REF!,1))</f>
        <v>#REF!</v>
      </c>
      <c r="AD2199" s="4" t="e">
        <f>InsurerSize(#REF!)</f>
        <v>#VALUE!</v>
      </c>
      <c r="AE2199" s="4" t="e">
        <f t="shared" si="46"/>
        <v>#VALUE!</v>
      </c>
    </row>
    <row r="2200" spans="8:31" x14ac:dyDescent="0.2"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AC2200" t="e">
        <f ca="1">RANK(AB2200,OFFSET($AB$2,0,0,#REF!,1))</f>
        <v>#REF!</v>
      </c>
      <c r="AD2200" s="4" t="e">
        <f>InsurerSize(#REF!)</f>
        <v>#VALUE!</v>
      </c>
      <c r="AE2200" s="4" t="e">
        <f t="shared" si="46"/>
        <v>#VALUE!</v>
      </c>
    </row>
    <row r="2201" spans="8:31" x14ac:dyDescent="0.2"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AC2201" t="e">
        <f ca="1">RANK(AB2201,OFFSET($AB$2,0,0,#REF!,1))</f>
        <v>#REF!</v>
      </c>
      <c r="AD2201" s="4" t="e">
        <f>InsurerSize(#REF!)</f>
        <v>#VALUE!</v>
      </c>
      <c r="AE2201" s="4" t="e">
        <f t="shared" si="46"/>
        <v>#VALUE!</v>
      </c>
    </row>
    <row r="2202" spans="8:31" x14ac:dyDescent="0.2"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AC2202" t="e">
        <f ca="1">RANK(AB2202,OFFSET($AB$2,0,0,#REF!,1))</f>
        <v>#REF!</v>
      </c>
      <c r="AD2202" s="4" t="e">
        <f>InsurerSize(#REF!)</f>
        <v>#VALUE!</v>
      </c>
      <c r="AE2202" s="4" t="e">
        <f t="shared" si="46"/>
        <v>#VALUE!</v>
      </c>
    </row>
    <row r="2203" spans="8:31" x14ac:dyDescent="0.2"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AC2203" t="e">
        <f ca="1">RANK(AB2203,OFFSET($AB$2,0,0,#REF!,1))</f>
        <v>#REF!</v>
      </c>
      <c r="AD2203" s="4" t="e">
        <f>InsurerSize(#REF!)</f>
        <v>#VALUE!</v>
      </c>
      <c r="AE2203" s="4" t="e">
        <f t="shared" si="46"/>
        <v>#VALUE!</v>
      </c>
    </row>
    <row r="2204" spans="8:31" x14ac:dyDescent="0.2"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AC2204" t="e">
        <f ca="1">RANK(AB2204,OFFSET($AB$2,0,0,#REF!,1))</f>
        <v>#REF!</v>
      </c>
      <c r="AD2204" s="4" t="e">
        <f>InsurerSize(#REF!)</f>
        <v>#VALUE!</v>
      </c>
      <c r="AE2204" s="4" t="e">
        <f t="shared" si="46"/>
        <v>#VALUE!</v>
      </c>
    </row>
    <row r="2205" spans="8:31" x14ac:dyDescent="0.2"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AC2205" t="e">
        <f ca="1">RANK(AB2205,OFFSET($AB$2,0,0,#REF!,1))</f>
        <v>#REF!</v>
      </c>
      <c r="AD2205" s="4" t="e">
        <f>InsurerSize(#REF!)</f>
        <v>#VALUE!</v>
      </c>
      <c r="AE2205" s="4" t="e">
        <f t="shared" si="46"/>
        <v>#VALUE!</v>
      </c>
    </row>
    <row r="2206" spans="8:31" x14ac:dyDescent="0.2"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AC2206" t="e">
        <f ca="1">RANK(AB2206,OFFSET($AB$2,0,0,#REF!,1))</f>
        <v>#REF!</v>
      </c>
      <c r="AD2206" s="4" t="e">
        <f>InsurerSize(#REF!)</f>
        <v>#VALUE!</v>
      </c>
      <c r="AE2206" s="4" t="e">
        <f t="shared" si="46"/>
        <v>#VALUE!</v>
      </c>
    </row>
    <row r="2207" spans="8:31" x14ac:dyDescent="0.2"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AC2207" t="e">
        <f ca="1">RANK(AB2207,OFFSET($AB$2,0,0,#REF!,1))</f>
        <v>#REF!</v>
      </c>
      <c r="AD2207" s="4" t="e">
        <f>InsurerSize(#REF!)</f>
        <v>#VALUE!</v>
      </c>
      <c r="AE2207" s="4" t="e">
        <f t="shared" si="46"/>
        <v>#VALUE!</v>
      </c>
    </row>
    <row r="2208" spans="8:31" x14ac:dyDescent="0.2"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AC2208" t="e">
        <f ca="1">RANK(AB2208,OFFSET($AB$2,0,0,#REF!,1))</f>
        <v>#REF!</v>
      </c>
      <c r="AD2208" s="4" t="e">
        <f>InsurerSize(#REF!)</f>
        <v>#VALUE!</v>
      </c>
      <c r="AE2208" s="4" t="e">
        <f t="shared" si="46"/>
        <v>#VALUE!</v>
      </c>
    </row>
    <row r="2209" spans="8:31" x14ac:dyDescent="0.2"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AC2209" t="e">
        <f ca="1">RANK(AB2209,OFFSET($AB$2,0,0,#REF!,1))</f>
        <v>#REF!</v>
      </c>
      <c r="AD2209" s="4" t="e">
        <f>InsurerSize(#REF!)</f>
        <v>#VALUE!</v>
      </c>
      <c r="AE2209" s="4" t="e">
        <f t="shared" si="46"/>
        <v>#VALUE!</v>
      </c>
    </row>
    <row r="2210" spans="8:31" x14ac:dyDescent="0.2"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AC2210" t="e">
        <f ca="1">RANK(AB2210,OFFSET($AB$2,0,0,#REF!,1))</f>
        <v>#REF!</v>
      </c>
      <c r="AD2210" s="4" t="e">
        <f>InsurerSize(#REF!)</f>
        <v>#VALUE!</v>
      </c>
      <c r="AE2210" s="4" t="e">
        <f t="shared" si="46"/>
        <v>#VALUE!</v>
      </c>
    </row>
    <row r="2211" spans="8:31" x14ac:dyDescent="0.2"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AC2211" t="e">
        <f ca="1">RANK(AB2211,OFFSET($AB$2,0,0,#REF!,1))</f>
        <v>#REF!</v>
      </c>
      <c r="AD2211" s="4" t="e">
        <f>InsurerSize(#REF!)</f>
        <v>#VALUE!</v>
      </c>
      <c r="AE2211" s="4" t="e">
        <f t="shared" si="46"/>
        <v>#VALUE!</v>
      </c>
    </row>
    <row r="2212" spans="8:31" x14ac:dyDescent="0.2"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AC2212" t="e">
        <f ca="1">RANK(AB2212,OFFSET($AB$2,0,0,#REF!,1))</f>
        <v>#REF!</v>
      </c>
      <c r="AD2212" s="4" t="e">
        <f>InsurerSize(#REF!)</f>
        <v>#VALUE!</v>
      </c>
      <c r="AE2212" s="4" t="e">
        <f t="shared" si="46"/>
        <v>#VALUE!</v>
      </c>
    </row>
    <row r="2213" spans="8:31" x14ac:dyDescent="0.2"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AC2213" t="e">
        <f ca="1">RANK(AB2213,OFFSET($AB$2,0,0,#REF!,1))</f>
        <v>#REF!</v>
      </c>
      <c r="AD2213" s="4" t="e">
        <f>InsurerSize(#REF!)</f>
        <v>#VALUE!</v>
      </c>
      <c r="AE2213" s="4" t="e">
        <f t="shared" si="46"/>
        <v>#VALUE!</v>
      </c>
    </row>
    <row r="2214" spans="8:31" x14ac:dyDescent="0.2"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AC2214" t="e">
        <f ca="1">RANK(AB2214,OFFSET($AB$2,0,0,#REF!,1))</f>
        <v>#REF!</v>
      </c>
      <c r="AD2214" s="4" t="e">
        <f>InsurerSize(#REF!)</f>
        <v>#VALUE!</v>
      </c>
      <c r="AE2214" s="4" t="e">
        <f t="shared" si="46"/>
        <v>#VALUE!</v>
      </c>
    </row>
    <row r="2215" spans="8:31" x14ac:dyDescent="0.2"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AC2215" t="e">
        <f ca="1">RANK(AB2215,OFFSET($AB$2,0,0,#REF!,1))</f>
        <v>#REF!</v>
      </c>
      <c r="AD2215" s="4" t="e">
        <f>InsurerSize(#REF!)</f>
        <v>#VALUE!</v>
      </c>
      <c r="AE2215" s="4" t="e">
        <f t="shared" si="46"/>
        <v>#VALUE!</v>
      </c>
    </row>
    <row r="2216" spans="8:31" x14ac:dyDescent="0.2"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AC2216" t="e">
        <f ca="1">RANK(AB2216,OFFSET($AB$2,0,0,#REF!,1))</f>
        <v>#REF!</v>
      </c>
      <c r="AD2216" s="4" t="e">
        <f>InsurerSize(#REF!)</f>
        <v>#VALUE!</v>
      </c>
      <c r="AE2216" s="4" t="e">
        <f t="shared" si="46"/>
        <v>#VALUE!</v>
      </c>
    </row>
    <row r="2217" spans="8:31" x14ac:dyDescent="0.2"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AC2217" t="e">
        <f ca="1">RANK(AB2217,OFFSET($AB$2,0,0,#REF!,1))</f>
        <v>#REF!</v>
      </c>
      <c r="AD2217" s="4" t="e">
        <f>InsurerSize(#REF!)</f>
        <v>#VALUE!</v>
      </c>
      <c r="AE2217" s="4" t="e">
        <f t="shared" si="46"/>
        <v>#VALUE!</v>
      </c>
    </row>
    <row r="2218" spans="8:31" x14ac:dyDescent="0.2"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AC2218" t="e">
        <f ca="1">RANK(AB2218,OFFSET($AB$2,0,0,#REF!,1))</f>
        <v>#REF!</v>
      </c>
      <c r="AD2218" s="4" t="e">
        <f>InsurerSize(#REF!)</f>
        <v>#VALUE!</v>
      </c>
      <c r="AE2218" s="4" t="e">
        <f t="shared" si="46"/>
        <v>#VALUE!</v>
      </c>
    </row>
    <row r="2219" spans="8:31" x14ac:dyDescent="0.2"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AC2219" t="e">
        <f ca="1">RANK(AB2219,OFFSET($AB$2,0,0,#REF!,1))</f>
        <v>#REF!</v>
      </c>
      <c r="AD2219" s="4" t="e">
        <f>InsurerSize(#REF!)</f>
        <v>#VALUE!</v>
      </c>
      <c r="AE2219" s="4" t="e">
        <f t="shared" si="46"/>
        <v>#VALUE!</v>
      </c>
    </row>
    <row r="2220" spans="8:31" x14ac:dyDescent="0.2"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AC2220" t="e">
        <f ca="1">RANK(AB2220,OFFSET($AB$2,0,0,#REF!,1))</f>
        <v>#REF!</v>
      </c>
      <c r="AD2220" s="4" t="e">
        <f>InsurerSize(#REF!)</f>
        <v>#VALUE!</v>
      </c>
      <c r="AE2220" s="4" t="e">
        <f t="shared" si="46"/>
        <v>#VALUE!</v>
      </c>
    </row>
    <row r="2221" spans="8:31" x14ac:dyDescent="0.2"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AC2221" t="e">
        <f ca="1">RANK(AB2221,OFFSET($AB$2,0,0,#REF!,1))</f>
        <v>#REF!</v>
      </c>
      <c r="AD2221" s="4" t="e">
        <f>InsurerSize(#REF!)</f>
        <v>#VALUE!</v>
      </c>
      <c r="AE2221" s="4" t="e">
        <f t="shared" si="46"/>
        <v>#VALUE!</v>
      </c>
    </row>
    <row r="2222" spans="8:31" x14ac:dyDescent="0.2"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AC2222" t="e">
        <f ca="1">RANK(AB2222,OFFSET($AB$2,0,0,#REF!,1))</f>
        <v>#REF!</v>
      </c>
      <c r="AD2222" s="4" t="e">
        <f>InsurerSize(#REF!)</f>
        <v>#VALUE!</v>
      </c>
      <c r="AE2222" s="4" t="e">
        <f t="shared" si="46"/>
        <v>#VALUE!</v>
      </c>
    </row>
    <row r="2223" spans="8:31" x14ac:dyDescent="0.2"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AC2223" t="e">
        <f ca="1">RANK(AB2223,OFFSET($AB$2,0,0,#REF!,1))</f>
        <v>#REF!</v>
      </c>
      <c r="AD2223" s="4" t="e">
        <f>InsurerSize(#REF!)</f>
        <v>#VALUE!</v>
      </c>
      <c r="AE2223" s="4" t="e">
        <f t="shared" si="46"/>
        <v>#VALUE!</v>
      </c>
    </row>
    <row r="2224" spans="8:31" x14ac:dyDescent="0.2"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AC2224" t="e">
        <f ca="1">RANK(AB2224,OFFSET($AB$2,0,0,#REF!,1))</f>
        <v>#REF!</v>
      </c>
      <c r="AD2224" s="4" t="e">
        <f>InsurerSize(#REF!)</f>
        <v>#VALUE!</v>
      </c>
      <c r="AE2224" s="4" t="e">
        <f t="shared" si="46"/>
        <v>#VALUE!</v>
      </c>
    </row>
    <row r="2225" spans="8:31" x14ac:dyDescent="0.2"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AC2225" t="e">
        <f ca="1">RANK(AB2225,OFFSET($AB$2,0,0,#REF!,1))</f>
        <v>#REF!</v>
      </c>
      <c r="AD2225" s="4" t="e">
        <f>InsurerSize(#REF!)</f>
        <v>#VALUE!</v>
      </c>
      <c r="AE2225" s="4" t="e">
        <f t="shared" si="46"/>
        <v>#VALUE!</v>
      </c>
    </row>
    <row r="2226" spans="8:31" x14ac:dyDescent="0.2"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AC2226" t="e">
        <f ca="1">RANK(AB2226,OFFSET($AB$2,0,0,#REF!,1))</f>
        <v>#REF!</v>
      </c>
      <c r="AD2226" s="4" t="e">
        <f>InsurerSize(#REF!)</f>
        <v>#VALUE!</v>
      </c>
      <c r="AE2226" s="4" t="e">
        <f t="shared" si="46"/>
        <v>#VALUE!</v>
      </c>
    </row>
    <row r="2227" spans="8:31" x14ac:dyDescent="0.2"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AC2227" t="e">
        <f ca="1">RANK(AB2227,OFFSET($AB$2,0,0,#REF!,1))</f>
        <v>#REF!</v>
      </c>
      <c r="AD2227" s="4" t="e">
        <f>InsurerSize(#REF!)</f>
        <v>#VALUE!</v>
      </c>
      <c r="AE2227" s="4" t="e">
        <f t="shared" si="46"/>
        <v>#VALUE!</v>
      </c>
    </row>
    <row r="2228" spans="8:31" x14ac:dyDescent="0.2"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AC2228" t="e">
        <f ca="1">RANK(AB2228,OFFSET($AB$2,0,0,#REF!,1))</f>
        <v>#REF!</v>
      </c>
      <c r="AD2228" s="4" t="e">
        <f>InsurerSize(#REF!)</f>
        <v>#VALUE!</v>
      </c>
      <c r="AE2228" s="4" t="e">
        <f t="shared" si="46"/>
        <v>#VALUE!</v>
      </c>
    </row>
    <row r="2229" spans="8:31" x14ac:dyDescent="0.2"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AC2229" t="e">
        <f ca="1">RANK(AB2229,OFFSET($AB$2,0,0,#REF!,1))</f>
        <v>#REF!</v>
      </c>
      <c r="AD2229" s="4" t="e">
        <f>InsurerSize(#REF!)</f>
        <v>#VALUE!</v>
      </c>
      <c r="AE2229" s="4" t="e">
        <f t="shared" si="46"/>
        <v>#VALUE!</v>
      </c>
    </row>
    <row r="2230" spans="8:31" x14ac:dyDescent="0.2"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AC2230" t="e">
        <f ca="1">RANK(AB2230,OFFSET($AB$2,0,0,#REF!,1))</f>
        <v>#REF!</v>
      </c>
      <c r="AD2230" s="4" t="e">
        <f>InsurerSize(#REF!)</f>
        <v>#VALUE!</v>
      </c>
      <c r="AE2230" s="4" t="e">
        <f t="shared" si="46"/>
        <v>#VALUE!</v>
      </c>
    </row>
    <row r="2231" spans="8:31" x14ac:dyDescent="0.2"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AC2231" t="e">
        <f ca="1">RANK(AB2231,OFFSET($AB$2,0,0,#REF!,1))</f>
        <v>#REF!</v>
      </c>
      <c r="AD2231" s="4" t="e">
        <f>InsurerSize(#REF!)</f>
        <v>#VALUE!</v>
      </c>
      <c r="AE2231" s="4" t="e">
        <f t="shared" si="46"/>
        <v>#VALUE!</v>
      </c>
    </row>
    <row r="2232" spans="8:31" x14ac:dyDescent="0.2"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AC2232" t="e">
        <f ca="1">RANK(AB2232,OFFSET($AB$2,0,0,#REF!,1))</f>
        <v>#REF!</v>
      </c>
      <c r="AD2232" s="4" t="e">
        <f>InsurerSize(#REF!)</f>
        <v>#VALUE!</v>
      </c>
      <c r="AE2232" s="4" t="e">
        <f t="shared" si="46"/>
        <v>#VALUE!</v>
      </c>
    </row>
    <row r="2233" spans="8:31" x14ac:dyDescent="0.2"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AC2233" t="e">
        <f ca="1">RANK(AB2233,OFFSET($AB$2,0,0,#REF!,1))</f>
        <v>#REF!</v>
      </c>
      <c r="AD2233" s="4" t="e">
        <f>InsurerSize(#REF!)</f>
        <v>#VALUE!</v>
      </c>
      <c r="AE2233" s="4" t="e">
        <f t="shared" si="46"/>
        <v>#VALUE!</v>
      </c>
    </row>
    <row r="2234" spans="8:31" x14ac:dyDescent="0.2"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AC2234" t="e">
        <f ca="1">RANK(AB2234,OFFSET($AB$2,0,0,#REF!,1))</f>
        <v>#REF!</v>
      </c>
      <c r="AD2234" s="4" t="e">
        <f>InsurerSize(#REF!)</f>
        <v>#VALUE!</v>
      </c>
      <c r="AE2234" s="4" t="e">
        <f t="shared" si="46"/>
        <v>#VALUE!</v>
      </c>
    </row>
    <row r="2235" spans="8:31" x14ac:dyDescent="0.2"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AC2235" t="e">
        <f ca="1">RANK(AB2235,OFFSET($AB$2,0,0,#REF!,1))</f>
        <v>#REF!</v>
      </c>
      <c r="AD2235" s="4" t="e">
        <f>InsurerSize(#REF!)</f>
        <v>#VALUE!</v>
      </c>
      <c r="AE2235" s="4" t="e">
        <f t="shared" si="46"/>
        <v>#VALUE!</v>
      </c>
    </row>
    <row r="2236" spans="8:31" x14ac:dyDescent="0.2"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AC2236" t="e">
        <f ca="1">RANK(AB2236,OFFSET($AB$2,0,0,#REF!,1))</f>
        <v>#REF!</v>
      </c>
      <c r="AD2236" s="4" t="e">
        <f>InsurerSize(#REF!)</f>
        <v>#VALUE!</v>
      </c>
      <c r="AE2236" s="4" t="e">
        <f t="shared" si="46"/>
        <v>#VALUE!</v>
      </c>
    </row>
    <row r="2237" spans="8:31" x14ac:dyDescent="0.2"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AC2237" t="e">
        <f ca="1">RANK(AB2237,OFFSET($AB$2,0,0,#REF!,1))</f>
        <v>#REF!</v>
      </c>
      <c r="AD2237" s="4" t="e">
        <f>InsurerSize(#REF!)</f>
        <v>#VALUE!</v>
      </c>
      <c r="AE2237" s="4" t="e">
        <f t="shared" si="46"/>
        <v>#VALUE!</v>
      </c>
    </row>
    <row r="2238" spans="8:31" x14ac:dyDescent="0.2"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AC2238" t="e">
        <f ca="1">RANK(AB2238,OFFSET($AB$2,0,0,#REF!,1))</f>
        <v>#REF!</v>
      </c>
      <c r="AD2238" s="4" t="e">
        <f>InsurerSize(#REF!)</f>
        <v>#VALUE!</v>
      </c>
      <c r="AE2238" s="4" t="e">
        <f t="shared" si="46"/>
        <v>#VALUE!</v>
      </c>
    </row>
    <row r="2239" spans="8:31" x14ac:dyDescent="0.2"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AC2239" t="e">
        <f ca="1">RANK(AB2239,OFFSET($AB$2,0,0,#REF!,1))</f>
        <v>#REF!</v>
      </c>
      <c r="AD2239" s="4" t="e">
        <f>InsurerSize(#REF!)</f>
        <v>#VALUE!</v>
      </c>
      <c r="AE2239" s="4" t="e">
        <f t="shared" si="46"/>
        <v>#VALUE!</v>
      </c>
    </row>
    <row r="2240" spans="8:31" x14ac:dyDescent="0.2"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AC2240" t="e">
        <f ca="1">RANK(AB2240,OFFSET($AB$2,0,0,#REF!,1))</f>
        <v>#REF!</v>
      </c>
      <c r="AD2240" s="4" t="e">
        <f>InsurerSize(#REF!)</f>
        <v>#VALUE!</v>
      </c>
      <c r="AE2240" s="4" t="e">
        <f t="shared" si="46"/>
        <v>#VALUE!</v>
      </c>
    </row>
    <row r="2241" spans="8:31" x14ac:dyDescent="0.2"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AC2241" t="e">
        <f ca="1">RANK(AB2241,OFFSET($AB$2,0,0,#REF!,1))</f>
        <v>#REF!</v>
      </c>
      <c r="AD2241" s="4" t="e">
        <f>InsurerSize(#REF!)</f>
        <v>#VALUE!</v>
      </c>
      <c r="AE2241" s="4" t="e">
        <f t="shared" si="46"/>
        <v>#VALUE!</v>
      </c>
    </row>
    <row r="2242" spans="8:31" x14ac:dyDescent="0.2"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AC2242" t="e">
        <f ca="1">RANK(AB2242,OFFSET($AB$2,0,0,#REF!,1))</f>
        <v>#REF!</v>
      </c>
      <c r="AD2242" s="4" t="e">
        <f>InsurerSize(#REF!)</f>
        <v>#VALUE!</v>
      </c>
      <c r="AE2242" s="4" t="e">
        <f t="shared" ref="AE2242:AE2305" si="47">A2242&amp;AD2242</f>
        <v>#VALUE!</v>
      </c>
    </row>
    <row r="2243" spans="8:31" x14ac:dyDescent="0.2"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AC2243" t="e">
        <f ca="1">RANK(AB2243,OFFSET($AB$2,0,0,#REF!,1))</f>
        <v>#REF!</v>
      </c>
      <c r="AD2243" s="4" t="e">
        <f>InsurerSize(#REF!)</f>
        <v>#VALUE!</v>
      </c>
      <c r="AE2243" s="4" t="e">
        <f t="shared" si="47"/>
        <v>#VALUE!</v>
      </c>
    </row>
    <row r="2244" spans="8:31" x14ac:dyDescent="0.2"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AC2244" t="e">
        <f ca="1">RANK(AB2244,OFFSET($AB$2,0,0,#REF!,1))</f>
        <v>#REF!</v>
      </c>
      <c r="AD2244" s="4" t="e">
        <f>InsurerSize(#REF!)</f>
        <v>#VALUE!</v>
      </c>
      <c r="AE2244" s="4" t="e">
        <f t="shared" si="47"/>
        <v>#VALUE!</v>
      </c>
    </row>
    <row r="2245" spans="8:31" x14ac:dyDescent="0.2"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AC2245" t="e">
        <f ca="1">RANK(AB2245,OFFSET($AB$2,0,0,#REF!,1))</f>
        <v>#REF!</v>
      </c>
      <c r="AD2245" s="4" t="e">
        <f>InsurerSize(#REF!)</f>
        <v>#VALUE!</v>
      </c>
      <c r="AE2245" s="4" t="e">
        <f t="shared" si="47"/>
        <v>#VALUE!</v>
      </c>
    </row>
    <row r="2246" spans="8:31" x14ac:dyDescent="0.2"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AC2246" t="e">
        <f ca="1">RANK(AB2246,OFFSET($AB$2,0,0,#REF!,1))</f>
        <v>#REF!</v>
      </c>
      <c r="AD2246" s="4" t="e">
        <f>InsurerSize(#REF!)</f>
        <v>#VALUE!</v>
      </c>
      <c r="AE2246" s="4" t="e">
        <f t="shared" si="47"/>
        <v>#VALUE!</v>
      </c>
    </row>
    <row r="2247" spans="8:31" x14ac:dyDescent="0.2"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AC2247" t="e">
        <f ca="1">RANK(AB2247,OFFSET($AB$2,0,0,#REF!,1))</f>
        <v>#REF!</v>
      </c>
      <c r="AD2247" s="4" t="e">
        <f>InsurerSize(#REF!)</f>
        <v>#VALUE!</v>
      </c>
      <c r="AE2247" s="4" t="e">
        <f t="shared" si="47"/>
        <v>#VALUE!</v>
      </c>
    </row>
    <row r="2248" spans="8:31" x14ac:dyDescent="0.2"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AC2248" t="e">
        <f ca="1">RANK(AB2248,OFFSET($AB$2,0,0,#REF!,1))</f>
        <v>#REF!</v>
      </c>
      <c r="AD2248" s="4" t="e">
        <f>InsurerSize(#REF!)</f>
        <v>#VALUE!</v>
      </c>
      <c r="AE2248" s="4" t="e">
        <f t="shared" si="47"/>
        <v>#VALUE!</v>
      </c>
    </row>
    <row r="2249" spans="8:31" x14ac:dyDescent="0.2"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AC2249" t="e">
        <f ca="1">RANK(AB2249,OFFSET($AB$2,0,0,#REF!,1))</f>
        <v>#REF!</v>
      </c>
      <c r="AD2249" s="4" t="e">
        <f>InsurerSize(#REF!)</f>
        <v>#VALUE!</v>
      </c>
      <c r="AE2249" s="4" t="e">
        <f t="shared" si="47"/>
        <v>#VALUE!</v>
      </c>
    </row>
    <row r="2250" spans="8:31" x14ac:dyDescent="0.2"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AC2250" t="e">
        <f ca="1">RANK(AB2250,OFFSET($AB$2,0,0,#REF!,1))</f>
        <v>#REF!</v>
      </c>
      <c r="AD2250" s="4" t="e">
        <f>InsurerSize(#REF!)</f>
        <v>#VALUE!</v>
      </c>
      <c r="AE2250" s="4" t="e">
        <f t="shared" si="47"/>
        <v>#VALUE!</v>
      </c>
    </row>
    <row r="2251" spans="8:31" x14ac:dyDescent="0.2"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AC2251" t="e">
        <f ca="1">RANK(AB2251,OFFSET($AB$2,0,0,#REF!,1))</f>
        <v>#REF!</v>
      </c>
      <c r="AD2251" s="4" t="e">
        <f>InsurerSize(#REF!)</f>
        <v>#VALUE!</v>
      </c>
      <c r="AE2251" s="4" t="e">
        <f t="shared" si="47"/>
        <v>#VALUE!</v>
      </c>
    </row>
    <row r="2252" spans="8:31" x14ac:dyDescent="0.2"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AC2252" t="e">
        <f ca="1">RANK(AB2252,OFFSET($AB$2,0,0,#REF!,1))</f>
        <v>#REF!</v>
      </c>
      <c r="AD2252" s="4" t="e">
        <f>InsurerSize(#REF!)</f>
        <v>#VALUE!</v>
      </c>
      <c r="AE2252" s="4" t="e">
        <f t="shared" si="47"/>
        <v>#VALUE!</v>
      </c>
    </row>
    <row r="2253" spans="8:31" x14ac:dyDescent="0.2"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AC2253" t="e">
        <f ca="1">RANK(AB2253,OFFSET($AB$2,0,0,#REF!,1))</f>
        <v>#REF!</v>
      </c>
      <c r="AD2253" s="4" t="e">
        <f>InsurerSize(#REF!)</f>
        <v>#VALUE!</v>
      </c>
      <c r="AE2253" s="4" t="e">
        <f t="shared" si="47"/>
        <v>#VALUE!</v>
      </c>
    </row>
    <row r="2254" spans="8:31" x14ac:dyDescent="0.2"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AC2254" t="e">
        <f ca="1">RANK(AB2254,OFFSET($AB$2,0,0,#REF!,1))</f>
        <v>#REF!</v>
      </c>
      <c r="AD2254" s="4" t="e">
        <f>InsurerSize(#REF!)</f>
        <v>#VALUE!</v>
      </c>
      <c r="AE2254" s="4" t="e">
        <f t="shared" si="47"/>
        <v>#VALUE!</v>
      </c>
    </row>
    <row r="2255" spans="8:31" x14ac:dyDescent="0.2"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AC2255" t="e">
        <f ca="1">RANK(AB2255,OFFSET($AB$2,0,0,#REF!,1))</f>
        <v>#REF!</v>
      </c>
      <c r="AD2255" s="4" t="e">
        <f>InsurerSize(#REF!)</f>
        <v>#VALUE!</v>
      </c>
      <c r="AE2255" s="4" t="e">
        <f t="shared" si="47"/>
        <v>#VALUE!</v>
      </c>
    </row>
    <row r="2256" spans="8:31" x14ac:dyDescent="0.2"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AC2256" t="e">
        <f ca="1">RANK(AB2256,OFFSET($AB$2,0,0,#REF!,1))</f>
        <v>#REF!</v>
      </c>
      <c r="AD2256" s="4" t="e">
        <f>InsurerSize(#REF!)</f>
        <v>#VALUE!</v>
      </c>
      <c r="AE2256" s="4" t="e">
        <f t="shared" si="47"/>
        <v>#VALUE!</v>
      </c>
    </row>
    <row r="2257" spans="8:31" x14ac:dyDescent="0.2"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AC2257" t="e">
        <f ca="1">RANK(AB2257,OFFSET($AB$2,0,0,#REF!,1))</f>
        <v>#REF!</v>
      </c>
      <c r="AD2257" s="4" t="e">
        <f>InsurerSize(#REF!)</f>
        <v>#VALUE!</v>
      </c>
      <c r="AE2257" s="4" t="e">
        <f t="shared" si="47"/>
        <v>#VALUE!</v>
      </c>
    </row>
    <row r="2258" spans="8:31" x14ac:dyDescent="0.2"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AC2258" t="e">
        <f ca="1">RANK(AB2258,OFFSET($AB$2,0,0,#REF!,1))</f>
        <v>#REF!</v>
      </c>
      <c r="AD2258" s="4" t="e">
        <f>InsurerSize(#REF!)</f>
        <v>#VALUE!</v>
      </c>
      <c r="AE2258" s="4" t="e">
        <f t="shared" si="47"/>
        <v>#VALUE!</v>
      </c>
    </row>
    <row r="2259" spans="8:31" x14ac:dyDescent="0.2"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AC2259" t="e">
        <f ca="1">RANK(AB2259,OFFSET($AB$2,0,0,#REF!,1))</f>
        <v>#REF!</v>
      </c>
      <c r="AD2259" s="4" t="e">
        <f>InsurerSize(#REF!)</f>
        <v>#VALUE!</v>
      </c>
      <c r="AE2259" s="4" t="e">
        <f t="shared" si="47"/>
        <v>#VALUE!</v>
      </c>
    </row>
    <row r="2260" spans="8:31" x14ac:dyDescent="0.2"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AC2260" t="e">
        <f ca="1">RANK(AB2260,OFFSET($AB$2,0,0,#REF!,1))</f>
        <v>#REF!</v>
      </c>
      <c r="AD2260" s="4" t="e">
        <f>InsurerSize(#REF!)</f>
        <v>#VALUE!</v>
      </c>
      <c r="AE2260" s="4" t="e">
        <f t="shared" si="47"/>
        <v>#VALUE!</v>
      </c>
    </row>
    <row r="2261" spans="8:31" x14ac:dyDescent="0.2"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AC2261" t="e">
        <f ca="1">RANK(AB2261,OFFSET($AB$2,0,0,#REF!,1))</f>
        <v>#REF!</v>
      </c>
      <c r="AD2261" s="4" t="e">
        <f>InsurerSize(#REF!)</f>
        <v>#VALUE!</v>
      </c>
      <c r="AE2261" s="4" t="e">
        <f t="shared" si="47"/>
        <v>#VALUE!</v>
      </c>
    </row>
    <row r="2262" spans="8:31" x14ac:dyDescent="0.2"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AC2262" t="e">
        <f ca="1">RANK(AB2262,OFFSET($AB$2,0,0,#REF!,1))</f>
        <v>#REF!</v>
      </c>
      <c r="AD2262" s="4" t="e">
        <f>InsurerSize(#REF!)</f>
        <v>#VALUE!</v>
      </c>
      <c r="AE2262" s="4" t="e">
        <f t="shared" si="47"/>
        <v>#VALUE!</v>
      </c>
    </row>
    <row r="2263" spans="8:31" x14ac:dyDescent="0.2"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AC2263" t="e">
        <f ca="1">RANK(AB2263,OFFSET($AB$2,0,0,#REF!,1))</f>
        <v>#REF!</v>
      </c>
      <c r="AD2263" s="4" t="e">
        <f>InsurerSize(#REF!)</f>
        <v>#VALUE!</v>
      </c>
      <c r="AE2263" s="4" t="e">
        <f t="shared" si="47"/>
        <v>#VALUE!</v>
      </c>
    </row>
    <row r="2264" spans="8:31" x14ac:dyDescent="0.2"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AC2264" t="e">
        <f ca="1">RANK(AB2264,OFFSET($AB$2,0,0,#REF!,1))</f>
        <v>#REF!</v>
      </c>
      <c r="AD2264" s="4" t="e">
        <f>InsurerSize(#REF!)</f>
        <v>#VALUE!</v>
      </c>
      <c r="AE2264" s="4" t="e">
        <f t="shared" si="47"/>
        <v>#VALUE!</v>
      </c>
    </row>
    <row r="2265" spans="8:31" x14ac:dyDescent="0.2"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AC2265" t="e">
        <f ca="1">RANK(AB2265,OFFSET($AB$2,0,0,#REF!,1))</f>
        <v>#REF!</v>
      </c>
      <c r="AD2265" s="4" t="e">
        <f>InsurerSize(#REF!)</f>
        <v>#VALUE!</v>
      </c>
      <c r="AE2265" s="4" t="e">
        <f t="shared" si="47"/>
        <v>#VALUE!</v>
      </c>
    </row>
    <row r="2266" spans="8:31" x14ac:dyDescent="0.2"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AC2266" t="e">
        <f ca="1">RANK(AB2266,OFFSET($AB$2,0,0,#REF!,1))</f>
        <v>#REF!</v>
      </c>
      <c r="AD2266" s="4" t="e">
        <f>InsurerSize(#REF!)</f>
        <v>#VALUE!</v>
      </c>
      <c r="AE2266" s="4" t="e">
        <f t="shared" si="47"/>
        <v>#VALUE!</v>
      </c>
    </row>
    <row r="2267" spans="8:31" x14ac:dyDescent="0.2"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AC2267" t="e">
        <f ca="1">RANK(AB2267,OFFSET($AB$2,0,0,#REF!,1))</f>
        <v>#REF!</v>
      </c>
      <c r="AD2267" s="4" t="e">
        <f>InsurerSize(#REF!)</f>
        <v>#VALUE!</v>
      </c>
      <c r="AE2267" s="4" t="e">
        <f t="shared" si="47"/>
        <v>#VALUE!</v>
      </c>
    </row>
    <row r="2268" spans="8:31" x14ac:dyDescent="0.2"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AC2268" t="e">
        <f ca="1">RANK(AB2268,OFFSET($AB$2,0,0,#REF!,1))</f>
        <v>#REF!</v>
      </c>
      <c r="AD2268" s="4" t="e">
        <f>InsurerSize(#REF!)</f>
        <v>#VALUE!</v>
      </c>
      <c r="AE2268" s="4" t="e">
        <f t="shared" si="47"/>
        <v>#VALUE!</v>
      </c>
    </row>
    <row r="2269" spans="8:31" x14ac:dyDescent="0.2"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AC2269" t="e">
        <f ca="1">RANK(AB2269,OFFSET($AB$2,0,0,#REF!,1))</f>
        <v>#REF!</v>
      </c>
      <c r="AD2269" s="4" t="e">
        <f>InsurerSize(#REF!)</f>
        <v>#VALUE!</v>
      </c>
      <c r="AE2269" s="4" t="e">
        <f t="shared" si="47"/>
        <v>#VALUE!</v>
      </c>
    </row>
    <row r="2270" spans="8:31" x14ac:dyDescent="0.2"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AC2270" t="e">
        <f ca="1">RANK(AB2270,OFFSET($AB$2,0,0,#REF!,1))</f>
        <v>#REF!</v>
      </c>
      <c r="AD2270" s="4" t="e">
        <f>InsurerSize(#REF!)</f>
        <v>#VALUE!</v>
      </c>
      <c r="AE2270" s="4" t="e">
        <f t="shared" si="47"/>
        <v>#VALUE!</v>
      </c>
    </row>
    <row r="2271" spans="8:31" x14ac:dyDescent="0.2"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AC2271" t="e">
        <f ca="1">RANK(AB2271,OFFSET($AB$2,0,0,#REF!,1))</f>
        <v>#REF!</v>
      </c>
      <c r="AD2271" s="4" t="e">
        <f>InsurerSize(#REF!)</f>
        <v>#VALUE!</v>
      </c>
      <c r="AE2271" s="4" t="e">
        <f t="shared" si="47"/>
        <v>#VALUE!</v>
      </c>
    </row>
    <row r="2272" spans="8:31" x14ac:dyDescent="0.2"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AC2272" t="e">
        <f ca="1">RANK(AB2272,OFFSET($AB$2,0,0,#REF!,1))</f>
        <v>#REF!</v>
      </c>
      <c r="AD2272" s="4" t="e">
        <f>InsurerSize(#REF!)</f>
        <v>#VALUE!</v>
      </c>
      <c r="AE2272" s="4" t="e">
        <f t="shared" si="47"/>
        <v>#VALUE!</v>
      </c>
    </row>
    <row r="2273" spans="8:31" x14ac:dyDescent="0.2"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AC2273" t="e">
        <f ca="1">RANK(AB2273,OFFSET($AB$2,0,0,#REF!,1))</f>
        <v>#REF!</v>
      </c>
      <c r="AD2273" s="4" t="e">
        <f>InsurerSize(#REF!)</f>
        <v>#VALUE!</v>
      </c>
      <c r="AE2273" s="4" t="e">
        <f t="shared" si="47"/>
        <v>#VALUE!</v>
      </c>
    </row>
    <row r="2274" spans="8:31" x14ac:dyDescent="0.2"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AC2274" t="e">
        <f ca="1">RANK(AB2274,OFFSET($AB$2,0,0,#REF!,1))</f>
        <v>#REF!</v>
      </c>
      <c r="AD2274" s="4" t="e">
        <f>InsurerSize(#REF!)</f>
        <v>#VALUE!</v>
      </c>
      <c r="AE2274" s="4" t="e">
        <f t="shared" si="47"/>
        <v>#VALUE!</v>
      </c>
    </row>
    <row r="2275" spans="8:31" x14ac:dyDescent="0.2"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AC2275" t="e">
        <f ca="1">RANK(AB2275,OFFSET($AB$2,0,0,#REF!,1))</f>
        <v>#REF!</v>
      </c>
      <c r="AD2275" s="4" t="e">
        <f>InsurerSize(#REF!)</f>
        <v>#VALUE!</v>
      </c>
      <c r="AE2275" s="4" t="e">
        <f t="shared" si="47"/>
        <v>#VALUE!</v>
      </c>
    </row>
    <row r="2276" spans="8:31" x14ac:dyDescent="0.2"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AC2276" t="e">
        <f ca="1">RANK(AB2276,OFFSET($AB$2,0,0,#REF!,1))</f>
        <v>#REF!</v>
      </c>
      <c r="AD2276" s="4" t="e">
        <f>InsurerSize(#REF!)</f>
        <v>#VALUE!</v>
      </c>
      <c r="AE2276" s="4" t="e">
        <f t="shared" si="47"/>
        <v>#VALUE!</v>
      </c>
    </row>
    <row r="2277" spans="8:31" x14ac:dyDescent="0.2"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AC2277" t="e">
        <f ca="1">RANK(AB2277,OFFSET($AB$2,0,0,#REF!,1))</f>
        <v>#REF!</v>
      </c>
      <c r="AD2277" s="4" t="e">
        <f>InsurerSize(#REF!)</f>
        <v>#VALUE!</v>
      </c>
      <c r="AE2277" s="4" t="e">
        <f t="shared" si="47"/>
        <v>#VALUE!</v>
      </c>
    </row>
    <row r="2278" spans="8:31" x14ac:dyDescent="0.2"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AC2278" t="e">
        <f ca="1">RANK(AB2278,OFFSET($AB$2,0,0,#REF!,1))</f>
        <v>#REF!</v>
      </c>
      <c r="AD2278" s="4" t="e">
        <f>InsurerSize(#REF!)</f>
        <v>#VALUE!</v>
      </c>
      <c r="AE2278" s="4" t="e">
        <f t="shared" si="47"/>
        <v>#VALUE!</v>
      </c>
    </row>
    <row r="2279" spans="8:31" x14ac:dyDescent="0.2"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AC2279" t="e">
        <f ca="1">RANK(AB2279,OFFSET($AB$2,0,0,#REF!,1))</f>
        <v>#REF!</v>
      </c>
      <c r="AD2279" s="4" t="e">
        <f>InsurerSize(#REF!)</f>
        <v>#VALUE!</v>
      </c>
      <c r="AE2279" s="4" t="e">
        <f t="shared" si="47"/>
        <v>#VALUE!</v>
      </c>
    </row>
    <row r="2280" spans="8:31" x14ac:dyDescent="0.2"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AC2280" t="e">
        <f ca="1">RANK(AB2280,OFFSET($AB$2,0,0,#REF!,1))</f>
        <v>#REF!</v>
      </c>
      <c r="AD2280" s="4" t="e">
        <f>InsurerSize(#REF!)</f>
        <v>#VALUE!</v>
      </c>
      <c r="AE2280" s="4" t="e">
        <f t="shared" si="47"/>
        <v>#VALUE!</v>
      </c>
    </row>
    <row r="2281" spans="8:31" x14ac:dyDescent="0.2"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AC2281" t="e">
        <f ca="1">RANK(AB2281,OFFSET($AB$2,0,0,#REF!,1))</f>
        <v>#REF!</v>
      </c>
      <c r="AD2281" s="4" t="e">
        <f>InsurerSize(#REF!)</f>
        <v>#VALUE!</v>
      </c>
      <c r="AE2281" s="4" t="e">
        <f t="shared" si="47"/>
        <v>#VALUE!</v>
      </c>
    </row>
    <row r="2282" spans="8:31" x14ac:dyDescent="0.2"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AC2282" t="e">
        <f ca="1">RANK(AB2282,OFFSET($AB$2,0,0,#REF!,1))</f>
        <v>#REF!</v>
      </c>
      <c r="AD2282" s="4" t="e">
        <f>InsurerSize(#REF!)</f>
        <v>#VALUE!</v>
      </c>
      <c r="AE2282" s="4" t="e">
        <f t="shared" si="47"/>
        <v>#VALUE!</v>
      </c>
    </row>
    <row r="2283" spans="8:31" x14ac:dyDescent="0.2"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AC2283" t="e">
        <f ca="1">RANK(AB2283,OFFSET($AB$2,0,0,#REF!,1))</f>
        <v>#REF!</v>
      </c>
      <c r="AD2283" s="4" t="e">
        <f>InsurerSize(#REF!)</f>
        <v>#VALUE!</v>
      </c>
      <c r="AE2283" s="4" t="e">
        <f t="shared" si="47"/>
        <v>#VALUE!</v>
      </c>
    </row>
    <row r="2284" spans="8:31" x14ac:dyDescent="0.2"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AC2284" t="e">
        <f ca="1">RANK(AB2284,OFFSET($AB$2,0,0,#REF!,1))</f>
        <v>#REF!</v>
      </c>
      <c r="AD2284" s="4" t="e">
        <f>InsurerSize(#REF!)</f>
        <v>#VALUE!</v>
      </c>
      <c r="AE2284" s="4" t="e">
        <f t="shared" si="47"/>
        <v>#VALUE!</v>
      </c>
    </row>
    <row r="2285" spans="8:31" x14ac:dyDescent="0.2"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AC2285" t="e">
        <f ca="1">RANK(AB2285,OFFSET($AB$2,0,0,#REF!,1))</f>
        <v>#REF!</v>
      </c>
      <c r="AD2285" s="4" t="e">
        <f>InsurerSize(#REF!)</f>
        <v>#VALUE!</v>
      </c>
      <c r="AE2285" s="4" t="e">
        <f t="shared" si="47"/>
        <v>#VALUE!</v>
      </c>
    </row>
    <row r="2286" spans="8:31" x14ac:dyDescent="0.2"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AC2286" t="e">
        <f ca="1">RANK(AB2286,OFFSET($AB$2,0,0,#REF!,1))</f>
        <v>#REF!</v>
      </c>
      <c r="AD2286" s="4" t="e">
        <f>InsurerSize(#REF!)</f>
        <v>#VALUE!</v>
      </c>
      <c r="AE2286" s="4" t="e">
        <f t="shared" si="47"/>
        <v>#VALUE!</v>
      </c>
    </row>
    <row r="2287" spans="8:31" x14ac:dyDescent="0.2"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AC2287" t="e">
        <f ca="1">RANK(AB2287,OFFSET($AB$2,0,0,#REF!,1))</f>
        <v>#REF!</v>
      </c>
      <c r="AD2287" s="4" t="e">
        <f>InsurerSize(#REF!)</f>
        <v>#VALUE!</v>
      </c>
      <c r="AE2287" s="4" t="e">
        <f t="shared" si="47"/>
        <v>#VALUE!</v>
      </c>
    </row>
    <row r="2288" spans="8:31" x14ac:dyDescent="0.2"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AC2288" t="e">
        <f ca="1">RANK(AB2288,OFFSET($AB$2,0,0,#REF!,1))</f>
        <v>#REF!</v>
      </c>
      <c r="AD2288" s="4" t="e">
        <f>InsurerSize(#REF!)</f>
        <v>#VALUE!</v>
      </c>
      <c r="AE2288" s="4" t="e">
        <f t="shared" si="47"/>
        <v>#VALUE!</v>
      </c>
    </row>
    <row r="2289" spans="8:31" x14ac:dyDescent="0.2"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AC2289" t="e">
        <f ca="1">RANK(AB2289,OFFSET($AB$2,0,0,#REF!,1))</f>
        <v>#REF!</v>
      </c>
      <c r="AD2289" s="4" t="e">
        <f>InsurerSize(#REF!)</f>
        <v>#VALUE!</v>
      </c>
      <c r="AE2289" s="4" t="e">
        <f t="shared" si="47"/>
        <v>#VALUE!</v>
      </c>
    </row>
    <row r="2290" spans="8:31" x14ac:dyDescent="0.2"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AC2290" t="e">
        <f ca="1">RANK(AB2290,OFFSET($AB$2,0,0,#REF!,1))</f>
        <v>#REF!</v>
      </c>
      <c r="AD2290" s="4" t="e">
        <f>InsurerSize(#REF!)</f>
        <v>#VALUE!</v>
      </c>
      <c r="AE2290" s="4" t="e">
        <f t="shared" si="47"/>
        <v>#VALUE!</v>
      </c>
    </row>
    <row r="2291" spans="8:31" x14ac:dyDescent="0.2"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AC2291" t="e">
        <f ca="1">RANK(AB2291,OFFSET($AB$2,0,0,#REF!,1))</f>
        <v>#REF!</v>
      </c>
      <c r="AD2291" s="4" t="e">
        <f>InsurerSize(#REF!)</f>
        <v>#VALUE!</v>
      </c>
      <c r="AE2291" s="4" t="e">
        <f t="shared" si="47"/>
        <v>#VALUE!</v>
      </c>
    </row>
    <row r="2292" spans="8:31" x14ac:dyDescent="0.2"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AC2292" t="e">
        <f ca="1">RANK(AB2292,OFFSET($AB$2,0,0,#REF!,1))</f>
        <v>#REF!</v>
      </c>
      <c r="AD2292" s="4" t="e">
        <f>InsurerSize(#REF!)</f>
        <v>#VALUE!</v>
      </c>
      <c r="AE2292" s="4" t="e">
        <f t="shared" si="47"/>
        <v>#VALUE!</v>
      </c>
    </row>
    <row r="2293" spans="8:31" x14ac:dyDescent="0.2"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AC2293" t="e">
        <f ca="1">RANK(AB2293,OFFSET($AB$2,0,0,#REF!,1))</f>
        <v>#REF!</v>
      </c>
      <c r="AD2293" s="4" t="e">
        <f>InsurerSize(#REF!)</f>
        <v>#VALUE!</v>
      </c>
      <c r="AE2293" s="4" t="e">
        <f t="shared" si="47"/>
        <v>#VALUE!</v>
      </c>
    </row>
    <row r="2294" spans="8:31" x14ac:dyDescent="0.2"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AC2294" t="e">
        <f ca="1">RANK(AB2294,OFFSET($AB$2,0,0,#REF!,1))</f>
        <v>#REF!</v>
      </c>
      <c r="AD2294" s="4" t="e">
        <f>InsurerSize(#REF!)</f>
        <v>#VALUE!</v>
      </c>
      <c r="AE2294" s="4" t="e">
        <f t="shared" si="47"/>
        <v>#VALUE!</v>
      </c>
    </row>
    <row r="2295" spans="8:31" x14ac:dyDescent="0.2"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AC2295" t="e">
        <f ca="1">RANK(AB2295,OFFSET($AB$2,0,0,#REF!,1))</f>
        <v>#REF!</v>
      </c>
      <c r="AD2295" s="4" t="e">
        <f>InsurerSize(#REF!)</f>
        <v>#VALUE!</v>
      </c>
      <c r="AE2295" s="4" t="e">
        <f t="shared" si="47"/>
        <v>#VALUE!</v>
      </c>
    </row>
    <row r="2296" spans="8:31" x14ac:dyDescent="0.2"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AC2296" t="e">
        <f ca="1">RANK(AB2296,OFFSET($AB$2,0,0,#REF!,1))</f>
        <v>#REF!</v>
      </c>
      <c r="AD2296" s="4" t="e">
        <f>InsurerSize(#REF!)</f>
        <v>#VALUE!</v>
      </c>
      <c r="AE2296" s="4" t="e">
        <f t="shared" si="47"/>
        <v>#VALUE!</v>
      </c>
    </row>
    <row r="2297" spans="8:31" x14ac:dyDescent="0.2"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AC2297" t="e">
        <f ca="1">RANK(AB2297,OFFSET($AB$2,0,0,#REF!,1))</f>
        <v>#REF!</v>
      </c>
      <c r="AD2297" s="4" t="e">
        <f>InsurerSize(#REF!)</f>
        <v>#VALUE!</v>
      </c>
      <c r="AE2297" s="4" t="e">
        <f t="shared" si="47"/>
        <v>#VALUE!</v>
      </c>
    </row>
    <row r="2298" spans="8:31" x14ac:dyDescent="0.2"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AC2298" t="e">
        <f ca="1">RANK(AB2298,OFFSET($AB$2,0,0,#REF!,1))</f>
        <v>#REF!</v>
      </c>
      <c r="AD2298" s="4" t="e">
        <f>InsurerSize(#REF!)</f>
        <v>#VALUE!</v>
      </c>
      <c r="AE2298" s="4" t="e">
        <f t="shared" si="47"/>
        <v>#VALUE!</v>
      </c>
    </row>
    <row r="2299" spans="8:31" x14ac:dyDescent="0.2"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AC2299" t="e">
        <f ca="1">RANK(AB2299,OFFSET($AB$2,0,0,#REF!,1))</f>
        <v>#REF!</v>
      </c>
      <c r="AD2299" s="4" t="e">
        <f>InsurerSize(#REF!)</f>
        <v>#VALUE!</v>
      </c>
      <c r="AE2299" s="4" t="e">
        <f t="shared" si="47"/>
        <v>#VALUE!</v>
      </c>
    </row>
    <row r="2300" spans="8:31" x14ac:dyDescent="0.2"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AC2300" t="e">
        <f ca="1">RANK(AB2300,OFFSET($AB$2,0,0,#REF!,1))</f>
        <v>#REF!</v>
      </c>
      <c r="AD2300" s="4" t="e">
        <f>InsurerSize(#REF!)</f>
        <v>#VALUE!</v>
      </c>
      <c r="AE2300" s="4" t="e">
        <f t="shared" si="47"/>
        <v>#VALUE!</v>
      </c>
    </row>
    <row r="2301" spans="8:31" x14ac:dyDescent="0.2"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AC2301" t="e">
        <f ca="1">RANK(AB2301,OFFSET($AB$2,0,0,#REF!,1))</f>
        <v>#REF!</v>
      </c>
      <c r="AD2301" s="4" t="e">
        <f>InsurerSize(#REF!)</f>
        <v>#VALUE!</v>
      </c>
      <c r="AE2301" s="4" t="e">
        <f t="shared" si="47"/>
        <v>#VALUE!</v>
      </c>
    </row>
    <row r="2302" spans="8:31" x14ac:dyDescent="0.2"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AC2302" t="e">
        <f ca="1">RANK(AB2302,OFFSET($AB$2,0,0,#REF!,1))</f>
        <v>#REF!</v>
      </c>
      <c r="AD2302" s="4" t="e">
        <f>InsurerSize(#REF!)</f>
        <v>#VALUE!</v>
      </c>
      <c r="AE2302" s="4" t="e">
        <f t="shared" si="47"/>
        <v>#VALUE!</v>
      </c>
    </row>
    <row r="2303" spans="8:31" x14ac:dyDescent="0.2"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AC2303" t="e">
        <f ca="1">RANK(AB2303,OFFSET($AB$2,0,0,#REF!,1))</f>
        <v>#REF!</v>
      </c>
      <c r="AD2303" s="4" t="e">
        <f>InsurerSize(#REF!)</f>
        <v>#VALUE!</v>
      </c>
      <c r="AE2303" s="4" t="e">
        <f t="shared" si="47"/>
        <v>#VALUE!</v>
      </c>
    </row>
    <row r="2304" spans="8:31" x14ac:dyDescent="0.2"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AC2304" t="e">
        <f ca="1">RANK(AB2304,OFFSET($AB$2,0,0,#REF!,1))</f>
        <v>#REF!</v>
      </c>
      <c r="AD2304" s="4" t="e">
        <f>InsurerSize(#REF!)</f>
        <v>#VALUE!</v>
      </c>
      <c r="AE2304" s="4" t="e">
        <f t="shared" si="47"/>
        <v>#VALUE!</v>
      </c>
    </row>
    <row r="2305" spans="8:31" x14ac:dyDescent="0.2"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AC2305" t="e">
        <f ca="1">RANK(AB2305,OFFSET($AB$2,0,0,#REF!,1))</f>
        <v>#REF!</v>
      </c>
      <c r="AD2305" s="4" t="e">
        <f>InsurerSize(#REF!)</f>
        <v>#VALUE!</v>
      </c>
      <c r="AE2305" s="4" t="e">
        <f t="shared" si="47"/>
        <v>#VALUE!</v>
      </c>
    </row>
    <row r="2306" spans="8:31" x14ac:dyDescent="0.2"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AC2306" t="e">
        <f ca="1">RANK(AB2306,OFFSET($AB$2,0,0,#REF!,1))</f>
        <v>#REF!</v>
      </c>
      <c r="AD2306" s="4" t="e">
        <f>InsurerSize(#REF!)</f>
        <v>#VALUE!</v>
      </c>
      <c r="AE2306" s="4" t="e">
        <f t="shared" ref="AE2306:AE2369" si="48">A2306&amp;AD2306</f>
        <v>#VALUE!</v>
      </c>
    </row>
    <row r="2307" spans="8:31" x14ac:dyDescent="0.2"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AC2307" t="e">
        <f ca="1">RANK(AB2307,OFFSET($AB$2,0,0,#REF!,1))</f>
        <v>#REF!</v>
      </c>
      <c r="AD2307" s="4" t="e">
        <f>InsurerSize(#REF!)</f>
        <v>#VALUE!</v>
      </c>
      <c r="AE2307" s="4" t="e">
        <f t="shared" si="48"/>
        <v>#VALUE!</v>
      </c>
    </row>
    <row r="2308" spans="8:31" x14ac:dyDescent="0.2"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AC2308" t="e">
        <f ca="1">RANK(AB2308,OFFSET($AB$2,0,0,#REF!,1))</f>
        <v>#REF!</v>
      </c>
      <c r="AD2308" s="4" t="e">
        <f>InsurerSize(#REF!)</f>
        <v>#VALUE!</v>
      </c>
      <c r="AE2308" s="4" t="e">
        <f t="shared" si="48"/>
        <v>#VALUE!</v>
      </c>
    </row>
    <row r="2309" spans="8:31" x14ac:dyDescent="0.2"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AC2309" t="e">
        <f ca="1">RANK(AB2309,OFFSET($AB$2,0,0,#REF!,1))</f>
        <v>#REF!</v>
      </c>
      <c r="AD2309" s="4" t="e">
        <f>InsurerSize(#REF!)</f>
        <v>#VALUE!</v>
      </c>
      <c r="AE2309" s="4" t="e">
        <f t="shared" si="48"/>
        <v>#VALUE!</v>
      </c>
    </row>
    <row r="2310" spans="8:31" x14ac:dyDescent="0.2"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AC2310" t="e">
        <f ca="1">RANK(AB2310,OFFSET($AB$2,0,0,#REF!,1))</f>
        <v>#REF!</v>
      </c>
      <c r="AD2310" s="4" t="e">
        <f>InsurerSize(#REF!)</f>
        <v>#VALUE!</v>
      </c>
      <c r="AE2310" s="4" t="e">
        <f t="shared" si="48"/>
        <v>#VALUE!</v>
      </c>
    </row>
    <row r="2311" spans="8:31" x14ac:dyDescent="0.2"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AC2311" t="e">
        <f ca="1">RANK(AB2311,OFFSET($AB$2,0,0,#REF!,1))</f>
        <v>#REF!</v>
      </c>
      <c r="AD2311" s="4" t="e">
        <f>InsurerSize(#REF!)</f>
        <v>#VALUE!</v>
      </c>
      <c r="AE2311" s="4" t="e">
        <f t="shared" si="48"/>
        <v>#VALUE!</v>
      </c>
    </row>
    <row r="2312" spans="8:31" x14ac:dyDescent="0.2"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AC2312" t="e">
        <f ca="1">RANK(AB2312,OFFSET($AB$2,0,0,#REF!,1))</f>
        <v>#REF!</v>
      </c>
      <c r="AD2312" s="4" t="e">
        <f>InsurerSize(#REF!)</f>
        <v>#VALUE!</v>
      </c>
      <c r="AE2312" s="4" t="e">
        <f t="shared" si="48"/>
        <v>#VALUE!</v>
      </c>
    </row>
    <row r="2313" spans="8:31" x14ac:dyDescent="0.2"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AC2313" t="e">
        <f ca="1">RANK(AB2313,OFFSET($AB$2,0,0,#REF!,1))</f>
        <v>#REF!</v>
      </c>
      <c r="AD2313" s="4" t="e">
        <f>InsurerSize(#REF!)</f>
        <v>#VALUE!</v>
      </c>
      <c r="AE2313" s="4" t="e">
        <f t="shared" si="48"/>
        <v>#VALUE!</v>
      </c>
    </row>
    <row r="2314" spans="8:31" x14ac:dyDescent="0.2"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AC2314" t="e">
        <f ca="1">RANK(AB2314,OFFSET($AB$2,0,0,#REF!,1))</f>
        <v>#REF!</v>
      </c>
      <c r="AD2314" s="4" t="e">
        <f>InsurerSize(#REF!)</f>
        <v>#VALUE!</v>
      </c>
      <c r="AE2314" s="4" t="e">
        <f t="shared" si="48"/>
        <v>#VALUE!</v>
      </c>
    </row>
    <row r="2315" spans="8:31" x14ac:dyDescent="0.2"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AC2315" t="e">
        <f ca="1">RANK(AB2315,OFFSET($AB$2,0,0,#REF!,1))</f>
        <v>#REF!</v>
      </c>
      <c r="AD2315" s="4" t="e">
        <f>InsurerSize(#REF!)</f>
        <v>#VALUE!</v>
      </c>
      <c r="AE2315" s="4" t="e">
        <f t="shared" si="48"/>
        <v>#VALUE!</v>
      </c>
    </row>
    <row r="2316" spans="8:31" x14ac:dyDescent="0.2"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AC2316" t="e">
        <f ca="1">RANK(AB2316,OFFSET($AB$2,0,0,#REF!,1))</f>
        <v>#REF!</v>
      </c>
      <c r="AD2316" s="4" t="e">
        <f>InsurerSize(#REF!)</f>
        <v>#VALUE!</v>
      </c>
      <c r="AE2316" s="4" t="e">
        <f t="shared" si="48"/>
        <v>#VALUE!</v>
      </c>
    </row>
    <row r="2317" spans="8:31" x14ac:dyDescent="0.2"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AC2317" t="e">
        <f ca="1">RANK(AB2317,OFFSET($AB$2,0,0,#REF!,1))</f>
        <v>#REF!</v>
      </c>
      <c r="AD2317" s="4" t="e">
        <f>InsurerSize(#REF!)</f>
        <v>#VALUE!</v>
      </c>
      <c r="AE2317" s="4" t="e">
        <f t="shared" si="48"/>
        <v>#VALUE!</v>
      </c>
    </row>
    <row r="2318" spans="8:31" x14ac:dyDescent="0.2"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AC2318" t="e">
        <f ca="1">RANK(AB2318,OFFSET($AB$2,0,0,#REF!,1))</f>
        <v>#REF!</v>
      </c>
      <c r="AD2318" s="4" t="e">
        <f>InsurerSize(#REF!)</f>
        <v>#VALUE!</v>
      </c>
      <c r="AE2318" s="4" t="e">
        <f t="shared" si="48"/>
        <v>#VALUE!</v>
      </c>
    </row>
    <row r="2319" spans="8:31" x14ac:dyDescent="0.2"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AC2319" t="e">
        <f ca="1">RANK(AB2319,OFFSET($AB$2,0,0,#REF!,1))</f>
        <v>#REF!</v>
      </c>
      <c r="AD2319" s="4" t="e">
        <f>InsurerSize(#REF!)</f>
        <v>#VALUE!</v>
      </c>
      <c r="AE2319" s="4" t="e">
        <f t="shared" si="48"/>
        <v>#VALUE!</v>
      </c>
    </row>
    <row r="2320" spans="8:31" x14ac:dyDescent="0.2"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AC2320" t="e">
        <f ca="1">RANK(AB2320,OFFSET($AB$2,0,0,#REF!,1))</f>
        <v>#REF!</v>
      </c>
      <c r="AD2320" s="4" t="e">
        <f>InsurerSize(#REF!)</f>
        <v>#VALUE!</v>
      </c>
      <c r="AE2320" s="4" t="e">
        <f t="shared" si="48"/>
        <v>#VALUE!</v>
      </c>
    </row>
    <row r="2321" spans="8:31" x14ac:dyDescent="0.2"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AC2321" t="e">
        <f ca="1">RANK(AB2321,OFFSET($AB$2,0,0,#REF!,1))</f>
        <v>#REF!</v>
      </c>
      <c r="AD2321" s="4" t="e">
        <f>InsurerSize(#REF!)</f>
        <v>#VALUE!</v>
      </c>
      <c r="AE2321" s="4" t="e">
        <f t="shared" si="48"/>
        <v>#VALUE!</v>
      </c>
    </row>
    <row r="2322" spans="8:31" x14ac:dyDescent="0.2"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AC2322" t="e">
        <f ca="1">RANK(AB2322,OFFSET($AB$2,0,0,#REF!,1))</f>
        <v>#REF!</v>
      </c>
      <c r="AD2322" s="4" t="e">
        <f>InsurerSize(#REF!)</f>
        <v>#VALUE!</v>
      </c>
      <c r="AE2322" s="4" t="e">
        <f t="shared" si="48"/>
        <v>#VALUE!</v>
      </c>
    </row>
    <row r="2323" spans="8:31" x14ac:dyDescent="0.2"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AC2323" t="e">
        <f ca="1">RANK(AB2323,OFFSET($AB$2,0,0,#REF!,1))</f>
        <v>#REF!</v>
      </c>
      <c r="AD2323" s="4" t="e">
        <f>InsurerSize(#REF!)</f>
        <v>#VALUE!</v>
      </c>
      <c r="AE2323" s="4" t="e">
        <f t="shared" si="48"/>
        <v>#VALUE!</v>
      </c>
    </row>
    <row r="2324" spans="8:31" x14ac:dyDescent="0.2"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AC2324" t="e">
        <f ca="1">RANK(AB2324,OFFSET($AB$2,0,0,#REF!,1))</f>
        <v>#REF!</v>
      </c>
      <c r="AD2324" s="4" t="e">
        <f>InsurerSize(#REF!)</f>
        <v>#VALUE!</v>
      </c>
      <c r="AE2324" s="4" t="e">
        <f t="shared" si="48"/>
        <v>#VALUE!</v>
      </c>
    </row>
    <row r="2325" spans="8:31" x14ac:dyDescent="0.2"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AC2325" t="e">
        <f ca="1">RANK(AB2325,OFFSET($AB$2,0,0,#REF!,1))</f>
        <v>#REF!</v>
      </c>
      <c r="AD2325" s="4" t="e">
        <f>InsurerSize(#REF!)</f>
        <v>#VALUE!</v>
      </c>
      <c r="AE2325" s="4" t="e">
        <f t="shared" si="48"/>
        <v>#VALUE!</v>
      </c>
    </row>
    <row r="2326" spans="8:31" x14ac:dyDescent="0.2"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AC2326" t="e">
        <f ca="1">RANK(AB2326,OFFSET($AB$2,0,0,#REF!,1))</f>
        <v>#REF!</v>
      </c>
      <c r="AD2326" s="4" t="e">
        <f>InsurerSize(#REF!)</f>
        <v>#VALUE!</v>
      </c>
      <c r="AE2326" s="4" t="e">
        <f t="shared" si="48"/>
        <v>#VALUE!</v>
      </c>
    </row>
    <row r="2327" spans="8:31" x14ac:dyDescent="0.2"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AC2327" t="e">
        <f ca="1">RANK(AB2327,OFFSET($AB$2,0,0,#REF!,1))</f>
        <v>#REF!</v>
      </c>
      <c r="AD2327" s="4" t="e">
        <f>InsurerSize(#REF!)</f>
        <v>#VALUE!</v>
      </c>
      <c r="AE2327" s="4" t="e">
        <f t="shared" si="48"/>
        <v>#VALUE!</v>
      </c>
    </row>
    <row r="2328" spans="8:31" x14ac:dyDescent="0.2"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AC2328" t="e">
        <f ca="1">RANK(AB2328,OFFSET($AB$2,0,0,#REF!,1))</f>
        <v>#REF!</v>
      </c>
      <c r="AD2328" s="4" t="e">
        <f>InsurerSize(#REF!)</f>
        <v>#VALUE!</v>
      </c>
      <c r="AE2328" s="4" t="e">
        <f t="shared" si="48"/>
        <v>#VALUE!</v>
      </c>
    </row>
    <row r="2329" spans="8:31" x14ac:dyDescent="0.2"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AC2329" t="e">
        <f ca="1">RANK(AB2329,OFFSET($AB$2,0,0,#REF!,1))</f>
        <v>#REF!</v>
      </c>
      <c r="AD2329" s="4" t="e">
        <f>InsurerSize(#REF!)</f>
        <v>#VALUE!</v>
      </c>
      <c r="AE2329" s="4" t="e">
        <f t="shared" si="48"/>
        <v>#VALUE!</v>
      </c>
    </row>
    <row r="2330" spans="8:31" x14ac:dyDescent="0.2"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AC2330" t="e">
        <f ca="1">RANK(AB2330,OFFSET($AB$2,0,0,#REF!,1))</f>
        <v>#REF!</v>
      </c>
      <c r="AD2330" s="4" t="e">
        <f>InsurerSize(#REF!)</f>
        <v>#VALUE!</v>
      </c>
      <c r="AE2330" s="4" t="e">
        <f t="shared" si="48"/>
        <v>#VALUE!</v>
      </c>
    </row>
    <row r="2331" spans="8:31" x14ac:dyDescent="0.2"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AC2331" t="e">
        <f ca="1">RANK(AB2331,OFFSET($AB$2,0,0,#REF!,1))</f>
        <v>#REF!</v>
      </c>
      <c r="AD2331" s="4" t="e">
        <f>InsurerSize(#REF!)</f>
        <v>#VALUE!</v>
      </c>
      <c r="AE2331" s="4" t="e">
        <f t="shared" si="48"/>
        <v>#VALUE!</v>
      </c>
    </row>
    <row r="2332" spans="8:31" x14ac:dyDescent="0.2"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AC2332" t="e">
        <f ca="1">RANK(AB2332,OFFSET($AB$2,0,0,#REF!,1))</f>
        <v>#REF!</v>
      </c>
      <c r="AD2332" s="4" t="e">
        <f>InsurerSize(#REF!)</f>
        <v>#VALUE!</v>
      </c>
      <c r="AE2332" s="4" t="e">
        <f t="shared" si="48"/>
        <v>#VALUE!</v>
      </c>
    </row>
    <row r="2333" spans="8:31" x14ac:dyDescent="0.2"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AC2333" t="e">
        <f ca="1">RANK(AB2333,OFFSET($AB$2,0,0,#REF!,1))</f>
        <v>#REF!</v>
      </c>
      <c r="AD2333" s="4" t="e">
        <f>InsurerSize(#REF!)</f>
        <v>#VALUE!</v>
      </c>
      <c r="AE2333" s="4" t="e">
        <f t="shared" si="48"/>
        <v>#VALUE!</v>
      </c>
    </row>
    <row r="2334" spans="8:31" x14ac:dyDescent="0.2"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AC2334" t="e">
        <f ca="1">RANK(AB2334,OFFSET($AB$2,0,0,#REF!,1))</f>
        <v>#REF!</v>
      </c>
      <c r="AD2334" s="4" t="e">
        <f>InsurerSize(#REF!)</f>
        <v>#VALUE!</v>
      </c>
      <c r="AE2334" s="4" t="e">
        <f t="shared" si="48"/>
        <v>#VALUE!</v>
      </c>
    </row>
    <row r="2335" spans="8:31" x14ac:dyDescent="0.2"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AC2335" t="e">
        <f ca="1">RANK(AB2335,OFFSET($AB$2,0,0,#REF!,1))</f>
        <v>#REF!</v>
      </c>
      <c r="AD2335" s="4" t="e">
        <f>InsurerSize(#REF!)</f>
        <v>#VALUE!</v>
      </c>
      <c r="AE2335" s="4" t="e">
        <f t="shared" si="48"/>
        <v>#VALUE!</v>
      </c>
    </row>
    <row r="2336" spans="8:31" x14ac:dyDescent="0.2"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AC2336" t="e">
        <f ca="1">RANK(AB2336,OFFSET($AB$2,0,0,#REF!,1))</f>
        <v>#REF!</v>
      </c>
      <c r="AD2336" s="4" t="e">
        <f>InsurerSize(#REF!)</f>
        <v>#VALUE!</v>
      </c>
      <c r="AE2336" s="4" t="e">
        <f t="shared" si="48"/>
        <v>#VALUE!</v>
      </c>
    </row>
    <row r="2337" spans="8:31" x14ac:dyDescent="0.2"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AC2337" t="e">
        <f ca="1">RANK(AB2337,OFFSET($AB$2,0,0,#REF!,1))</f>
        <v>#REF!</v>
      </c>
      <c r="AD2337" s="4" t="e">
        <f>InsurerSize(#REF!)</f>
        <v>#VALUE!</v>
      </c>
      <c r="AE2337" s="4" t="e">
        <f t="shared" si="48"/>
        <v>#VALUE!</v>
      </c>
    </row>
    <row r="2338" spans="8:31" x14ac:dyDescent="0.2"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AC2338" t="e">
        <f ca="1">RANK(AB2338,OFFSET($AB$2,0,0,#REF!,1))</f>
        <v>#REF!</v>
      </c>
      <c r="AD2338" s="4" t="e">
        <f>InsurerSize(#REF!)</f>
        <v>#VALUE!</v>
      </c>
      <c r="AE2338" s="4" t="e">
        <f t="shared" si="48"/>
        <v>#VALUE!</v>
      </c>
    </row>
    <row r="2339" spans="8:31" x14ac:dyDescent="0.2"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AC2339" t="e">
        <f ca="1">RANK(AB2339,OFFSET($AB$2,0,0,#REF!,1))</f>
        <v>#REF!</v>
      </c>
      <c r="AD2339" s="4" t="e">
        <f>InsurerSize(#REF!)</f>
        <v>#VALUE!</v>
      </c>
      <c r="AE2339" s="4" t="e">
        <f t="shared" si="48"/>
        <v>#VALUE!</v>
      </c>
    </row>
    <row r="2340" spans="8:31" x14ac:dyDescent="0.2"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AC2340" t="e">
        <f ca="1">RANK(AB2340,OFFSET($AB$2,0,0,#REF!,1))</f>
        <v>#REF!</v>
      </c>
      <c r="AD2340" s="4" t="e">
        <f>InsurerSize(#REF!)</f>
        <v>#VALUE!</v>
      </c>
      <c r="AE2340" s="4" t="e">
        <f t="shared" si="48"/>
        <v>#VALUE!</v>
      </c>
    </row>
    <row r="2341" spans="8:31" x14ac:dyDescent="0.2"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AC2341" t="e">
        <f ca="1">RANK(AB2341,OFFSET($AB$2,0,0,#REF!,1))</f>
        <v>#REF!</v>
      </c>
      <c r="AD2341" s="4" t="e">
        <f>InsurerSize(#REF!)</f>
        <v>#VALUE!</v>
      </c>
      <c r="AE2341" s="4" t="e">
        <f t="shared" si="48"/>
        <v>#VALUE!</v>
      </c>
    </row>
    <row r="2342" spans="8:31" x14ac:dyDescent="0.2"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AC2342" t="e">
        <f ca="1">RANK(AB2342,OFFSET($AB$2,0,0,#REF!,1))</f>
        <v>#REF!</v>
      </c>
      <c r="AD2342" s="4" t="e">
        <f>InsurerSize(#REF!)</f>
        <v>#VALUE!</v>
      </c>
      <c r="AE2342" s="4" t="e">
        <f t="shared" si="48"/>
        <v>#VALUE!</v>
      </c>
    </row>
    <row r="2343" spans="8:31" x14ac:dyDescent="0.2"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AC2343" t="e">
        <f ca="1">RANK(AB2343,OFFSET($AB$2,0,0,#REF!,1))</f>
        <v>#REF!</v>
      </c>
      <c r="AD2343" s="4" t="e">
        <f>InsurerSize(#REF!)</f>
        <v>#VALUE!</v>
      </c>
      <c r="AE2343" s="4" t="e">
        <f t="shared" si="48"/>
        <v>#VALUE!</v>
      </c>
    </row>
    <row r="2344" spans="8:31" x14ac:dyDescent="0.2"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AC2344" t="e">
        <f ca="1">RANK(AB2344,OFFSET($AB$2,0,0,#REF!,1))</f>
        <v>#REF!</v>
      </c>
      <c r="AD2344" s="4" t="e">
        <f>InsurerSize(#REF!)</f>
        <v>#VALUE!</v>
      </c>
      <c r="AE2344" s="4" t="e">
        <f t="shared" si="48"/>
        <v>#VALUE!</v>
      </c>
    </row>
    <row r="2345" spans="8:31" x14ac:dyDescent="0.2"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AC2345" t="e">
        <f ca="1">RANK(AB2345,OFFSET($AB$2,0,0,#REF!,1))</f>
        <v>#REF!</v>
      </c>
      <c r="AD2345" s="4" t="e">
        <f>InsurerSize(#REF!)</f>
        <v>#VALUE!</v>
      </c>
      <c r="AE2345" s="4" t="e">
        <f t="shared" si="48"/>
        <v>#VALUE!</v>
      </c>
    </row>
    <row r="2346" spans="8:31" x14ac:dyDescent="0.2"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AC2346" t="e">
        <f ca="1">RANK(AB2346,OFFSET($AB$2,0,0,#REF!,1))</f>
        <v>#REF!</v>
      </c>
      <c r="AD2346" s="4" t="e">
        <f>InsurerSize(#REF!)</f>
        <v>#VALUE!</v>
      </c>
      <c r="AE2346" s="4" t="e">
        <f t="shared" si="48"/>
        <v>#VALUE!</v>
      </c>
    </row>
    <row r="2347" spans="8:31" x14ac:dyDescent="0.2"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AC2347" t="e">
        <f ca="1">RANK(AB2347,OFFSET($AB$2,0,0,#REF!,1))</f>
        <v>#REF!</v>
      </c>
      <c r="AD2347" s="4" t="e">
        <f>InsurerSize(#REF!)</f>
        <v>#VALUE!</v>
      </c>
      <c r="AE2347" s="4" t="e">
        <f t="shared" si="48"/>
        <v>#VALUE!</v>
      </c>
    </row>
    <row r="2348" spans="8:31" x14ac:dyDescent="0.2"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AC2348" t="e">
        <f ca="1">RANK(AB2348,OFFSET($AB$2,0,0,#REF!,1))</f>
        <v>#REF!</v>
      </c>
      <c r="AD2348" s="4" t="e">
        <f>InsurerSize(#REF!)</f>
        <v>#VALUE!</v>
      </c>
      <c r="AE2348" s="4" t="e">
        <f t="shared" si="48"/>
        <v>#VALUE!</v>
      </c>
    </row>
    <row r="2349" spans="8:31" x14ac:dyDescent="0.2"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AC2349" t="e">
        <f ca="1">RANK(AB2349,OFFSET($AB$2,0,0,#REF!,1))</f>
        <v>#REF!</v>
      </c>
      <c r="AD2349" s="4" t="e">
        <f>InsurerSize(#REF!)</f>
        <v>#VALUE!</v>
      </c>
      <c r="AE2349" s="4" t="e">
        <f t="shared" si="48"/>
        <v>#VALUE!</v>
      </c>
    </row>
    <row r="2350" spans="8:31" x14ac:dyDescent="0.2"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AC2350" t="e">
        <f ca="1">RANK(AB2350,OFFSET($AB$2,0,0,#REF!,1))</f>
        <v>#REF!</v>
      </c>
      <c r="AD2350" s="4" t="e">
        <f>InsurerSize(#REF!)</f>
        <v>#VALUE!</v>
      </c>
      <c r="AE2350" s="4" t="e">
        <f t="shared" si="48"/>
        <v>#VALUE!</v>
      </c>
    </row>
    <row r="2351" spans="8:31" x14ac:dyDescent="0.2"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AC2351" t="e">
        <f ca="1">RANK(AB2351,OFFSET($AB$2,0,0,#REF!,1))</f>
        <v>#REF!</v>
      </c>
      <c r="AD2351" s="4" t="e">
        <f>InsurerSize(#REF!)</f>
        <v>#VALUE!</v>
      </c>
      <c r="AE2351" s="4" t="e">
        <f t="shared" si="48"/>
        <v>#VALUE!</v>
      </c>
    </row>
    <row r="2352" spans="8:31" x14ac:dyDescent="0.2"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AC2352" t="e">
        <f ca="1">RANK(AB2352,OFFSET($AB$2,0,0,#REF!,1))</f>
        <v>#REF!</v>
      </c>
      <c r="AD2352" s="4" t="e">
        <f>InsurerSize(#REF!)</f>
        <v>#VALUE!</v>
      </c>
      <c r="AE2352" s="4" t="e">
        <f t="shared" si="48"/>
        <v>#VALUE!</v>
      </c>
    </row>
    <row r="2353" spans="8:31" x14ac:dyDescent="0.2"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AC2353" t="e">
        <f ca="1">RANK(AB2353,OFFSET($AB$2,0,0,#REF!,1))</f>
        <v>#REF!</v>
      </c>
      <c r="AD2353" s="4" t="e">
        <f>InsurerSize(#REF!)</f>
        <v>#VALUE!</v>
      </c>
      <c r="AE2353" s="4" t="e">
        <f t="shared" si="48"/>
        <v>#VALUE!</v>
      </c>
    </row>
    <row r="2354" spans="8:31" x14ac:dyDescent="0.2"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AC2354" t="e">
        <f ca="1">RANK(AB2354,OFFSET($AB$2,0,0,#REF!,1))</f>
        <v>#REF!</v>
      </c>
      <c r="AD2354" s="4" t="e">
        <f>InsurerSize(#REF!)</f>
        <v>#VALUE!</v>
      </c>
      <c r="AE2354" s="4" t="e">
        <f t="shared" si="48"/>
        <v>#VALUE!</v>
      </c>
    </row>
    <row r="2355" spans="8:31" x14ac:dyDescent="0.2"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AC2355" t="e">
        <f ca="1">RANK(AB2355,OFFSET($AB$2,0,0,#REF!,1))</f>
        <v>#REF!</v>
      </c>
      <c r="AD2355" s="4" t="e">
        <f>InsurerSize(#REF!)</f>
        <v>#VALUE!</v>
      </c>
      <c r="AE2355" s="4" t="e">
        <f t="shared" si="48"/>
        <v>#VALUE!</v>
      </c>
    </row>
    <row r="2356" spans="8:31" x14ac:dyDescent="0.2"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AC2356" t="e">
        <f ca="1">RANK(AB2356,OFFSET($AB$2,0,0,#REF!,1))</f>
        <v>#REF!</v>
      </c>
      <c r="AD2356" s="4" t="e">
        <f>InsurerSize(#REF!)</f>
        <v>#VALUE!</v>
      </c>
      <c r="AE2356" s="4" t="e">
        <f t="shared" si="48"/>
        <v>#VALUE!</v>
      </c>
    </row>
    <row r="2357" spans="8:31" x14ac:dyDescent="0.2"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AC2357" t="e">
        <f ca="1">RANK(AB2357,OFFSET($AB$2,0,0,#REF!,1))</f>
        <v>#REF!</v>
      </c>
      <c r="AD2357" s="4" t="e">
        <f>InsurerSize(#REF!)</f>
        <v>#VALUE!</v>
      </c>
      <c r="AE2357" s="4" t="e">
        <f t="shared" si="48"/>
        <v>#VALUE!</v>
      </c>
    </row>
    <row r="2358" spans="8:31" x14ac:dyDescent="0.2"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AC2358" t="e">
        <f ca="1">RANK(AB2358,OFFSET($AB$2,0,0,#REF!,1))</f>
        <v>#REF!</v>
      </c>
      <c r="AD2358" s="4" t="e">
        <f>InsurerSize(#REF!)</f>
        <v>#VALUE!</v>
      </c>
      <c r="AE2358" s="4" t="e">
        <f t="shared" si="48"/>
        <v>#VALUE!</v>
      </c>
    </row>
    <row r="2359" spans="8:31" x14ac:dyDescent="0.2"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AC2359" t="e">
        <f ca="1">RANK(AB2359,OFFSET($AB$2,0,0,#REF!,1))</f>
        <v>#REF!</v>
      </c>
      <c r="AD2359" s="4" t="e">
        <f>InsurerSize(#REF!)</f>
        <v>#VALUE!</v>
      </c>
      <c r="AE2359" s="4" t="e">
        <f t="shared" si="48"/>
        <v>#VALUE!</v>
      </c>
    </row>
    <row r="2360" spans="8:31" x14ac:dyDescent="0.2"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AC2360" t="e">
        <f ca="1">RANK(AB2360,OFFSET($AB$2,0,0,#REF!,1))</f>
        <v>#REF!</v>
      </c>
      <c r="AD2360" s="4" t="e">
        <f>InsurerSize(#REF!)</f>
        <v>#VALUE!</v>
      </c>
      <c r="AE2360" s="4" t="e">
        <f t="shared" si="48"/>
        <v>#VALUE!</v>
      </c>
    </row>
    <row r="2361" spans="8:31" x14ac:dyDescent="0.2"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AC2361" t="e">
        <f ca="1">RANK(AB2361,OFFSET($AB$2,0,0,#REF!,1))</f>
        <v>#REF!</v>
      </c>
      <c r="AD2361" s="4" t="e">
        <f>InsurerSize(#REF!)</f>
        <v>#VALUE!</v>
      </c>
      <c r="AE2361" s="4" t="e">
        <f t="shared" si="48"/>
        <v>#VALUE!</v>
      </c>
    </row>
    <row r="2362" spans="8:31" x14ac:dyDescent="0.2"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AC2362" t="e">
        <f ca="1">RANK(AB2362,OFFSET($AB$2,0,0,#REF!,1))</f>
        <v>#REF!</v>
      </c>
      <c r="AD2362" s="4" t="e">
        <f>InsurerSize(#REF!)</f>
        <v>#VALUE!</v>
      </c>
      <c r="AE2362" s="4" t="e">
        <f t="shared" si="48"/>
        <v>#VALUE!</v>
      </c>
    </row>
    <row r="2363" spans="8:31" x14ac:dyDescent="0.2"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AC2363" t="e">
        <f ca="1">RANK(AB2363,OFFSET($AB$2,0,0,#REF!,1))</f>
        <v>#REF!</v>
      </c>
      <c r="AD2363" s="4" t="e">
        <f>InsurerSize(#REF!)</f>
        <v>#VALUE!</v>
      </c>
      <c r="AE2363" s="4" t="e">
        <f t="shared" si="48"/>
        <v>#VALUE!</v>
      </c>
    </row>
    <row r="2364" spans="8:31" x14ac:dyDescent="0.2"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AC2364" t="e">
        <f ca="1">RANK(AB2364,OFFSET($AB$2,0,0,#REF!,1))</f>
        <v>#REF!</v>
      </c>
      <c r="AD2364" s="4" t="e">
        <f>InsurerSize(#REF!)</f>
        <v>#VALUE!</v>
      </c>
      <c r="AE2364" s="4" t="e">
        <f t="shared" si="48"/>
        <v>#VALUE!</v>
      </c>
    </row>
    <row r="2365" spans="8:31" x14ac:dyDescent="0.2"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AC2365" t="e">
        <f ca="1">RANK(AB2365,OFFSET($AB$2,0,0,#REF!,1))</f>
        <v>#REF!</v>
      </c>
      <c r="AD2365" s="4" t="e">
        <f>InsurerSize(#REF!)</f>
        <v>#VALUE!</v>
      </c>
      <c r="AE2365" s="4" t="e">
        <f t="shared" si="48"/>
        <v>#VALUE!</v>
      </c>
    </row>
    <row r="2366" spans="8:31" x14ac:dyDescent="0.2"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AC2366" t="e">
        <f ca="1">RANK(AB2366,OFFSET($AB$2,0,0,#REF!,1))</f>
        <v>#REF!</v>
      </c>
      <c r="AD2366" s="4" t="e">
        <f>InsurerSize(#REF!)</f>
        <v>#VALUE!</v>
      </c>
      <c r="AE2366" s="4" t="e">
        <f t="shared" si="48"/>
        <v>#VALUE!</v>
      </c>
    </row>
    <row r="2367" spans="8:31" x14ac:dyDescent="0.2"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AC2367" t="e">
        <f ca="1">RANK(AB2367,OFFSET($AB$2,0,0,#REF!,1))</f>
        <v>#REF!</v>
      </c>
      <c r="AD2367" s="4" t="e">
        <f>InsurerSize(#REF!)</f>
        <v>#VALUE!</v>
      </c>
      <c r="AE2367" s="4" t="e">
        <f t="shared" si="48"/>
        <v>#VALUE!</v>
      </c>
    </row>
    <row r="2368" spans="8:31" x14ac:dyDescent="0.2"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AC2368" t="e">
        <f ca="1">RANK(AB2368,OFFSET($AB$2,0,0,#REF!,1))</f>
        <v>#REF!</v>
      </c>
      <c r="AD2368" s="4" t="e">
        <f>InsurerSize(#REF!)</f>
        <v>#VALUE!</v>
      </c>
      <c r="AE2368" s="4" t="e">
        <f t="shared" si="48"/>
        <v>#VALUE!</v>
      </c>
    </row>
    <row r="2369" spans="8:31" x14ac:dyDescent="0.2"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AC2369" t="e">
        <f ca="1">RANK(AB2369,OFFSET($AB$2,0,0,#REF!,1))</f>
        <v>#REF!</v>
      </c>
      <c r="AD2369" s="4" t="e">
        <f>InsurerSize(#REF!)</f>
        <v>#VALUE!</v>
      </c>
      <c r="AE2369" s="4" t="e">
        <f t="shared" si="48"/>
        <v>#VALUE!</v>
      </c>
    </row>
    <row r="2370" spans="8:31" x14ac:dyDescent="0.2"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AC2370" t="e">
        <f ca="1">RANK(AB2370,OFFSET($AB$2,0,0,#REF!,1))</f>
        <v>#REF!</v>
      </c>
      <c r="AD2370" s="4" t="e">
        <f>InsurerSize(#REF!)</f>
        <v>#VALUE!</v>
      </c>
      <c r="AE2370" s="4" t="e">
        <f t="shared" ref="AE2370:AE2433" si="49">A2370&amp;AD2370</f>
        <v>#VALUE!</v>
      </c>
    </row>
    <row r="2371" spans="8:31" x14ac:dyDescent="0.2"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AC2371" t="e">
        <f ca="1">RANK(AB2371,OFFSET($AB$2,0,0,#REF!,1))</f>
        <v>#REF!</v>
      </c>
      <c r="AD2371" s="4" t="e">
        <f>InsurerSize(#REF!)</f>
        <v>#VALUE!</v>
      </c>
      <c r="AE2371" s="4" t="e">
        <f t="shared" si="49"/>
        <v>#VALUE!</v>
      </c>
    </row>
    <row r="2372" spans="8:31" x14ac:dyDescent="0.2"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AC2372" t="e">
        <f ca="1">RANK(AB2372,OFFSET($AB$2,0,0,#REF!,1))</f>
        <v>#REF!</v>
      </c>
      <c r="AD2372" s="4" t="e">
        <f>InsurerSize(#REF!)</f>
        <v>#VALUE!</v>
      </c>
      <c r="AE2372" s="4" t="e">
        <f t="shared" si="49"/>
        <v>#VALUE!</v>
      </c>
    </row>
    <row r="2373" spans="8:31" x14ac:dyDescent="0.2"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AC2373" t="e">
        <f ca="1">RANK(AB2373,OFFSET($AB$2,0,0,#REF!,1))</f>
        <v>#REF!</v>
      </c>
      <c r="AD2373" s="4" t="e">
        <f>InsurerSize(#REF!)</f>
        <v>#VALUE!</v>
      </c>
      <c r="AE2373" s="4" t="e">
        <f t="shared" si="49"/>
        <v>#VALUE!</v>
      </c>
    </row>
    <row r="2374" spans="8:31" x14ac:dyDescent="0.2"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AC2374" t="e">
        <f ca="1">RANK(AB2374,OFFSET($AB$2,0,0,#REF!,1))</f>
        <v>#REF!</v>
      </c>
      <c r="AD2374" s="4" t="e">
        <f>InsurerSize(#REF!)</f>
        <v>#VALUE!</v>
      </c>
      <c r="AE2374" s="4" t="e">
        <f t="shared" si="49"/>
        <v>#VALUE!</v>
      </c>
    </row>
    <row r="2375" spans="8:31" x14ac:dyDescent="0.2"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AC2375" t="e">
        <f ca="1">RANK(AB2375,OFFSET($AB$2,0,0,#REF!,1))</f>
        <v>#REF!</v>
      </c>
      <c r="AD2375" s="4" t="e">
        <f>InsurerSize(#REF!)</f>
        <v>#VALUE!</v>
      </c>
      <c r="AE2375" s="4" t="e">
        <f t="shared" si="49"/>
        <v>#VALUE!</v>
      </c>
    </row>
    <row r="2376" spans="8:31" x14ac:dyDescent="0.2"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AC2376" t="e">
        <f ca="1">RANK(AB2376,OFFSET($AB$2,0,0,#REF!,1))</f>
        <v>#REF!</v>
      </c>
      <c r="AD2376" s="4" t="e">
        <f>InsurerSize(#REF!)</f>
        <v>#VALUE!</v>
      </c>
      <c r="AE2376" s="4" t="e">
        <f t="shared" si="49"/>
        <v>#VALUE!</v>
      </c>
    </row>
    <row r="2377" spans="8:31" x14ac:dyDescent="0.2"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AC2377" t="e">
        <f ca="1">RANK(AB2377,OFFSET($AB$2,0,0,#REF!,1))</f>
        <v>#REF!</v>
      </c>
      <c r="AD2377" s="4" t="e">
        <f>InsurerSize(#REF!)</f>
        <v>#VALUE!</v>
      </c>
      <c r="AE2377" s="4" t="e">
        <f t="shared" si="49"/>
        <v>#VALUE!</v>
      </c>
    </row>
    <row r="2378" spans="8:31" x14ac:dyDescent="0.2"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AC2378" t="e">
        <f ca="1">RANK(AB2378,OFFSET($AB$2,0,0,#REF!,1))</f>
        <v>#REF!</v>
      </c>
      <c r="AD2378" s="4" t="e">
        <f>InsurerSize(#REF!)</f>
        <v>#VALUE!</v>
      </c>
      <c r="AE2378" s="4" t="e">
        <f t="shared" si="49"/>
        <v>#VALUE!</v>
      </c>
    </row>
    <row r="2379" spans="8:31" x14ac:dyDescent="0.2"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AC2379" t="e">
        <f ca="1">RANK(AB2379,OFFSET($AB$2,0,0,#REF!,1))</f>
        <v>#REF!</v>
      </c>
      <c r="AD2379" s="4" t="e">
        <f>InsurerSize(#REF!)</f>
        <v>#VALUE!</v>
      </c>
      <c r="AE2379" s="4" t="e">
        <f t="shared" si="49"/>
        <v>#VALUE!</v>
      </c>
    </row>
    <row r="2380" spans="8:31" x14ac:dyDescent="0.2"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AC2380" t="e">
        <f ca="1">RANK(AB2380,OFFSET($AB$2,0,0,#REF!,1))</f>
        <v>#REF!</v>
      </c>
      <c r="AD2380" s="4" t="e">
        <f>InsurerSize(#REF!)</f>
        <v>#VALUE!</v>
      </c>
      <c r="AE2380" s="4" t="e">
        <f t="shared" si="49"/>
        <v>#VALUE!</v>
      </c>
    </row>
    <row r="2381" spans="8:31" x14ac:dyDescent="0.2"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AC2381" t="e">
        <f ca="1">RANK(AB2381,OFFSET($AB$2,0,0,#REF!,1))</f>
        <v>#REF!</v>
      </c>
      <c r="AD2381" s="4" t="e">
        <f>InsurerSize(#REF!)</f>
        <v>#VALUE!</v>
      </c>
      <c r="AE2381" s="4" t="e">
        <f t="shared" si="49"/>
        <v>#VALUE!</v>
      </c>
    </row>
    <row r="2382" spans="8:31" x14ac:dyDescent="0.2"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AC2382" t="e">
        <f ca="1">RANK(AB2382,OFFSET($AB$2,0,0,#REF!,1))</f>
        <v>#REF!</v>
      </c>
      <c r="AD2382" s="4" t="e">
        <f>InsurerSize(#REF!)</f>
        <v>#VALUE!</v>
      </c>
      <c r="AE2382" s="4" t="e">
        <f t="shared" si="49"/>
        <v>#VALUE!</v>
      </c>
    </row>
    <row r="2383" spans="8:31" x14ac:dyDescent="0.2"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AC2383" t="e">
        <f ca="1">RANK(AB2383,OFFSET($AB$2,0,0,#REF!,1))</f>
        <v>#REF!</v>
      </c>
      <c r="AD2383" s="4" t="e">
        <f>InsurerSize(#REF!)</f>
        <v>#VALUE!</v>
      </c>
      <c r="AE2383" s="4" t="e">
        <f t="shared" si="49"/>
        <v>#VALUE!</v>
      </c>
    </row>
    <row r="2384" spans="8:31" x14ac:dyDescent="0.2"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AC2384" t="e">
        <f ca="1">RANK(AB2384,OFFSET($AB$2,0,0,#REF!,1))</f>
        <v>#REF!</v>
      </c>
      <c r="AD2384" s="4" t="e">
        <f>InsurerSize(#REF!)</f>
        <v>#VALUE!</v>
      </c>
      <c r="AE2384" s="4" t="e">
        <f t="shared" si="49"/>
        <v>#VALUE!</v>
      </c>
    </row>
    <row r="2385" spans="8:31" x14ac:dyDescent="0.2"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AC2385" t="e">
        <f ca="1">RANK(AB2385,OFFSET($AB$2,0,0,#REF!,1))</f>
        <v>#REF!</v>
      </c>
      <c r="AD2385" s="4" t="e">
        <f>InsurerSize(#REF!)</f>
        <v>#VALUE!</v>
      </c>
      <c r="AE2385" s="4" t="e">
        <f t="shared" si="49"/>
        <v>#VALUE!</v>
      </c>
    </row>
    <row r="2386" spans="8:31" x14ac:dyDescent="0.2"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AC2386" t="e">
        <f ca="1">RANK(AB2386,OFFSET($AB$2,0,0,#REF!,1))</f>
        <v>#REF!</v>
      </c>
      <c r="AD2386" s="4" t="e">
        <f>InsurerSize(#REF!)</f>
        <v>#VALUE!</v>
      </c>
      <c r="AE2386" s="4" t="e">
        <f t="shared" si="49"/>
        <v>#VALUE!</v>
      </c>
    </row>
    <row r="2387" spans="8:31" x14ac:dyDescent="0.2"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AC2387" t="e">
        <f ca="1">RANK(AB2387,OFFSET($AB$2,0,0,#REF!,1))</f>
        <v>#REF!</v>
      </c>
      <c r="AD2387" s="4" t="e">
        <f>InsurerSize(#REF!)</f>
        <v>#VALUE!</v>
      </c>
      <c r="AE2387" s="4" t="e">
        <f t="shared" si="49"/>
        <v>#VALUE!</v>
      </c>
    </row>
    <row r="2388" spans="8:31" x14ac:dyDescent="0.2"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AC2388" t="e">
        <f ca="1">RANK(AB2388,OFFSET($AB$2,0,0,#REF!,1))</f>
        <v>#REF!</v>
      </c>
      <c r="AD2388" s="4" t="e">
        <f>InsurerSize(#REF!)</f>
        <v>#VALUE!</v>
      </c>
      <c r="AE2388" s="4" t="e">
        <f t="shared" si="49"/>
        <v>#VALUE!</v>
      </c>
    </row>
    <row r="2389" spans="8:31" x14ac:dyDescent="0.2"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AC2389" t="e">
        <f ca="1">RANK(AB2389,OFFSET($AB$2,0,0,#REF!,1))</f>
        <v>#REF!</v>
      </c>
      <c r="AD2389" s="4" t="e">
        <f>InsurerSize(#REF!)</f>
        <v>#VALUE!</v>
      </c>
      <c r="AE2389" s="4" t="e">
        <f t="shared" si="49"/>
        <v>#VALUE!</v>
      </c>
    </row>
    <row r="2390" spans="8:31" x14ac:dyDescent="0.2"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AC2390" t="e">
        <f ca="1">RANK(AB2390,OFFSET($AB$2,0,0,#REF!,1))</f>
        <v>#REF!</v>
      </c>
      <c r="AD2390" s="4" t="e">
        <f>InsurerSize(#REF!)</f>
        <v>#VALUE!</v>
      </c>
      <c r="AE2390" s="4" t="e">
        <f t="shared" si="49"/>
        <v>#VALUE!</v>
      </c>
    </row>
    <row r="2391" spans="8:31" x14ac:dyDescent="0.2"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AC2391" t="e">
        <f ca="1">RANK(AB2391,OFFSET($AB$2,0,0,#REF!,1))</f>
        <v>#REF!</v>
      </c>
      <c r="AD2391" s="4" t="e">
        <f>InsurerSize(#REF!)</f>
        <v>#VALUE!</v>
      </c>
      <c r="AE2391" s="4" t="e">
        <f t="shared" si="49"/>
        <v>#VALUE!</v>
      </c>
    </row>
    <row r="2392" spans="8:31" x14ac:dyDescent="0.2"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AC2392" t="e">
        <f ca="1">RANK(AB2392,OFFSET($AB$2,0,0,#REF!,1))</f>
        <v>#REF!</v>
      </c>
      <c r="AD2392" s="4" t="e">
        <f>InsurerSize(#REF!)</f>
        <v>#VALUE!</v>
      </c>
      <c r="AE2392" s="4" t="e">
        <f t="shared" si="49"/>
        <v>#VALUE!</v>
      </c>
    </row>
    <row r="2393" spans="8:31" x14ac:dyDescent="0.2"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AC2393" t="e">
        <f ca="1">RANK(AB2393,OFFSET($AB$2,0,0,#REF!,1))</f>
        <v>#REF!</v>
      </c>
      <c r="AD2393" s="4" t="e">
        <f>InsurerSize(#REF!)</f>
        <v>#VALUE!</v>
      </c>
      <c r="AE2393" s="4" t="e">
        <f t="shared" si="49"/>
        <v>#VALUE!</v>
      </c>
    </row>
    <row r="2394" spans="8:31" x14ac:dyDescent="0.2"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AC2394" t="e">
        <f ca="1">RANK(AB2394,OFFSET($AB$2,0,0,#REF!,1))</f>
        <v>#REF!</v>
      </c>
      <c r="AD2394" s="4" t="e">
        <f>InsurerSize(#REF!)</f>
        <v>#VALUE!</v>
      </c>
      <c r="AE2394" s="4" t="e">
        <f t="shared" si="49"/>
        <v>#VALUE!</v>
      </c>
    </row>
    <row r="2395" spans="8:31" x14ac:dyDescent="0.2"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AC2395" t="e">
        <f ca="1">RANK(AB2395,OFFSET($AB$2,0,0,#REF!,1))</f>
        <v>#REF!</v>
      </c>
      <c r="AD2395" s="4" t="e">
        <f>InsurerSize(#REF!)</f>
        <v>#VALUE!</v>
      </c>
      <c r="AE2395" s="4" t="e">
        <f t="shared" si="49"/>
        <v>#VALUE!</v>
      </c>
    </row>
    <row r="2396" spans="8:31" x14ac:dyDescent="0.2"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AC2396" t="e">
        <f ca="1">RANK(AB2396,OFFSET($AB$2,0,0,#REF!,1))</f>
        <v>#REF!</v>
      </c>
      <c r="AD2396" s="4" t="e">
        <f>InsurerSize(#REF!)</f>
        <v>#VALUE!</v>
      </c>
      <c r="AE2396" s="4" t="e">
        <f t="shared" si="49"/>
        <v>#VALUE!</v>
      </c>
    </row>
    <row r="2397" spans="8:31" x14ac:dyDescent="0.2"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AC2397" t="e">
        <f ca="1">RANK(AB2397,OFFSET($AB$2,0,0,#REF!,1))</f>
        <v>#REF!</v>
      </c>
      <c r="AD2397" s="4" t="e">
        <f>InsurerSize(#REF!)</f>
        <v>#VALUE!</v>
      </c>
      <c r="AE2397" s="4" t="e">
        <f t="shared" si="49"/>
        <v>#VALUE!</v>
      </c>
    </row>
    <row r="2398" spans="8:31" x14ac:dyDescent="0.2"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AC2398" t="e">
        <f ca="1">RANK(AB2398,OFFSET($AB$2,0,0,#REF!,1))</f>
        <v>#REF!</v>
      </c>
      <c r="AD2398" s="4" t="e">
        <f>InsurerSize(#REF!)</f>
        <v>#VALUE!</v>
      </c>
      <c r="AE2398" s="4" t="e">
        <f t="shared" si="49"/>
        <v>#VALUE!</v>
      </c>
    </row>
    <row r="2399" spans="8:31" x14ac:dyDescent="0.2"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AC2399" t="e">
        <f ca="1">RANK(AB2399,OFFSET($AB$2,0,0,#REF!,1))</f>
        <v>#REF!</v>
      </c>
      <c r="AD2399" s="4" t="e">
        <f>InsurerSize(#REF!)</f>
        <v>#VALUE!</v>
      </c>
      <c r="AE2399" s="4" t="e">
        <f t="shared" si="49"/>
        <v>#VALUE!</v>
      </c>
    </row>
    <row r="2400" spans="8:31" x14ac:dyDescent="0.2"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AC2400" t="e">
        <f ca="1">RANK(AB2400,OFFSET($AB$2,0,0,#REF!,1))</f>
        <v>#REF!</v>
      </c>
      <c r="AD2400" s="4" t="e">
        <f>InsurerSize(#REF!)</f>
        <v>#VALUE!</v>
      </c>
      <c r="AE2400" s="4" t="e">
        <f t="shared" si="49"/>
        <v>#VALUE!</v>
      </c>
    </row>
    <row r="2401" spans="8:31" x14ac:dyDescent="0.2"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AC2401" t="e">
        <f ca="1">RANK(AB2401,OFFSET($AB$2,0,0,#REF!,1))</f>
        <v>#REF!</v>
      </c>
      <c r="AD2401" s="4" t="e">
        <f>InsurerSize(#REF!)</f>
        <v>#VALUE!</v>
      </c>
      <c r="AE2401" s="4" t="e">
        <f t="shared" si="49"/>
        <v>#VALUE!</v>
      </c>
    </row>
    <row r="2402" spans="8:31" x14ac:dyDescent="0.2"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AC2402" t="e">
        <f ca="1">RANK(AB2402,OFFSET($AB$2,0,0,#REF!,1))</f>
        <v>#REF!</v>
      </c>
      <c r="AD2402" s="4" t="e">
        <f>InsurerSize(#REF!)</f>
        <v>#VALUE!</v>
      </c>
      <c r="AE2402" s="4" t="e">
        <f t="shared" si="49"/>
        <v>#VALUE!</v>
      </c>
    </row>
    <row r="2403" spans="8:31" x14ac:dyDescent="0.2"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AC2403" t="e">
        <f ca="1">RANK(AB2403,OFFSET($AB$2,0,0,#REF!,1))</f>
        <v>#REF!</v>
      </c>
      <c r="AD2403" s="4" t="e">
        <f>InsurerSize(#REF!)</f>
        <v>#VALUE!</v>
      </c>
      <c r="AE2403" s="4" t="e">
        <f t="shared" si="49"/>
        <v>#VALUE!</v>
      </c>
    </row>
    <row r="2404" spans="8:31" x14ac:dyDescent="0.2"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AC2404" t="e">
        <f ca="1">RANK(AB2404,OFFSET($AB$2,0,0,#REF!,1))</f>
        <v>#REF!</v>
      </c>
      <c r="AD2404" s="4" t="e">
        <f>InsurerSize(#REF!)</f>
        <v>#VALUE!</v>
      </c>
      <c r="AE2404" s="4" t="e">
        <f t="shared" si="49"/>
        <v>#VALUE!</v>
      </c>
    </row>
    <row r="2405" spans="8:31" x14ac:dyDescent="0.2"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AC2405" t="e">
        <f ca="1">RANK(AB2405,OFFSET($AB$2,0,0,#REF!,1))</f>
        <v>#REF!</v>
      </c>
      <c r="AD2405" s="4" t="e">
        <f>InsurerSize(#REF!)</f>
        <v>#VALUE!</v>
      </c>
      <c r="AE2405" s="4" t="e">
        <f t="shared" si="49"/>
        <v>#VALUE!</v>
      </c>
    </row>
    <row r="2406" spans="8:31" x14ac:dyDescent="0.2"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AC2406" t="e">
        <f ca="1">RANK(AB2406,OFFSET($AB$2,0,0,#REF!,1))</f>
        <v>#REF!</v>
      </c>
      <c r="AD2406" s="4" t="e">
        <f>InsurerSize(#REF!)</f>
        <v>#VALUE!</v>
      </c>
      <c r="AE2406" s="4" t="e">
        <f t="shared" si="49"/>
        <v>#VALUE!</v>
      </c>
    </row>
    <row r="2407" spans="8:31" x14ac:dyDescent="0.2"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AC2407" t="e">
        <f ca="1">RANK(AB2407,OFFSET($AB$2,0,0,#REF!,1))</f>
        <v>#REF!</v>
      </c>
      <c r="AD2407" s="4" t="e">
        <f>InsurerSize(#REF!)</f>
        <v>#VALUE!</v>
      </c>
      <c r="AE2407" s="4" t="e">
        <f t="shared" si="49"/>
        <v>#VALUE!</v>
      </c>
    </row>
    <row r="2408" spans="8:31" x14ac:dyDescent="0.2"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AC2408" t="e">
        <f ca="1">RANK(AB2408,OFFSET($AB$2,0,0,#REF!,1))</f>
        <v>#REF!</v>
      </c>
      <c r="AD2408" s="4" t="e">
        <f>InsurerSize(#REF!)</f>
        <v>#VALUE!</v>
      </c>
      <c r="AE2408" s="4" t="e">
        <f t="shared" si="49"/>
        <v>#VALUE!</v>
      </c>
    </row>
    <row r="2409" spans="8:31" x14ac:dyDescent="0.2"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AC2409" t="e">
        <f ca="1">RANK(AB2409,OFFSET($AB$2,0,0,#REF!,1))</f>
        <v>#REF!</v>
      </c>
      <c r="AD2409" s="4" t="e">
        <f>InsurerSize(#REF!)</f>
        <v>#VALUE!</v>
      </c>
      <c r="AE2409" s="4" t="e">
        <f t="shared" si="49"/>
        <v>#VALUE!</v>
      </c>
    </row>
    <row r="2410" spans="8:31" x14ac:dyDescent="0.2"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AC2410" t="e">
        <f ca="1">RANK(AB2410,OFFSET($AB$2,0,0,#REF!,1))</f>
        <v>#REF!</v>
      </c>
      <c r="AD2410" s="4" t="e">
        <f>InsurerSize(#REF!)</f>
        <v>#VALUE!</v>
      </c>
      <c r="AE2410" s="4" t="e">
        <f t="shared" si="49"/>
        <v>#VALUE!</v>
      </c>
    </row>
    <row r="2411" spans="8:31" x14ac:dyDescent="0.2"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AC2411" t="e">
        <f ca="1">RANK(AB2411,OFFSET($AB$2,0,0,#REF!,1))</f>
        <v>#REF!</v>
      </c>
      <c r="AD2411" s="4" t="e">
        <f>InsurerSize(#REF!)</f>
        <v>#VALUE!</v>
      </c>
      <c r="AE2411" s="4" t="e">
        <f t="shared" si="49"/>
        <v>#VALUE!</v>
      </c>
    </row>
    <row r="2412" spans="8:31" x14ac:dyDescent="0.2"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AC2412" t="e">
        <f ca="1">RANK(AB2412,OFFSET($AB$2,0,0,#REF!,1))</f>
        <v>#REF!</v>
      </c>
      <c r="AD2412" s="4" t="e">
        <f>InsurerSize(#REF!)</f>
        <v>#VALUE!</v>
      </c>
      <c r="AE2412" s="4" t="e">
        <f t="shared" si="49"/>
        <v>#VALUE!</v>
      </c>
    </row>
    <row r="2413" spans="8:31" x14ac:dyDescent="0.2"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AC2413" t="e">
        <f ca="1">RANK(AB2413,OFFSET($AB$2,0,0,#REF!,1))</f>
        <v>#REF!</v>
      </c>
      <c r="AD2413" s="4" t="e">
        <f>InsurerSize(#REF!)</f>
        <v>#VALUE!</v>
      </c>
      <c r="AE2413" s="4" t="e">
        <f t="shared" si="49"/>
        <v>#VALUE!</v>
      </c>
    </row>
    <row r="2414" spans="8:31" x14ac:dyDescent="0.2"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AC2414" t="e">
        <f ca="1">RANK(AB2414,OFFSET($AB$2,0,0,#REF!,1))</f>
        <v>#REF!</v>
      </c>
      <c r="AD2414" s="4" t="e">
        <f>InsurerSize(#REF!)</f>
        <v>#VALUE!</v>
      </c>
      <c r="AE2414" s="4" t="e">
        <f t="shared" si="49"/>
        <v>#VALUE!</v>
      </c>
    </row>
    <row r="2415" spans="8:31" x14ac:dyDescent="0.2"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AC2415" t="e">
        <f ca="1">RANK(AB2415,OFFSET($AB$2,0,0,#REF!,1))</f>
        <v>#REF!</v>
      </c>
      <c r="AD2415" s="4" t="e">
        <f>InsurerSize(#REF!)</f>
        <v>#VALUE!</v>
      </c>
      <c r="AE2415" s="4" t="e">
        <f t="shared" si="49"/>
        <v>#VALUE!</v>
      </c>
    </row>
    <row r="2416" spans="8:31" x14ac:dyDescent="0.2"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AC2416" t="e">
        <f ca="1">RANK(AB2416,OFFSET($AB$2,0,0,#REF!,1))</f>
        <v>#REF!</v>
      </c>
      <c r="AD2416" s="4" t="e">
        <f>InsurerSize(#REF!)</f>
        <v>#VALUE!</v>
      </c>
      <c r="AE2416" s="4" t="e">
        <f t="shared" si="49"/>
        <v>#VALUE!</v>
      </c>
    </row>
    <row r="2417" spans="8:31" x14ac:dyDescent="0.2"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AC2417" t="e">
        <f ca="1">RANK(AB2417,OFFSET($AB$2,0,0,#REF!,1))</f>
        <v>#REF!</v>
      </c>
      <c r="AD2417" s="4" t="e">
        <f>InsurerSize(#REF!)</f>
        <v>#VALUE!</v>
      </c>
      <c r="AE2417" s="4" t="e">
        <f t="shared" si="49"/>
        <v>#VALUE!</v>
      </c>
    </row>
    <row r="2418" spans="8:31" x14ac:dyDescent="0.2"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AC2418" t="e">
        <f ca="1">RANK(AB2418,OFFSET($AB$2,0,0,#REF!,1))</f>
        <v>#REF!</v>
      </c>
      <c r="AD2418" s="4" t="e">
        <f>InsurerSize(#REF!)</f>
        <v>#VALUE!</v>
      </c>
      <c r="AE2418" s="4" t="e">
        <f t="shared" si="49"/>
        <v>#VALUE!</v>
      </c>
    </row>
    <row r="2419" spans="8:31" x14ac:dyDescent="0.2"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AC2419" t="e">
        <f ca="1">RANK(AB2419,OFFSET($AB$2,0,0,#REF!,1))</f>
        <v>#REF!</v>
      </c>
      <c r="AD2419" s="4" t="e">
        <f>InsurerSize(#REF!)</f>
        <v>#VALUE!</v>
      </c>
      <c r="AE2419" s="4" t="e">
        <f t="shared" si="49"/>
        <v>#VALUE!</v>
      </c>
    </row>
    <row r="2420" spans="8:31" x14ac:dyDescent="0.2"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AC2420" t="e">
        <f ca="1">RANK(AB2420,OFFSET($AB$2,0,0,#REF!,1))</f>
        <v>#REF!</v>
      </c>
      <c r="AD2420" s="4" t="e">
        <f>InsurerSize(#REF!)</f>
        <v>#VALUE!</v>
      </c>
      <c r="AE2420" s="4" t="e">
        <f t="shared" si="49"/>
        <v>#VALUE!</v>
      </c>
    </row>
    <row r="2421" spans="8:31" x14ac:dyDescent="0.2"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AC2421" t="e">
        <f ca="1">RANK(AB2421,OFFSET($AB$2,0,0,#REF!,1))</f>
        <v>#REF!</v>
      </c>
      <c r="AD2421" s="4" t="e">
        <f>InsurerSize(#REF!)</f>
        <v>#VALUE!</v>
      </c>
      <c r="AE2421" s="4" t="e">
        <f t="shared" si="49"/>
        <v>#VALUE!</v>
      </c>
    </row>
    <row r="2422" spans="8:31" x14ac:dyDescent="0.2"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AC2422" t="e">
        <f ca="1">RANK(AB2422,OFFSET($AB$2,0,0,#REF!,1))</f>
        <v>#REF!</v>
      </c>
      <c r="AD2422" s="4" t="e">
        <f>InsurerSize(#REF!)</f>
        <v>#VALUE!</v>
      </c>
      <c r="AE2422" s="4" t="e">
        <f t="shared" si="49"/>
        <v>#VALUE!</v>
      </c>
    </row>
    <row r="2423" spans="8:31" x14ac:dyDescent="0.2"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AC2423" t="e">
        <f ca="1">RANK(AB2423,OFFSET($AB$2,0,0,#REF!,1))</f>
        <v>#REF!</v>
      </c>
      <c r="AD2423" s="4" t="e">
        <f>InsurerSize(#REF!)</f>
        <v>#VALUE!</v>
      </c>
      <c r="AE2423" s="4" t="e">
        <f t="shared" si="49"/>
        <v>#VALUE!</v>
      </c>
    </row>
    <row r="2424" spans="8:31" x14ac:dyDescent="0.2"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AC2424" t="e">
        <f ca="1">RANK(AB2424,OFFSET($AB$2,0,0,#REF!,1))</f>
        <v>#REF!</v>
      </c>
      <c r="AD2424" s="4" t="e">
        <f>InsurerSize(#REF!)</f>
        <v>#VALUE!</v>
      </c>
      <c r="AE2424" s="4" t="e">
        <f t="shared" si="49"/>
        <v>#VALUE!</v>
      </c>
    </row>
    <row r="2425" spans="8:31" x14ac:dyDescent="0.2"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AC2425" t="e">
        <f ca="1">RANK(AB2425,OFFSET($AB$2,0,0,#REF!,1))</f>
        <v>#REF!</v>
      </c>
      <c r="AD2425" s="4" t="e">
        <f>InsurerSize(#REF!)</f>
        <v>#VALUE!</v>
      </c>
      <c r="AE2425" s="4" t="e">
        <f t="shared" si="49"/>
        <v>#VALUE!</v>
      </c>
    </row>
    <row r="2426" spans="8:31" x14ac:dyDescent="0.2"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AC2426" t="e">
        <f ca="1">RANK(AB2426,OFFSET($AB$2,0,0,#REF!,1))</f>
        <v>#REF!</v>
      </c>
      <c r="AD2426" s="4" t="e">
        <f>InsurerSize(#REF!)</f>
        <v>#VALUE!</v>
      </c>
      <c r="AE2426" s="4" t="e">
        <f t="shared" si="49"/>
        <v>#VALUE!</v>
      </c>
    </row>
    <row r="2427" spans="8:31" x14ac:dyDescent="0.2"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AC2427" t="e">
        <f ca="1">RANK(AB2427,OFFSET($AB$2,0,0,#REF!,1))</f>
        <v>#REF!</v>
      </c>
      <c r="AD2427" s="4" t="e">
        <f>InsurerSize(#REF!)</f>
        <v>#VALUE!</v>
      </c>
      <c r="AE2427" s="4" t="e">
        <f t="shared" si="49"/>
        <v>#VALUE!</v>
      </c>
    </row>
    <row r="2428" spans="8:31" x14ac:dyDescent="0.2"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AC2428" t="e">
        <f ca="1">RANK(AB2428,OFFSET($AB$2,0,0,#REF!,1))</f>
        <v>#REF!</v>
      </c>
      <c r="AD2428" s="4" t="e">
        <f>InsurerSize(#REF!)</f>
        <v>#VALUE!</v>
      </c>
      <c r="AE2428" s="4" t="e">
        <f t="shared" si="49"/>
        <v>#VALUE!</v>
      </c>
    </row>
    <row r="2429" spans="8:31" x14ac:dyDescent="0.2"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AC2429" t="e">
        <f ca="1">RANK(AB2429,OFFSET($AB$2,0,0,#REF!,1))</f>
        <v>#REF!</v>
      </c>
      <c r="AD2429" s="4" t="e">
        <f>InsurerSize(#REF!)</f>
        <v>#VALUE!</v>
      </c>
      <c r="AE2429" s="4" t="e">
        <f t="shared" si="49"/>
        <v>#VALUE!</v>
      </c>
    </row>
    <row r="2430" spans="8:31" x14ac:dyDescent="0.2"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AC2430" t="e">
        <f ca="1">RANK(AB2430,OFFSET($AB$2,0,0,#REF!,1))</f>
        <v>#REF!</v>
      </c>
      <c r="AD2430" s="4" t="e">
        <f>InsurerSize(#REF!)</f>
        <v>#VALUE!</v>
      </c>
      <c r="AE2430" s="4" t="e">
        <f t="shared" si="49"/>
        <v>#VALUE!</v>
      </c>
    </row>
    <row r="2431" spans="8:31" x14ac:dyDescent="0.2"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AC2431" t="e">
        <f ca="1">RANK(AB2431,OFFSET($AB$2,0,0,#REF!,1))</f>
        <v>#REF!</v>
      </c>
      <c r="AD2431" s="4" t="e">
        <f>InsurerSize(#REF!)</f>
        <v>#VALUE!</v>
      </c>
      <c r="AE2431" s="4" t="e">
        <f t="shared" si="49"/>
        <v>#VALUE!</v>
      </c>
    </row>
    <row r="2432" spans="8:31" x14ac:dyDescent="0.2"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AC2432" t="e">
        <f ca="1">RANK(AB2432,OFFSET($AB$2,0,0,#REF!,1))</f>
        <v>#REF!</v>
      </c>
      <c r="AD2432" s="4" t="e">
        <f>InsurerSize(#REF!)</f>
        <v>#VALUE!</v>
      </c>
      <c r="AE2432" s="4" t="e">
        <f t="shared" si="49"/>
        <v>#VALUE!</v>
      </c>
    </row>
    <row r="2433" spans="8:31" x14ac:dyDescent="0.2"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AC2433" t="e">
        <f ca="1">RANK(AB2433,OFFSET($AB$2,0,0,#REF!,1))</f>
        <v>#REF!</v>
      </c>
      <c r="AD2433" s="4" t="e">
        <f>InsurerSize(#REF!)</f>
        <v>#VALUE!</v>
      </c>
      <c r="AE2433" s="4" t="e">
        <f t="shared" si="49"/>
        <v>#VALUE!</v>
      </c>
    </row>
    <row r="2434" spans="8:31" x14ac:dyDescent="0.2"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AC2434" t="e">
        <f ca="1">RANK(AB2434,OFFSET($AB$2,0,0,#REF!,1))</f>
        <v>#REF!</v>
      </c>
      <c r="AD2434" s="4" t="e">
        <f>InsurerSize(#REF!)</f>
        <v>#VALUE!</v>
      </c>
      <c r="AE2434" s="4" t="e">
        <f t="shared" ref="AE2434:AE2497" si="50">A2434&amp;AD2434</f>
        <v>#VALUE!</v>
      </c>
    </row>
    <row r="2435" spans="8:31" x14ac:dyDescent="0.2"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AC2435" t="e">
        <f ca="1">RANK(AB2435,OFFSET($AB$2,0,0,#REF!,1))</f>
        <v>#REF!</v>
      </c>
      <c r="AD2435" s="4" t="e">
        <f>InsurerSize(#REF!)</f>
        <v>#VALUE!</v>
      </c>
      <c r="AE2435" s="4" t="e">
        <f t="shared" si="50"/>
        <v>#VALUE!</v>
      </c>
    </row>
    <row r="2436" spans="8:31" x14ac:dyDescent="0.2"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AC2436" t="e">
        <f ca="1">RANK(AB2436,OFFSET($AB$2,0,0,#REF!,1))</f>
        <v>#REF!</v>
      </c>
      <c r="AD2436" s="4" t="e">
        <f>InsurerSize(#REF!)</f>
        <v>#VALUE!</v>
      </c>
      <c r="AE2436" s="4" t="e">
        <f t="shared" si="50"/>
        <v>#VALUE!</v>
      </c>
    </row>
    <row r="2437" spans="8:31" x14ac:dyDescent="0.2"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AC2437" t="e">
        <f ca="1">RANK(AB2437,OFFSET($AB$2,0,0,#REF!,1))</f>
        <v>#REF!</v>
      </c>
      <c r="AD2437" s="4" t="e">
        <f>InsurerSize(#REF!)</f>
        <v>#VALUE!</v>
      </c>
      <c r="AE2437" s="4" t="e">
        <f t="shared" si="50"/>
        <v>#VALUE!</v>
      </c>
    </row>
    <row r="2438" spans="8:31" x14ac:dyDescent="0.2"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AC2438" t="e">
        <f ca="1">RANK(AB2438,OFFSET($AB$2,0,0,#REF!,1))</f>
        <v>#REF!</v>
      </c>
      <c r="AD2438" s="4" t="e">
        <f>InsurerSize(#REF!)</f>
        <v>#VALUE!</v>
      </c>
      <c r="AE2438" s="4" t="e">
        <f t="shared" si="50"/>
        <v>#VALUE!</v>
      </c>
    </row>
    <row r="2439" spans="8:31" x14ac:dyDescent="0.2"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AC2439" t="e">
        <f ca="1">RANK(AB2439,OFFSET($AB$2,0,0,#REF!,1))</f>
        <v>#REF!</v>
      </c>
      <c r="AD2439" s="4" t="e">
        <f>InsurerSize(#REF!)</f>
        <v>#VALUE!</v>
      </c>
      <c r="AE2439" s="4" t="e">
        <f t="shared" si="50"/>
        <v>#VALUE!</v>
      </c>
    </row>
    <row r="2440" spans="8:31" x14ac:dyDescent="0.2"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AC2440" t="e">
        <f ca="1">RANK(AB2440,OFFSET($AB$2,0,0,#REF!,1))</f>
        <v>#REF!</v>
      </c>
      <c r="AD2440" s="4" t="e">
        <f>InsurerSize(#REF!)</f>
        <v>#VALUE!</v>
      </c>
      <c r="AE2440" s="4" t="e">
        <f t="shared" si="50"/>
        <v>#VALUE!</v>
      </c>
    </row>
    <row r="2441" spans="8:31" x14ac:dyDescent="0.2"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AC2441" t="e">
        <f ca="1">RANK(AB2441,OFFSET($AB$2,0,0,#REF!,1))</f>
        <v>#REF!</v>
      </c>
      <c r="AD2441" s="4" t="e">
        <f>InsurerSize(#REF!)</f>
        <v>#VALUE!</v>
      </c>
      <c r="AE2441" s="4" t="e">
        <f t="shared" si="50"/>
        <v>#VALUE!</v>
      </c>
    </row>
    <row r="2442" spans="8:31" x14ac:dyDescent="0.2"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AC2442" t="e">
        <f ca="1">RANK(AB2442,OFFSET($AB$2,0,0,#REF!,1))</f>
        <v>#REF!</v>
      </c>
      <c r="AD2442" s="4" t="e">
        <f>InsurerSize(#REF!)</f>
        <v>#VALUE!</v>
      </c>
      <c r="AE2442" s="4" t="e">
        <f t="shared" si="50"/>
        <v>#VALUE!</v>
      </c>
    </row>
    <row r="2443" spans="8:31" x14ac:dyDescent="0.2"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AC2443" t="e">
        <f ca="1">RANK(AB2443,OFFSET($AB$2,0,0,#REF!,1))</f>
        <v>#REF!</v>
      </c>
      <c r="AD2443" s="4" t="e">
        <f>InsurerSize(#REF!)</f>
        <v>#VALUE!</v>
      </c>
      <c r="AE2443" s="4" t="e">
        <f t="shared" si="50"/>
        <v>#VALUE!</v>
      </c>
    </row>
    <row r="2444" spans="8:31" x14ac:dyDescent="0.2"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AC2444" t="e">
        <f ca="1">RANK(AB2444,OFFSET($AB$2,0,0,#REF!,1))</f>
        <v>#REF!</v>
      </c>
      <c r="AD2444" s="4" t="e">
        <f>InsurerSize(#REF!)</f>
        <v>#VALUE!</v>
      </c>
      <c r="AE2444" s="4" t="e">
        <f t="shared" si="50"/>
        <v>#VALUE!</v>
      </c>
    </row>
    <row r="2445" spans="8:31" x14ac:dyDescent="0.2"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AC2445" t="e">
        <f ca="1">RANK(AB2445,OFFSET($AB$2,0,0,#REF!,1))</f>
        <v>#REF!</v>
      </c>
      <c r="AD2445" s="4" t="e">
        <f>InsurerSize(#REF!)</f>
        <v>#VALUE!</v>
      </c>
      <c r="AE2445" s="4" t="e">
        <f t="shared" si="50"/>
        <v>#VALUE!</v>
      </c>
    </row>
    <row r="2446" spans="8:31" x14ac:dyDescent="0.2"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AC2446" t="e">
        <f ca="1">RANK(AB2446,OFFSET($AB$2,0,0,#REF!,1))</f>
        <v>#REF!</v>
      </c>
      <c r="AD2446" s="4" t="e">
        <f>InsurerSize(#REF!)</f>
        <v>#VALUE!</v>
      </c>
      <c r="AE2446" s="4" t="e">
        <f t="shared" si="50"/>
        <v>#VALUE!</v>
      </c>
    </row>
    <row r="2447" spans="8:31" x14ac:dyDescent="0.2"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AC2447" t="e">
        <f ca="1">RANK(AB2447,OFFSET($AB$2,0,0,#REF!,1))</f>
        <v>#REF!</v>
      </c>
      <c r="AD2447" s="4" t="e">
        <f>InsurerSize(#REF!)</f>
        <v>#VALUE!</v>
      </c>
      <c r="AE2447" s="4" t="e">
        <f t="shared" si="50"/>
        <v>#VALUE!</v>
      </c>
    </row>
    <row r="2448" spans="8:31" x14ac:dyDescent="0.2"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AC2448" t="e">
        <f ca="1">RANK(AB2448,OFFSET($AB$2,0,0,#REF!,1))</f>
        <v>#REF!</v>
      </c>
      <c r="AD2448" s="4" t="e">
        <f>InsurerSize(#REF!)</f>
        <v>#VALUE!</v>
      </c>
      <c r="AE2448" s="4" t="e">
        <f t="shared" si="50"/>
        <v>#VALUE!</v>
      </c>
    </row>
    <row r="2449" spans="8:31" x14ac:dyDescent="0.2"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AC2449" t="e">
        <f ca="1">RANK(AB2449,OFFSET($AB$2,0,0,#REF!,1))</f>
        <v>#REF!</v>
      </c>
      <c r="AD2449" s="4" t="e">
        <f>InsurerSize(#REF!)</f>
        <v>#VALUE!</v>
      </c>
      <c r="AE2449" s="4" t="e">
        <f t="shared" si="50"/>
        <v>#VALUE!</v>
      </c>
    </row>
    <row r="2450" spans="8:31" x14ac:dyDescent="0.2"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AC2450" t="e">
        <f ca="1">RANK(AB2450,OFFSET($AB$2,0,0,#REF!,1))</f>
        <v>#REF!</v>
      </c>
      <c r="AD2450" s="4" t="e">
        <f>InsurerSize(#REF!)</f>
        <v>#VALUE!</v>
      </c>
      <c r="AE2450" s="4" t="e">
        <f t="shared" si="50"/>
        <v>#VALUE!</v>
      </c>
    </row>
    <row r="2451" spans="8:31" x14ac:dyDescent="0.2"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AC2451" t="e">
        <f ca="1">RANK(AB2451,OFFSET($AB$2,0,0,#REF!,1))</f>
        <v>#REF!</v>
      </c>
      <c r="AD2451" s="4" t="e">
        <f>InsurerSize(#REF!)</f>
        <v>#VALUE!</v>
      </c>
      <c r="AE2451" s="4" t="e">
        <f t="shared" si="50"/>
        <v>#VALUE!</v>
      </c>
    </row>
    <row r="2452" spans="8:31" x14ac:dyDescent="0.2"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AC2452" t="e">
        <f ca="1">RANK(AB2452,OFFSET($AB$2,0,0,#REF!,1))</f>
        <v>#REF!</v>
      </c>
      <c r="AD2452" s="4" t="e">
        <f>InsurerSize(#REF!)</f>
        <v>#VALUE!</v>
      </c>
      <c r="AE2452" s="4" t="e">
        <f t="shared" si="50"/>
        <v>#VALUE!</v>
      </c>
    </row>
    <row r="2453" spans="8:31" x14ac:dyDescent="0.2"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AC2453" t="e">
        <f ca="1">RANK(AB2453,OFFSET($AB$2,0,0,#REF!,1))</f>
        <v>#REF!</v>
      </c>
      <c r="AD2453" s="4" t="e">
        <f>InsurerSize(#REF!)</f>
        <v>#VALUE!</v>
      </c>
      <c r="AE2453" s="4" t="e">
        <f t="shared" si="50"/>
        <v>#VALUE!</v>
      </c>
    </row>
    <row r="2454" spans="8:31" x14ac:dyDescent="0.2"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AC2454" t="e">
        <f ca="1">RANK(AB2454,OFFSET($AB$2,0,0,#REF!,1))</f>
        <v>#REF!</v>
      </c>
      <c r="AD2454" s="4" t="e">
        <f>InsurerSize(#REF!)</f>
        <v>#VALUE!</v>
      </c>
      <c r="AE2454" s="4" t="e">
        <f t="shared" si="50"/>
        <v>#VALUE!</v>
      </c>
    </row>
    <row r="2455" spans="8:31" x14ac:dyDescent="0.2">
      <c r="H2455" s="5"/>
      <c r="I2455" s="5"/>
      <c r="J2455" s="5"/>
      <c r="K2455" s="5"/>
      <c r="L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5"/>
      <c r="AC2455" t="e">
        <f ca="1">RANK(AB2455,OFFSET($AB$2,0,0,#REF!,1))</f>
        <v>#REF!</v>
      </c>
      <c r="AD2455" s="4" t="e">
        <f>InsurerSize(#REF!)</f>
        <v>#VALUE!</v>
      </c>
      <c r="AE2455" s="4" t="e">
        <f t="shared" si="50"/>
        <v>#VALUE!</v>
      </c>
    </row>
    <row r="2456" spans="8:31" x14ac:dyDescent="0.2">
      <c r="H2456" s="5"/>
      <c r="I2456" s="5"/>
      <c r="J2456" s="5"/>
      <c r="K2456" s="5"/>
      <c r="L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5"/>
      <c r="AC2456" t="e">
        <f ca="1">RANK(AB2456,OFFSET($AB$2,0,0,#REF!,1))</f>
        <v>#REF!</v>
      </c>
      <c r="AD2456" s="4" t="e">
        <f>InsurerSize(#REF!)</f>
        <v>#VALUE!</v>
      </c>
      <c r="AE2456" s="4" t="e">
        <f t="shared" si="50"/>
        <v>#VALUE!</v>
      </c>
    </row>
    <row r="2457" spans="8:31" x14ac:dyDescent="0.2">
      <c r="H2457" s="5"/>
      <c r="I2457" s="5"/>
      <c r="J2457" s="5"/>
      <c r="K2457" s="5"/>
      <c r="L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5"/>
      <c r="AC2457" t="e">
        <f ca="1">RANK(AB2457,OFFSET($AB$2,0,0,#REF!,1))</f>
        <v>#REF!</v>
      </c>
      <c r="AD2457" s="4" t="e">
        <f>InsurerSize(#REF!)</f>
        <v>#VALUE!</v>
      </c>
      <c r="AE2457" s="4" t="e">
        <f t="shared" si="50"/>
        <v>#VALUE!</v>
      </c>
    </row>
    <row r="2458" spans="8:31" x14ac:dyDescent="0.2"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5"/>
      <c r="AC2458" t="e">
        <f ca="1">RANK(AB2458,OFFSET($AB$2,0,0,#REF!,1))</f>
        <v>#REF!</v>
      </c>
      <c r="AD2458" s="4" t="e">
        <f>InsurerSize(#REF!)</f>
        <v>#VALUE!</v>
      </c>
      <c r="AE2458" s="4" t="e">
        <f t="shared" si="50"/>
        <v>#VALUE!</v>
      </c>
    </row>
    <row r="2459" spans="8:31" x14ac:dyDescent="0.2">
      <c r="H2459" s="5"/>
      <c r="I2459" s="5"/>
      <c r="J2459" s="5"/>
      <c r="K2459" s="5"/>
      <c r="L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5"/>
      <c r="AC2459" t="e">
        <f ca="1">RANK(AB2459,OFFSET($AB$2,0,0,#REF!,1))</f>
        <v>#REF!</v>
      </c>
      <c r="AD2459" s="4" t="e">
        <f>InsurerSize(#REF!)</f>
        <v>#VALUE!</v>
      </c>
      <c r="AE2459" s="4" t="e">
        <f t="shared" si="50"/>
        <v>#VALUE!</v>
      </c>
    </row>
    <row r="2460" spans="8:31" x14ac:dyDescent="0.2">
      <c r="H2460" s="5"/>
      <c r="I2460" s="5"/>
      <c r="J2460" s="5"/>
      <c r="K2460" s="5"/>
      <c r="L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5"/>
      <c r="AC2460" t="e">
        <f ca="1">RANK(AB2460,OFFSET($AB$2,0,0,#REF!,1))</f>
        <v>#REF!</v>
      </c>
      <c r="AD2460" s="4" t="e">
        <f>InsurerSize(#REF!)</f>
        <v>#VALUE!</v>
      </c>
      <c r="AE2460" s="4" t="e">
        <f t="shared" si="50"/>
        <v>#VALUE!</v>
      </c>
    </row>
    <row r="2461" spans="8:31" x14ac:dyDescent="0.2"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5"/>
      <c r="AC2461" t="e">
        <f ca="1">RANK(AB2461,OFFSET($AB$2,0,0,#REF!,1))</f>
        <v>#REF!</v>
      </c>
      <c r="AD2461" s="4" t="e">
        <f>InsurerSize(#REF!)</f>
        <v>#VALUE!</v>
      </c>
      <c r="AE2461" s="4" t="e">
        <f t="shared" si="50"/>
        <v>#VALUE!</v>
      </c>
    </row>
    <row r="2462" spans="8:31" x14ac:dyDescent="0.2">
      <c r="H2462" s="5"/>
      <c r="I2462" s="5"/>
      <c r="J2462" s="5"/>
      <c r="K2462" s="5"/>
      <c r="L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5"/>
      <c r="AC2462" t="e">
        <f ca="1">RANK(AB2462,OFFSET($AB$2,0,0,#REF!,1))</f>
        <v>#REF!</v>
      </c>
      <c r="AD2462" s="4" t="e">
        <f>InsurerSize(#REF!)</f>
        <v>#VALUE!</v>
      </c>
      <c r="AE2462" s="4" t="e">
        <f t="shared" si="50"/>
        <v>#VALUE!</v>
      </c>
    </row>
    <row r="2463" spans="8:31" x14ac:dyDescent="0.2">
      <c r="H2463" s="5"/>
      <c r="I2463" s="5"/>
      <c r="J2463" s="5"/>
      <c r="K2463" s="5"/>
      <c r="L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5"/>
      <c r="AC2463" t="e">
        <f ca="1">RANK(AB2463,OFFSET($AB$2,0,0,#REF!,1))</f>
        <v>#REF!</v>
      </c>
      <c r="AD2463" s="4" t="e">
        <f>InsurerSize(#REF!)</f>
        <v>#VALUE!</v>
      </c>
      <c r="AE2463" s="4" t="e">
        <f t="shared" si="50"/>
        <v>#VALUE!</v>
      </c>
    </row>
    <row r="2464" spans="8:31" x14ac:dyDescent="0.2">
      <c r="H2464" s="5"/>
      <c r="I2464" s="5"/>
      <c r="J2464" s="5"/>
      <c r="K2464" s="5"/>
      <c r="L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5"/>
      <c r="AC2464" t="e">
        <f ca="1">RANK(AB2464,OFFSET($AB$2,0,0,#REF!,1))</f>
        <v>#REF!</v>
      </c>
      <c r="AD2464" s="4" t="e">
        <f>InsurerSize(#REF!)</f>
        <v>#VALUE!</v>
      </c>
      <c r="AE2464" s="4" t="e">
        <f t="shared" si="50"/>
        <v>#VALUE!</v>
      </c>
    </row>
    <row r="2465" spans="8:31" x14ac:dyDescent="0.2">
      <c r="H2465" s="5"/>
      <c r="I2465" s="5"/>
      <c r="J2465" s="5"/>
      <c r="K2465" s="5"/>
      <c r="L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5"/>
      <c r="AC2465" t="e">
        <f ca="1">RANK(AB2465,OFFSET($AB$2,0,0,#REF!,1))</f>
        <v>#REF!</v>
      </c>
      <c r="AD2465" s="4" t="e">
        <f>InsurerSize(#REF!)</f>
        <v>#VALUE!</v>
      </c>
      <c r="AE2465" s="4" t="e">
        <f t="shared" si="50"/>
        <v>#VALUE!</v>
      </c>
    </row>
    <row r="2466" spans="8:31" x14ac:dyDescent="0.2">
      <c r="H2466" s="5"/>
      <c r="I2466" s="5"/>
      <c r="J2466" s="5"/>
      <c r="K2466" s="5"/>
      <c r="L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5"/>
      <c r="AC2466" t="e">
        <f ca="1">RANK(AB2466,OFFSET($AB$2,0,0,#REF!,1))</f>
        <v>#REF!</v>
      </c>
      <c r="AD2466" s="4" t="e">
        <f>InsurerSize(#REF!)</f>
        <v>#VALUE!</v>
      </c>
      <c r="AE2466" s="4" t="e">
        <f t="shared" si="50"/>
        <v>#VALUE!</v>
      </c>
    </row>
    <row r="2467" spans="8:31" x14ac:dyDescent="0.2">
      <c r="H2467" s="5"/>
      <c r="I2467" s="5"/>
      <c r="J2467" s="5"/>
      <c r="K2467" s="5"/>
      <c r="L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5"/>
      <c r="AC2467" t="e">
        <f ca="1">RANK(AB2467,OFFSET($AB$2,0,0,#REF!,1))</f>
        <v>#REF!</v>
      </c>
      <c r="AD2467" s="4" t="e">
        <f>InsurerSize(#REF!)</f>
        <v>#VALUE!</v>
      </c>
      <c r="AE2467" s="4" t="e">
        <f t="shared" si="50"/>
        <v>#VALUE!</v>
      </c>
    </row>
    <row r="2468" spans="8:31" x14ac:dyDescent="0.2">
      <c r="H2468" s="5"/>
      <c r="I2468" s="5"/>
      <c r="J2468" s="5"/>
      <c r="K2468" s="5"/>
      <c r="L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5"/>
      <c r="AC2468" t="e">
        <f ca="1">RANK(AB2468,OFFSET($AB$2,0,0,#REF!,1))</f>
        <v>#REF!</v>
      </c>
      <c r="AD2468" s="4" t="e">
        <f>InsurerSize(#REF!)</f>
        <v>#VALUE!</v>
      </c>
      <c r="AE2468" s="4" t="e">
        <f t="shared" si="50"/>
        <v>#VALUE!</v>
      </c>
    </row>
    <row r="2469" spans="8:31" x14ac:dyDescent="0.2">
      <c r="H2469" s="5"/>
      <c r="I2469" s="5"/>
      <c r="J2469" s="5"/>
      <c r="K2469" s="5"/>
      <c r="L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5"/>
      <c r="AC2469" t="e">
        <f ca="1">RANK(AB2469,OFFSET($AB$2,0,0,#REF!,1))</f>
        <v>#REF!</v>
      </c>
      <c r="AD2469" s="4" t="e">
        <f>InsurerSize(#REF!)</f>
        <v>#VALUE!</v>
      </c>
      <c r="AE2469" s="4" t="e">
        <f t="shared" si="50"/>
        <v>#VALUE!</v>
      </c>
    </row>
    <row r="2470" spans="8:31" x14ac:dyDescent="0.2">
      <c r="H2470" s="5"/>
      <c r="I2470" s="5"/>
      <c r="J2470" s="5"/>
      <c r="K2470" s="5"/>
      <c r="L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5"/>
      <c r="AC2470" t="e">
        <f ca="1">RANK(AB2470,OFFSET($AB$2,0,0,#REF!,1))</f>
        <v>#REF!</v>
      </c>
      <c r="AD2470" s="4" t="e">
        <f>InsurerSize(#REF!)</f>
        <v>#VALUE!</v>
      </c>
      <c r="AE2470" s="4" t="e">
        <f t="shared" si="50"/>
        <v>#VALUE!</v>
      </c>
    </row>
    <row r="2471" spans="8:31" x14ac:dyDescent="0.2">
      <c r="H2471" s="5"/>
      <c r="I2471" s="5"/>
      <c r="J2471" s="5"/>
      <c r="K2471" s="5"/>
      <c r="L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5"/>
      <c r="AC2471" t="e">
        <f ca="1">RANK(AB2471,OFFSET($AB$2,0,0,#REF!,1))</f>
        <v>#REF!</v>
      </c>
      <c r="AD2471" s="4" t="e">
        <f>InsurerSize(#REF!)</f>
        <v>#VALUE!</v>
      </c>
      <c r="AE2471" s="4" t="e">
        <f t="shared" si="50"/>
        <v>#VALUE!</v>
      </c>
    </row>
    <row r="2472" spans="8:31" x14ac:dyDescent="0.2">
      <c r="H2472" s="5"/>
      <c r="I2472" s="5"/>
      <c r="J2472" s="5"/>
      <c r="K2472" s="5"/>
      <c r="L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5"/>
      <c r="AC2472" t="e">
        <f ca="1">RANK(AB2472,OFFSET($AB$2,0,0,#REF!,1))</f>
        <v>#REF!</v>
      </c>
      <c r="AD2472" s="4" t="e">
        <f>InsurerSize(#REF!)</f>
        <v>#VALUE!</v>
      </c>
      <c r="AE2472" s="4" t="e">
        <f t="shared" si="50"/>
        <v>#VALUE!</v>
      </c>
    </row>
    <row r="2473" spans="8:31" x14ac:dyDescent="0.2">
      <c r="H2473" s="5"/>
      <c r="I2473" s="5"/>
      <c r="J2473" s="5"/>
      <c r="K2473" s="5"/>
      <c r="L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5"/>
      <c r="AC2473" t="e">
        <f ca="1">RANK(AB2473,OFFSET($AB$2,0,0,#REF!,1))</f>
        <v>#REF!</v>
      </c>
      <c r="AD2473" s="4" t="e">
        <f>InsurerSize(#REF!)</f>
        <v>#VALUE!</v>
      </c>
      <c r="AE2473" s="4" t="e">
        <f t="shared" si="50"/>
        <v>#VALUE!</v>
      </c>
    </row>
    <row r="2474" spans="8:31" x14ac:dyDescent="0.2">
      <c r="H2474" s="5"/>
      <c r="I2474" s="5"/>
      <c r="J2474" s="5"/>
      <c r="K2474" s="5"/>
      <c r="L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5"/>
      <c r="AC2474" t="e">
        <f ca="1">RANK(AB2474,OFFSET($AB$2,0,0,#REF!,1))</f>
        <v>#REF!</v>
      </c>
      <c r="AD2474" s="4" t="e">
        <f>InsurerSize(#REF!)</f>
        <v>#VALUE!</v>
      </c>
      <c r="AE2474" s="4" t="e">
        <f t="shared" si="50"/>
        <v>#VALUE!</v>
      </c>
    </row>
    <row r="2475" spans="8:31" x14ac:dyDescent="0.2">
      <c r="H2475" s="5"/>
      <c r="I2475" s="5"/>
      <c r="J2475" s="5"/>
      <c r="K2475" s="5"/>
      <c r="L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5"/>
      <c r="AC2475" t="e">
        <f ca="1">RANK(AB2475,OFFSET($AB$2,0,0,#REF!,1))</f>
        <v>#REF!</v>
      </c>
      <c r="AD2475" s="4" t="e">
        <f>InsurerSize(#REF!)</f>
        <v>#VALUE!</v>
      </c>
      <c r="AE2475" s="4" t="e">
        <f t="shared" si="50"/>
        <v>#VALUE!</v>
      </c>
    </row>
    <row r="2476" spans="8:31" x14ac:dyDescent="0.2">
      <c r="H2476" s="5"/>
      <c r="I2476" s="5"/>
      <c r="J2476" s="5"/>
      <c r="K2476" s="5"/>
      <c r="L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5"/>
      <c r="AC2476" t="e">
        <f ca="1">RANK(AB2476,OFFSET($AB$2,0,0,#REF!,1))</f>
        <v>#REF!</v>
      </c>
      <c r="AD2476" s="4" t="e">
        <f>InsurerSize(#REF!)</f>
        <v>#VALUE!</v>
      </c>
      <c r="AE2476" s="4" t="e">
        <f t="shared" si="50"/>
        <v>#VALUE!</v>
      </c>
    </row>
    <row r="2477" spans="8:31" x14ac:dyDescent="0.2">
      <c r="H2477" s="5"/>
      <c r="I2477" s="5"/>
      <c r="J2477" s="5"/>
      <c r="K2477" s="5"/>
      <c r="L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5"/>
      <c r="AC2477" t="e">
        <f ca="1">RANK(AB2477,OFFSET($AB$2,0,0,#REF!,1))</f>
        <v>#REF!</v>
      </c>
      <c r="AD2477" s="4" t="e">
        <f>InsurerSize(#REF!)</f>
        <v>#VALUE!</v>
      </c>
      <c r="AE2477" s="4" t="e">
        <f t="shared" si="50"/>
        <v>#VALUE!</v>
      </c>
    </row>
    <row r="2478" spans="8:31" x14ac:dyDescent="0.2">
      <c r="H2478" s="5"/>
      <c r="I2478" s="5"/>
      <c r="J2478" s="5"/>
      <c r="K2478" s="5"/>
      <c r="L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5"/>
      <c r="AC2478" t="e">
        <f ca="1">RANK(AB2478,OFFSET($AB$2,0,0,#REF!,1))</f>
        <v>#REF!</v>
      </c>
      <c r="AD2478" s="4" t="e">
        <f>InsurerSize(#REF!)</f>
        <v>#VALUE!</v>
      </c>
      <c r="AE2478" s="4" t="e">
        <f t="shared" si="50"/>
        <v>#VALUE!</v>
      </c>
    </row>
    <row r="2479" spans="8:31" x14ac:dyDescent="0.2">
      <c r="H2479" s="5"/>
      <c r="I2479" s="5"/>
      <c r="J2479" s="5"/>
      <c r="K2479" s="5"/>
      <c r="L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5"/>
      <c r="AC2479" t="e">
        <f ca="1">RANK(AB2479,OFFSET($AB$2,0,0,#REF!,1))</f>
        <v>#REF!</v>
      </c>
      <c r="AD2479" s="4" t="e">
        <f>InsurerSize(#REF!)</f>
        <v>#VALUE!</v>
      </c>
      <c r="AE2479" s="4" t="e">
        <f t="shared" si="50"/>
        <v>#VALUE!</v>
      </c>
    </row>
    <row r="2480" spans="8:31" x14ac:dyDescent="0.2">
      <c r="H2480" s="5"/>
      <c r="I2480" s="5"/>
      <c r="J2480" s="5"/>
      <c r="K2480" s="5"/>
      <c r="L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5"/>
      <c r="AC2480" t="e">
        <f ca="1">RANK(AB2480,OFFSET($AB$2,0,0,#REF!,1))</f>
        <v>#REF!</v>
      </c>
      <c r="AD2480" s="4" t="e">
        <f>InsurerSize(#REF!)</f>
        <v>#VALUE!</v>
      </c>
      <c r="AE2480" s="4" t="e">
        <f t="shared" si="50"/>
        <v>#VALUE!</v>
      </c>
    </row>
    <row r="2481" spans="8:31" x14ac:dyDescent="0.2">
      <c r="H2481" s="5"/>
      <c r="I2481" s="5"/>
      <c r="J2481" s="5"/>
      <c r="K2481" s="5"/>
      <c r="L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5"/>
      <c r="AC2481" t="e">
        <f ca="1">RANK(AB2481,OFFSET($AB$2,0,0,#REF!,1))</f>
        <v>#REF!</v>
      </c>
      <c r="AD2481" s="4" t="e">
        <f>InsurerSize(#REF!)</f>
        <v>#VALUE!</v>
      </c>
      <c r="AE2481" s="4" t="e">
        <f t="shared" si="50"/>
        <v>#VALUE!</v>
      </c>
    </row>
    <row r="2482" spans="8:31" x14ac:dyDescent="0.2">
      <c r="H2482" s="5"/>
      <c r="I2482" s="5"/>
      <c r="J2482" s="5"/>
      <c r="K2482" s="5"/>
      <c r="L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5"/>
      <c r="AC2482" t="e">
        <f ca="1">RANK(AB2482,OFFSET($AB$2,0,0,#REF!,1))</f>
        <v>#REF!</v>
      </c>
      <c r="AD2482" s="4" t="e">
        <f>InsurerSize(#REF!)</f>
        <v>#VALUE!</v>
      </c>
      <c r="AE2482" s="4" t="e">
        <f t="shared" si="50"/>
        <v>#VALUE!</v>
      </c>
    </row>
    <row r="2483" spans="8:31" x14ac:dyDescent="0.2">
      <c r="H2483" s="5"/>
      <c r="I2483" s="5"/>
      <c r="J2483" s="5"/>
      <c r="K2483" s="5"/>
      <c r="L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5"/>
      <c r="AC2483" t="e">
        <f ca="1">RANK(AB2483,OFFSET($AB$2,0,0,#REF!,1))</f>
        <v>#REF!</v>
      </c>
      <c r="AD2483" s="4" t="e">
        <f>InsurerSize(#REF!)</f>
        <v>#VALUE!</v>
      </c>
      <c r="AE2483" s="4" t="e">
        <f t="shared" si="50"/>
        <v>#VALUE!</v>
      </c>
    </row>
    <row r="2484" spans="8:31" x14ac:dyDescent="0.2">
      <c r="H2484" s="5"/>
      <c r="I2484" s="5"/>
      <c r="J2484" s="5"/>
      <c r="K2484" s="5"/>
      <c r="L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5"/>
      <c r="AC2484" t="e">
        <f ca="1">RANK(AB2484,OFFSET($AB$2,0,0,#REF!,1))</f>
        <v>#REF!</v>
      </c>
      <c r="AD2484" s="4" t="e">
        <f>InsurerSize(#REF!)</f>
        <v>#VALUE!</v>
      </c>
      <c r="AE2484" s="4" t="e">
        <f t="shared" si="50"/>
        <v>#VALUE!</v>
      </c>
    </row>
    <row r="2485" spans="8:31" x14ac:dyDescent="0.2">
      <c r="H2485" s="5"/>
      <c r="I2485" s="5"/>
      <c r="J2485" s="5"/>
      <c r="K2485" s="5"/>
      <c r="L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5"/>
      <c r="AC2485" t="e">
        <f ca="1">RANK(AB2485,OFFSET($AB$2,0,0,#REF!,1))</f>
        <v>#REF!</v>
      </c>
      <c r="AD2485" s="4" t="e">
        <f>InsurerSize(#REF!)</f>
        <v>#VALUE!</v>
      </c>
      <c r="AE2485" s="4" t="e">
        <f t="shared" si="50"/>
        <v>#VALUE!</v>
      </c>
    </row>
    <row r="2486" spans="8:31" x14ac:dyDescent="0.2">
      <c r="H2486" s="5"/>
      <c r="I2486" s="5"/>
      <c r="J2486" s="5"/>
      <c r="K2486" s="5"/>
      <c r="L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5"/>
      <c r="AC2486" t="e">
        <f ca="1">RANK(AB2486,OFFSET($AB$2,0,0,#REF!,1))</f>
        <v>#REF!</v>
      </c>
      <c r="AD2486" s="4" t="e">
        <f>InsurerSize(#REF!)</f>
        <v>#VALUE!</v>
      </c>
      <c r="AE2486" s="4" t="e">
        <f t="shared" si="50"/>
        <v>#VALUE!</v>
      </c>
    </row>
    <row r="2487" spans="8:31" x14ac:dyDescent="0.2">
      <c r="H2487" s="5"/>
      <c r="I2487" s="5"/>
      <c r="J2487" s="5"/>
      <c r="K2487" s="5"/>
      <c r="L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5"/>
      <c r="AC2487" t="e">
        <f ca="1">RANK(AB2487,OFFSET($AB$2,0,0,#REF!,1))</f>
        <v>#REF!</v>
      </c>
      <c r="AD2487" s="4" t="e">
        <f>InsurerSize(#REF!)</f>
        <v>#VALUE!</v>
      </c>
      <c r="AE2487" s="4" t="e">
        <f t="shared" si="50"/>
        <v>#VALUE!</v>
      </c>
    </row>
    <row r="2488" spans="8:31" x14ac:dyDescent="0.2">
      <c r="H2488" s="5"/>
      <c r="I2488" s="5"/>
      <c r="J2488" s="5"/>
      <c r="K2488" s="5"/>
      <c r="L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5"/>
      <c r="AC2488" t="e">
        <f ca="1">RANK(AB2488,OFFSET($AB$2,0,0,#REF!,1))</f>
        <v>#REF!</v>
      </c>
      <c r="AD2488" s="4" t="e">
        <f>InsurerSize(#REF!)</f>
        <v>#VALUE!</v>
      </c>
      <c r="AE2488" s="4" t="e">
        <f t="shared" si="50"/>
        <v>#VALUE!</v>
      </c>
    </row>
    <row r="2489" spans="8:31" x14ac:dyDescent="0.2">
      <c r="H2489" s="5"/>
      <c r="I2489" s="5"/>
      <c r="J2489" s="5"/>
      <c r="K2489" s="5"/>
      <c r="L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5"/>
      <c r="AC2489" t="e">
        <f ca="1">RANK(AB2489,OFFSET($AB$2,0,0,#REF!,1))</f>
        <v>#REF!</v>
      </c>
      <c r="AD2489" s="4" t="e">
        <f>InsurerSize(#REF!)</f>
        <v>#VALUE!</v>
      </c>
      <c r="AE2489" s="4" t="e">
        <f t="shared" si="50"/>
        <v>#VALUE!</v>
      </c>
    </row>
    <row r="2490" spans="8:31" x14ac:dyDescent="0.2">
      <c r="H2490" s="5"/>
      <c r="I2490" s="5"/>
      <c r="J2490" s="5"/>
      <c r="K2490" s="5"/>
      <c r="L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5"/>
      <c r="AC2490" t="e">
        <f ca="1">RANK(AB2490,OFFSET($AB$2,0,0,#REF!,1))</f>
        <v>#REF!</v>
      </c>
      <c r="AD2490" s="4" t="e">
        <f>InsurerSize(#REF!)</f>
        <v>#VALUE!</v>
      </c>
      <c r="AE2490" s="4" t="e">
        <f t="shared" si="50"/>
        <v>#VALUE!</v>
      </c>
    </row>
    <row r="2491" spans="8:31" x14ac:dyDescent="0.2">
      <c r="H2491" s="5"/>
      <c r="I2491" s="5"/>
      <c r="J2491" s="5"/>
      <c r="K2491" s="5"/>
      <c r="L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5"/>
      <c r="AC2491" t="e">
        <f ca="1">RANK(AB2491,OFFSET($AB$2,0,0,#REF!,1))</f>
        <v>#REF!</v>
      </c>
      <c r="AD2491" s="4" t="e">
        <f>InsurerSize(#REF!)</f>
        <v>#VALUE!</v>
      </c>
      <c r="AE2491" s="4" t="e">
        <f t="shared" si="50"/>
        <v>#VALUE!</v>
      </c>
    </row>
    <row r="2492" spans="8:31" x14ac:dyDescent="0.2">
      <c r="H2492" s="5"/>
      <c r="I2492" s="5"/>
      <c r="J2492" s="5"/>
      <c r="K2492" s="5"/>
      <c r="L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5"/>
      <c r="AC2492" t="e">
        <f ca="1">RANK(AB2492,OFFSET($AB$2,0,0,#REF!,1))</f>
        <v>#REF!</v>
      </c>
      <c r="AD2492" s="4" t="e">
        <f>InsurerSize(#REF!)</f>
        <v>#VALUE!</v>
      </c>
      <c r="AE2492" s="4" t="e">
        <f t="shared" si="50"/>
        <v>#VALUE!</v>
      </c>
    </row>
    <row r="2493" spans="8:31" x14ac:dyDescent="0.2">
      <c r="H2493" s="5"/>
      <c r="I2493" s="5"/>
      <c r="J2493" s="5"/>
      <c r="K2493" s="5"/>
      <c r="L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5"/>
      <c r="AC2493" t="e">
        <f ca="1">RANK(AB2493,OFFSET($AB$2,0,0,#REF!,1))</f>
        <v>#REF!</v>
      </c>
      <c r="AD2493" s="4" t="e">
        <f>InsurerSize(#REF!)</f>
        <v>#VALUE!</v>
      </c>
      <c r="AE2493" s="4" t="e">
        <f t="shared" si="50"/>
        <v>#VALUE!</v>
      </c>
    </row>
    <row r="2494" spans="8:31" x14ac:dyDescent="0.2">
      <c r="H2494" s="5"/>
      <c r="I2494" s="5"/>
      <c r="J2494" s="5"/>
      <c r="K2494" s="5"/>
      <c r="L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5"/>
      <c r="AC2494" t="e">
        <f ca="1">RANK(AB2494,OFFSET($AB$2,0,0,#REF!,1))</f>
        <v>#REF!</v>
      </c>
      <c r="AD2494" s="4" t="e">
        <f>InsurerSize(#REF!)</f>
        <v>#VALUE!</v>
      </c>
      <c r="AE2494" s="4" t="e">
        <f t="shared" si="50"/>
        <v>#VALUE!</v>
      </c>
    </row>
    <row r="2495" spans="8:31" x14ac:dyDescent="0.2">
      <c r="H2495" s="5"/>
      <c r="I2495" s="5"/>
      <c r="J2495" s="5"/>
      <c r="K2495" s="5"/>
      <c r="L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5"/>
      <c r="AC2495" t="e">
        <f ca="1">RANK(AB2495,OFFSET($AB$2,0,0,#REF!,1))</f>
        <v>#REF!</v>
      </c>
      <c r="AD2495" s="4" t="e">
        <f>InsurerSize(#REF!)</f>
        <v>#VALUE!</v>
      </c>
      <c r="AE2495" s="4" t="e">
        <f t="shared" si="50"/>
        <v>#VALUE!</v>
      </c>
    </row>
    <row r="2496" spans="8:31" x14ac:dyDescent="0.2">
      <c r="H2496" s="5"/>
      <c r="I2496" s="5"/>
      <c r="J2496" s="5"/>
      <c r="K2496" s="5"/>
      <c r="L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5"/>
      <c r="AC2496" t="e">
        <f ca="1">RANK(AB2496,OFFSET($AB$2,0,0,#REF!,1))</f>
        <v>#REF!</v>
      </c>
      <c r="AD2496" s="4" t="e">
        <f>InsurerSize(#REF!)</f>
        <v>#VALUE!</v>
      </c>
      <c r="AE2496" s="4" t="e">
        <f t="shared" si="50"/>
        <v>#VALUE!</v>
      </c>
    </row>
    <row r="2497" spans="8:31" x14ac:dyDescent="0.2"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5"/>
      <c r="AC2497" t="e">
        <f ca="1">RANK(AB2497,OFFSET($AB$2,0,0,#REF!,1))</f>
        <v>#REF!</v>
      </c>
      <c r="AD2497" s="4" t="e">
        <f>InsurerSize(#REF!)</f>
        <v>#VALUE!</v>
      </c>
      <c r="AE2497" s="4" t="e">
        <f t="shared" si="50"/>
        <v>#VALUE!</v>
      </c>
    </row>
    <row r="2498" spans="8:31" x14ac:dyDescent="0.2">
      <c r="H2498" s="5"/>
      <c r="I2498" s="5"/>
      <c r="J2498" s="5"/>
      <c r="K2498" s="5"/>
      <c r="L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5"/>
      <c r="AC2498" t="e">
        <f ca="1">RANK(AB2498,OFFSET($AB$2,0,0,#REF!,1))</f>
        <v>#REF!</v>
      </c>
      <c r="AD2498" s="4" t="e">
        <f>InsurerSize(#REF!)</f>
        <v>#VALUE!</v>
      </c>
      <c r="AE2498" s="4" t="e">
        <f t="shared" ref="AE2498:AE2561" si="51">A2498&amp;AD2498</f>
        <v>#VALUE!</v>
      </c>
    </row>
    <row r="2499" spans="8:31" x14ac:dyDescent="0.2">
      <c r="H2499" s="5"/>
      <c r="I2499" s="5"/>
      <c r="J2499" s="5"/>
      <c r="K2499" s="5"/>
      <c r="L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5"/>
      <c r="AC2499" t="e">
        <f ca="1">RANK(AB2499,OFFSET($AB$2,0,0,#REF!,1))</f>
        <v>#REF!</v>
      </c>
      <c r="AD2499" s="4" t="e">
        <f>InsurerSize(#REF!)</f>
        <v>#VALUE!</v>
      </c>
      <c r="AE2499" s="4" t="e">
        <f t="shared" si="51"/>
        <v>#VALUE!</v>
      </c>
    </row>
    <row r="2500" spans="8:31" x14ac:dyDescent="0.2">
      <c r="H2500" s="5"/>
      <c r="I2500" s="5"/>
      <c r="J2500" s="5"/>
      <c r="K2500" s="5"/>
      <c r="L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5"/>
      <c r="AC2500" t="e">
        <f ca="1">RANK(AB2500,OFFSET($AB$2,0,0,#REF!,1))</f>
        <v>#REF!</v>
      </c>
      <c r="AD2500" s="4" t="e">
        <f>InsurerSize(#REF!)</f>
        <v>#VALUE!</v>
      </c>
      <c r="AE2500" s="4" t="e">
        <f t="shared" si="51"/>
        <v>#VALUE!</v>
      </c>
    </row>
    <row r="2501" spans="8:31" x14ac:dyDescent="0.2">
      <c r="H2501" s="5"/>
      <c r="I2501" s="5"/>
      <c r="J2501" s="5"/>
      <c r="K2501" s="5"/>
      <c r="L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5"/>
      <c r="AC2501" t="e">
        <f ca="1">RANK(AB2501,OFFSET($AB$2,0,0,#REF!,1))</f>
        <v>#REF!</v>
      </c>
      <c r="AD2501" s="4" t="e">
        <f>InsurerSize(#REF!)</f>
        <v>#VALUE!</v>
      </c>
      <c r="AE2501" s="4" t="e">
        <f t="shared" si="51"/>
        <v>#VALUE!</v>
      </c>
    </row>
    <row r="2502" spans="8:31" x14ac:dyDescent="0.2">
      <c r="H2502" s="5"/>
      <c r="I2502" s="5"/>
      <c r="J2502" s="5"/>
      <c r="K2502" s="5"/>
      <c r="L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5"/>
      <c r="AC2502" t="e">
        <f ca="1">RANK(AB2502,OFFSET($AB$2,0,0,#REF!,1))</f>
        <v>#REF!</v>
      </c>
      <c r="AD2502" s="4" t="e">
        <f>InsurerSize(#REF!)</f>
        <v>#VALUE!</v>
      </c>
      <c r="AE2502" s="4" t="e">
        <f t="shared" si="51"/>
        <v>#VALUE!</v>
      </c>
    </row>
    <row r="2503" spans="8:31" x14ac:dyDescent="0.2">
      <c r="H2503" s="5"/>
      <c r="I2503" s="5"/>
      <c r="J2503" s="5"/>
      <c r="K2503" s="5"/>
      <c r="L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5"/>
      <c r="AC2503" t="e">
        <f ca="1">RANK(AB2503,OFFSET($AB$2,0,0,#REF!,1))</f>
        <v>#REF!</v>
      </c>
      <c r="AD2503" s="4" t="e">
        <f>InsurerSize(#REF!)</f>
        <v>#VALUE!</v>
      </c>
      <c r="AE2503" s="4" t="e">
        <f t="shared" si="51"/>
        <v>#VALUE!</v>
      </c>
    </row>
    <row r="2504" spans="8:31" x14ac:dyDescent="0.2">
      <c r="H2504" s="5"/>
      <c r="I2504" s="5"/>
      <c r="J2504" s="5"/>
      <c r="K2504" s="5"/>
      <c r="L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5"/>
      <c r="AC2504" t="e">
        <f ca="1">RANK(AB2504,OFFSET($AB$2,0,0,#REF!,1))</f>
        <v>#REF!</v>
      </c>
      <c r="AD2504" s="4" t="e">
        <f>InsurerSize(#REF!)</f>
        <v>#VALUE!</v>
      </c>
      <c r="AE2504" s="4" t="e">
        <f t="shared" si="51"/>
        <v>#VALUE!</v>
      </c>
    </row>
    <row r="2505" spans="8:31" x14ac:dyDescent="0.2">
      <c r="H2505" s="5"/>
      <c r="I2505" s="5"/>
      <c r="J2505" s="5"/>
      <c r="K2505" s="5"/>
      <c r="L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5"/>
      <c r="AC2505" t="e">
        <f ca="1">RANK(AB2505,OFFSET($AB$2,0,0,#REF!,1))</f>
        <v>#REF!</v>
      </c>
      <c r="AD2505" s="4" t="e">
        <f>InsurerSize(#REF!)</f>
        <v>#VALUE!</v>
      </c>
      <c r="AE2505" s="4" t="e">
        <f t="shared" si="51"/>
        <v>#VALUE!</v>
      </c>
    </row>
    <row r="2506" spans="8:31" x14ac:dyDescent="0.2">
      <c r="H2506" s="5"/>
      <c r="I2506" s="5"/>
      <c r="J2506" s="5"/>
      <c r="K2506" s="5"/>
      <c r="L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5"/>
      <c r="AC2506" t="e">
        <f ca="1">RANK(AB2506,OFFSET($AB$2,0,0,#REF!,1))</f>
        <v>#REF!</v>
      </c>
      <c r="AD2506" s="4" t="e">
        <f>InsurerSize(#REF!)</f>
        <v>#VALUE!</v>
      </c>
      <c r="AE2506" s="4" t="e">
        <f t="shared" si="51"/>
        <v>#VALUE!</v>
      </c>
    </row>
    <row r="2507" spans="8:31" x14ac:dyDescent="0.2">
      <c r="H2507" s="5"/>
      <c r="I2507" s="5"/>
      <c r="J2507" s="5"/>
      <c r="K2507" s="5"/>
      <c r="L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5"/>
      <c r="AC2507" t="e">
        <f ca="1">RANK(AB2507,OFFSET($AB$2,0,0,#REF!,1))</f>
        <v>#REF!</v>
      </c>
      <c r="AD2507" s="4" t="e">
        <f>InsurerSize(#REF!)</f>
        <v>#VALUE!</v>
      </c>
      <c r="AE2507" s="4" t="e">
        <f t="shared" si="51"/>
        <v>#VALUE!</v>
      </c>
    </row>
    <row r="2508" spans="8:31" x14ac:dyDescent="0.2">
      <c r="H2508" s="5"/>
      <c r="I2508" s="5"/>
      <c r="J2508" s="5"/>
      <c r="K2508" s="5"/>
      <c r="L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5"/>
      <c r="AC2508" t="e">
        <f ca="1">RANK(AB2508,OFFSET($AB$2,0,0,#REF!,1))</f>
        <v>#REF!</v>
      </c>
      <c r="AD2508" s="4" t="e">
        <f>InsurerSize(#REF!)</f>
        <v>#VALUE!</v>
      </c>
      <c r="AE2508" s="4" t="e">
        <f t="shared" si="51"/>
        <v>#VALUE!</v>
      </c>
    </row>
    <row r="2509" spans="8:31" x14ac:dyDescent="0.2">
      <c r="H2509" s="5"/>
      <c r="I2509" s="5"/>
      <c r="J2509" s="5"/>
      <c r="K2509" s="5"/>
      <c r="L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5"/>
      <c r="AC2509" t="e">
        <f ca="1">RANK(AB2509,OFFSET($AB$2,0,0,#REF!,1))</f>
        <v>#REF!</v>
      </c>
      <c r="AD2509" s="4" t="e">
        <f>InsurerSize(#REF!)</f>
        <v>#VALUE!</v>
      </c>
      <c r="AE2509" s="4" t="e">
        <f t="shared" si="51"/>
        <v>#VALUE!</v>
      </c>
    </row>
    <row r="2510" spans="8:31" x14ac:dyDescent="0.2">
      <c r="H2510" s="5"/>
      <c r="I2510" s="5"/>
      <c r="J2510" s="5"/>
      <c r="K2510" s="5"/>
      <c r="L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5"/>
      <c r="AC2510" t="e">
        <f ca="1">RANK(AB2510,OFFSET($AB$2,0,0,#REF!,1))</f>
        <v>#REF!</v>
      </c>
      <c r="AD2510" s="4" t="e">
        <f>InsurerSize(#REF!)</f>
        <v>#VALUE!</v>
      </c>
      <c r="AE2510" s="4" t="e">
        <f t="shared" si="51"/>
        <v>#VALUE!</v>
      </c>
    </row>
    <row r="2511" spans="8:31" x14ac:dyDescent="0.2">
      <c r="H2511" s="5"/>
      <c r="I2511" s="5"/>
      <c r="J2511" s="5"/>
      <c r="K2511" s="5"/>
      <c r="L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5"/>
      <c r="AC2511" t="e">
        <f ca="1">RANK(AB2511,OFFSET($AB$2,0,0,#REF!,1))</f>
        <v>#REF!</v>
      </c>
      <c r="AD2511" s="4" t="e">
        <f>InsurerSize(#REF!)</f>
        <v>#VALUE!</v>
      </c>
      <c r="AE2511" s="4" t="e">
        <f t="shared" si="51"/>
        <v>#VALUE!</v>
      </c>
    </row>
    <row r="2512" spans="8:31" x14ac:dyDescent="0.2">
      <c r="H2512" s="5"/>
      <c r="I2512" s="5"/>
      <c r="J2512" s="5"/>
      <c r="K2512" s="5"/>
      <c r="L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5"/>
      <c r="AC2512" t="e">
        <f ca="1">RANK(AB2512,OFFSET($AB$2,0,0,#REF!,1))</f>
        <v>#REF!</v>
      </c>
      <c r="AD2512" s="4" t="e">
        <f>InsurerSize(#REF!)</f>
        <v>#VALUE!</v>
      </c>
      <c r="AE2512" s="4" t="e">
        <f t="shared" si="51"/>
        <v>#VALUE!</v>
      </c>
    </row>
    <row r="2513" spans="8:31" x14ac:dyDescent="0.2">
      <c r="H2513" s="5"/>
      <c r="I2513" s="5"/>
      <c r="J2513" s="5"/>
      <c r="K2513" s="5"/>
      <c r="L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5"/>
      <c r="AC2513" t="e">
        <f ca="1">RANK(AB2513,OFFSET($AB$2,0,0,#REF!,1))</f>
        <v>#REF!</v>
      </c>
      <c r="AD2513" s="4" t="e">
        <f>InsurerSize(#REF!)</f>
        <v>#VALUE!</v>
      </c>
      <c r="AE2513" s="4" t="e">
        <f t="shared" si="51"/>
        <v>#VALUE!</v>
      </c>
    </row>
    <row r="2514" spans="8:31" x14ac:dyDescent="0.2">
      <c r="H2514" s="5"/>
      <c r="I2514" s="5"/>
      <c r="J2514" s="5"/>
      <c r="K2514" s="5"/>
      <c r="L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5"/>
      <c r="AC2514" t="e">
        <f ca="1">RANK(AB2514,OFFSET($AB$2,0,0,#REF!,1))</f>
        <v>#REF!</v>
      </c>
      <c r="AD2514" s="4" t="e">
        <f>InsurerSize(#REF!)</f>
        <v>#VALUE!</v>
      </c>
      <c r="AE2514" s="4" t="e">
        <f t="shared" si="51"/>
        <v>#VALUE!</v>
      </c>
    </row>
    <row r="2515" spans="8:31" x14ac:dyDescent="0.2">
      <c r="H2515" s="5"/>
      <c r="I2515" s="5"/>
      <c r="J2515" s="5"/>
      <c r="K2515" s="5"/>
      <c r="L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5"/>
      <c r="AC2515" t="e">
        <f ca="1">RANK(AB2515,OFFSET($AB$2,0,0,#REF!,1))</f>
        <v>#REF!</v>
      </c>
      <c r="AD2515" s="4" t="e">
        <f>InsurerSize(#REF!)</f>
        <v>#VALUE!</v>
      </c>
      <c r="AE2515" s="4" t="e">
        <f t="shared" si="51"/>
        <v>#VALUE!</v>
      </c>
    </row>
    <row r="2516" spans="8:31" x14ac:dyDescent="0.2">
      <c r="H2516" s="5"/>
      <c r="I2516" s="5"/>
      <c r="J2516" s="5"/>
      <c r="K2516" s="5"/>
      <c r="L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5"/>
      <c r="AC2516" t="e">
        <f ca="1">RANK(AB2516,OFFSET($AB$2,0,0,#REF!,1))</f>
        <v>#REF!</v>
      </c>
      <c r="AD2516" s="4" t="e">
        <f>InsurerSize(#REF!)</f>
        <v>#VALUE!</v>
      </c>
      <c r="AE2516" s="4" t="e">
        <f t="shared" si="51"/>
        <v>#VALUE!</v>
      </c>
    </row>
    <row r="2517" spans="8:31" x14ac:dyDescent="0.2">
      <c r="H2517" s="5"/>
      <c r="I2517" s="5"/>
      <c r="J2517" s="5"/>
      <c r="K2517" s="5"/>
      <c r="L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5"/>
      <c r="AC2517" t="e">
        <f ca="1">RANK(AB2517,OFFSET($AB$2,0,0,#REF!,1))</f>
        <v>#REF!</v>
      </c>
      <c r="AD2517" s="4" t="e">
        <f>InsurerSize(#REF!)</f>
        <v>#VALUE!</v>
      </c>
      <c r="AE2517" s="4" t="e">
        <f t="shared" si="51"/>
        <v>#VALUE!</v>
      </c>
    </row>
    <row r="2518" spans="8:31" x14ac:dyDescent="0.2">
      <c r="H2518" s="5"/>
      <c r="I2518" s="5"/>
      <c r="J2518" s="5"/>
      <c r="K2518" s="5"/>
      <c r="L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5"/>
      <c r="AC2518" t="e">
        <f ca="1">RANK(AB2518,OFFSET($AB$2,0,0,#REF!,1))</f>
        <v>#REF!</v>
      </c>
      <c r="AD2518" s="4" t="e">
        <f>InsurerSize(#REF!)</f>
        <v>#VALUE!</v>
      </c>
      <c r="AE2518" s="4" t="e">
        <f t="shared" si="51"/>
        <v>#VALUE!</v>
      </c>
    </row>
    <row r="2519" spans="8:31" x14ac:dyDescent="0.2">
      <c r="H2519" s="5"/>
      <c r="I2519" s="5"/>
      <c r="J2519" s="5"/>
      <c r="K2519" s="5"/>
      <c r="L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5"/>
      <c r="AC2519" t="e">
        <f ca="1">RANK(AB2519,OFFSET($AB$2,0,0,#REF!,1))</f>
        <v>#REF!</v>
      </c>
      <c r="AD2519" s="4" t="e">
        <f>InsurerSize(#REF!)</f>
        <v>#VALUE!</v>
      </c>
      <c r="AE2519" s="4" t="e">
        <f t="shared" si="51"/>
        <v>#VALUE!</v>
      </c>
    </row>
    <row r="2520" spans="8:31" x14ac:dyDescent="0.2">
      <c r="H2520" s="5"/>
      <c r="I2520" s="5"/>
      <c r="J2520" s="5"/>
      <c r="K2520" s="5"/>
      <c r="L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5"/>
      <c r="AC2520" t="e">
        <f ca="1">RANK(AB2520,OFFSET($AB$2,0,0,#REF!,1))</f>
        <v>#REF!</v>
      </c>
      <c r="AD2520" s="4" t="e">
        <f>InsurerSize(#REF!)</f>
        <v>#VALUE!</v>
      </c>
      <c r="AE2520" s="4" t="e">
        <f t="shared" si="51"/>
        <v>#VALUE!</v>
      </c>
    </row>
    <row r="2521" spans="8:31" x14ac:dyDescent="0.2">
      <c r="H2521" s="5"/>
      <c r="I2521" s="5"/>
      <c r="J2521" s="5"/>
      <c r="K2521" s="5"/>
      <c r="L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5"/>
      <c r="AC2521" t="e">
        <f ca="1">RANK(AB2521,OFFSET($AB$2,0,0,#REF!,1))</f>
        <v>#REF!</v>
      </c>
      <c r="AD2521" s="4" t="e">
        <f>InsurerSize(#REF!)</f>
        <v>#VALUE!</v>
      </c>
      <c r="AE2521" s="4" t="e">
        <f t="shared" si="51"/>
        <v>#VALUE!</v>
      </c>
    </row>
    <row r="2522" spans="8:31" x14ac:dyDescent="0.2">
      <c r="H2522" s="5"/>
      <c r="I2522" s="5"/>
      <c r="J2522" s="5"/>
      <c r="K2522" s="5"/>
      <c r="L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5"/>
      <c r="AC2522" t="e">
        <f ca="1">RANK(AB2522,OFFSET($AB$2,0,0,#REF!,1))</f>
        <v>#REF!</v>
      </c>
      <c r="AD2522" s="4" t="e">
        <f>InsurerSize(#REF!)</f>
        <v>#VALUE!</v>
      </c>
      <c r="AE2522" s="4" t="e">
        <f t="shared" si="51"/>
        <v>#VALUE!</v>
      </c>
    </row>
    <row r="2523" spans="8:31" x14ac:dyDescent="0.2">
      <c r="H2523" s="5"/>
      <c r="I2523" s="5"/>
      <c r="J2523" s="5"/>
      <c r="K2523" s="5"/>
      <c r="L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5"/>
      <c r="AC2523" t="e">
        <f ca="1">RANK(AB2523,OFFSET($AB$2,0,0,#REF!,1))</f>
        <v>#REF!</v>
      </c>
      <c r="AD2523" s="4" t="e">
        <f>InsurerSize(#REF!)</f>
        <v>#VALUE!</v>
      </c>
      <c r="AE2523" s="4" t="e">
        <f t="shared" si="51"/>
        <v>#VALUE!</v>
      </c>
    </row>
    <row r="2524" spans="8:31" x14ac:dyDescent="0.2">
      <c r="H2524" s="5"/>
      <c r="I2524" s="5"/>
      <c r="J2524" s="5"/>
      <c r="K2524" s="5"/>
      <c r="L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5"/>
      <c r="AC2524" t="e">
        <f ca="1">RANK(AB2524,OFFSET($AB$2,0,0,#REF!,1))</f>
        <v>#REF!</v>
      </c>
      <c r="AD2524" s="4" t="e">
        <f>InsurerSize(#REF!)</f>
        <v>#VALUE!</v>
      </c>
      <c r="AE2524" s="4" t="e">
        <f t="shared" si="51"/>
        <v>#VALUE!</v>
      </c>
    </row>
    <row r="2525" spans="8:31" x14ac:dyDescent="0.2">
      <c r="H2525" s="5"/>
      <c r="I2525" s="5"/>
      <c r="J2525" s="5"/>
      <c r="K2525" s="5"/>
      <c r="L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5"/>
      <c r="AC2525" t="e">
        <f ca="1">RANK(AB2525,OFFSET($AB$2,0,0,#REF!,1))</f>
        <v>#REF!</v>
      </c>
      <c r="AD2525" s="4" t="e">
        <f>InsurerSize(#REF!)</f>
        <v>#VALUE!</v>
      </c>
      <c r="AE2525" s="4" t="e">
        <f t="shared" si="51"/>
        <v>#VALUE!</v>
      </c>
    </row>
    <row r="2526" spans="8:31" x14ac:dyDescent="0.2">
      <c r="H2526" s="5"/>
      <c r="I2526" s="5"/>
      <c r="J2526" s="5"/>
      <c r="K2526" s="5"/>
      <c r="L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5"/>
      <c r="AC2526" t="e">
        <f ca="1">RANK(AB2526,OFFSET($AB$2,0,0,#REF!,1))</f>
        <v>#REF!</v>
      </c>
      <c r="AD2526" s="4" t="e">
        <f>InsurerSize(#REF!)</f>
        <v>#VALUE!</v>
      </c>
      <c r="AE2526" s="4" t="e">
        <f t="shared" si="51"/>
        <v>#VALUE!</v>
      </c>
    </row>
    <row r="2527" spans="8:31" x14ac:dyDescent="0.2">
      <c r="H2527" s="5"/>
      <c r="I2527" s="5"/>
      <c r="J2527" s="5"/>
      <c r="K2527" s="5"/>
      <c r="L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5"/>
      <c r="AC2527" t="e">
        <f ca="1">RANK(AB2527,OFFSET($AB$2,0,0,#REF!,1))</f>
        <v>#REF!</v>
      </c>
      <c r="AD2527" s="4" t="e">
        <f>InsurerSize(#REF!)</f>
        <v>#VALUE!</v>
      </c>
      <c r="AE2527" s="4" t="e">
        <f t="shared" si="51"/>
        <v>#VALUE!</v>
      </c>
    </row>
    <row r="2528" spans="8:31" x14ac:dyDescent="0.2">
      <c r="H2528" s="5"/>
      <c r="I2528" s="5"/>
      <c r="J2528" s="5"/>
      <c r="K2528" s="5"/>
      <c r="L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5"/>
      <c r="AC2528" t="e">
        <f ca="1">RANK(AB2528,OFFSET($AB$2,0,0,#REF!,1))</f>
        <v>#REF!</v>
      </c>
      <c r="AD2528" s="4" t="e">
        <f>InsurerSize(#REF!)</f>
        <v>#VALUE!</v>
      </c>
      <c r="AE2528" s="4" t="e">
        <f t="shared" si="51"/>
        <v>#VALUE!</v>
      </c>
    </row>
    <row r="2529" spans="8:31" x14ac:dyDescent="0.2">
      <c r="H2529" s="5"/>
      <c r="I2529" s="5"/>
      <c r="J2529" s="5"/>
      <c r="K2529" s="5"/>
      <c r="L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5"/>
      <c r="AC2529" t="e">
        <f ca="1">RANK(AB2529,OFFSET($AB$2,0,0,#REF!,1))</f>
        <v>#REF!</v>
      </c>
      <c r="AD2529" s="4" t="e">
        <f>InsurerSize(#REF!)</f>
        <v>#VALUE!</v>
      </c>
      <c r="AE2529" s="4" t="e">
        <f t="shared" si="51"/>
        <v>#VALUE!</v>
      </c>
    </row>
    <row r="2530" spans="8:31" x14ac:dyDescent="0.2">
      <c r="H2530" s="5"/>
      <c r="I2530" s="5"/>
      <c r="J2530" s="5"/>
      <c r="K2530" s="5"/>
      <c r="L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5"/>
      <c r="AC2530" t="e">
        <f ca="1">RANK(AB2530,OFFSET($AB$2,0,0,#REF!,1))</f>
        <v>#REF!</v>
      </c>
      <c r="AD2530" s="4" t="e">
        <f>InsurerSize(#REF!)</f>
        <v>#VALUE!</v>
      </c>
      <c r="AE2530" s="4" t="e">
        <f t="shared" si="51"/>
        <v>#VALUE!</v>
      </c>
    </row>
    <row r="2531" spans="8:31" x14ac:dyDescent="0.2">
      <c r="H2531" s="5"/>
      <c r="I2531" s="5"/>
      <c r="J2531" s="5"/>
      <c r="K2531" s="5"/>
      <c r="L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5"/>
      <c r="AC2531" t="e">
        <f ca="1">RANK(AB2531,OFFSET($AB$2,0,0,#REF!,1))</f>
        <v>#REF!</v>
      </c>
      <c r="AD2531" s="4" t="e">
        <f>InsurerSize(#REF!)</f>
        <v>#VALUE!</v>
      </c>
      <c r="AE2531" s="4" t="e">
        <f t="shared" si="51"/>
        <v>#VALUE!</v>
      </c>
    </row>
    <row r="2532" spans="8:31" x14ac:dyDescent="0.2">
      <c r="H2532" s="5"/>
      <c r="I2532" s="5"/>
      <c r="J2532" s="5"/>
      <c r="K2532" s="5"/>
      <c r="L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5"/>
      <c r="AC2532" t="e">
        <f ca="1">RANK(AB2532,OFFSET($AB$2,0,0,#REF!,1))</f>
        <v>#REF!</v>
      </c>
      <c r="AD2532" s="4" t="e">
        <f>InsurerSize(#REF!)</f>
        <v>#VALUE!</v>
      </c>
      <c r="AE2532" s="4" t="e">
        <f t="shared" si="51"/>
        <v>#VALUE!</v>
      </c>
    </row>
    <row r="2533" spans="8:31" x14ac:dyDescent="0.2">
      <c r="H2533" s="5"/>
      <c r="I2533" s="5"/>
      <c r="J2533" s="5"/>
      <c r="K2533" s="5"/>
      <c r="L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5"/>
      <c r="AC2533" t="e">
        <f ca="1">RANK(AB2533,OFFSET($AB$2,0,0,#REF!,1))</f>
        <v>#REF!</v>
      </c>
      <c r="AD2533" s="4" t="e">
        <f>InsurerSize(#REF!)</f>
        <v>#VALUE!</v>
      </c>
      <c r="AE2533" s="4" t="e">
        <f t="shared" si="51"/>
        <v>#VALUE!</v>
      </c>
    </row>
    <row r="2534" spans="8:31" x14ac:dyDescent="0.2">
      <c r="H2534" s="5"/>
      <c r="I2534" s="5"/>
      <c r="J2534" s="5"/>
      <c r="K2534" s="5"/>
      <c r="L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5"/>
      <c r="AC2534" t="e">
        <f ca="1">RANK(AB2534,OFFSET($AB$2,0,0,#REF!,1))</f>
        <v>#REF!</v>
      </c>
      <c r="AD2534" s="4" t="e">
        <f>InsurerSize(#REF!)</f>
        <v>#VALUE!</v>
      </c>
      <c r="AE2534" s="4" t="e">
        <f t="shared" si="51"/>
        <v>#VALUE!</v>
      </c>
    </row>
    <row r="2535" spans="8:31" x14ac:dyDescent="0.2">
      <c r="H2535" s="5"/>
      <c r="I2535" s="5"/>
      <c r="J2535" s="5"/>
      <c r="K2535" s="5"/>
      <c r="L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5"/>
      <c r="AC2535" t="e">
        <f ca="1">RANK(AB2535,OFFSET($AB$2,0,0,#REF!,1))</f>
        <v>#REF!</v>
      </c>
      <c r="AD2535" s="4" t="e">
        <f>InsurerSize(#REF!)</f>
        <v>#VALUE!</v>
      </c>
      <c r="AE2535" s="4" t="e">
        <f t="shared" si="51"/>
        <v>#VALUE!</v>
      </c>
    </row>
    <row r="2536" spans="8:31" x14ac:dyDescent="0.2">
      <c r="H2536" s="5"/>
      <c r="I2536" s="5"/>
      <c r="J2536" s="5"/>
      <c r="K2536" s="5"/>
      <c r="L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5"/>
      <c r="AC2536" t="e">
        <f ca="1">RANK(AB2536,OFFSET($AB$2,0,0,#REF!,1))</f>
        <v>#REF!</v>
      </c>
      <c r="AD2536" s="4" t="e">
        <f>InsurerSize(#REF!)</f>
        <v>#VALUE!</v>
      </c>
      <c r="AE2536" s="4" t="e">
        <f t="shared" si="51"/>
        <v>#VALUE!</v>
      </c>
    </row>
    <row r="2537" spans="8:31" x14ac:dyDescent="0.2">
      <c r="H2537" s="5"/>
      <c r="I2537" s="5"/>
      <c r="J2537" s="5"/>
      <c r="K2537" s="5"/>
      <c r="L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5"/>
      <c r="AC2537" t="e">
        <f ca="1">RANK(AB2537,OFFSET($AB$2,0,0,#REF!,1))</f>
        <v>#REF!</v>
      </c>
      <c r="AD2537" s="4" t="e">
        <f>InsurerSize(#REF!)</f>
        <v>#VALUE!</v>
      </c>
      <c r="AE2537" s="4" t="e">
        <f t="shared" si="51"/>
        <v>#VALUE!</v>
      </c>
    </row>
    <row r="2538" spans="8:31" x14ac:dyDescent="0.2">
      <c r="H2538" s="5"/>
      <c r="I2538" s="5"/>
      <c r="J2538" s="5"/>
      <c r="K2538" s="5"/>
      <c r="L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5"/>
      <c r="AC2538" t="e">
        <f ca="1">RANK(AB2538,OFFSET($AB$2,0,0,#REF!,1))</f>
        <v>#REF!</v>
      </c>
      <c r="AD2538" s="4" t="e">
        <f>InsurerSize(#REF!)</f>
        <v>#VALUE!</v>
      </c>
      <c r="AE2538" s="4" t="e">
        <f t="shared" si="51"/>
        <v>#VALUE!</v>
      </c>
    </row>
    <row r="2539" spans="8:31" x14ac:dyDescent="0.2">
      <c r="H2539" s="5"/>
      <c r="I2539" s="5"/>
      <c r="J2539" s="5"/>
      <c r="K2539" s="5"/>
      <c r="L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5"/>
      <c r="AC2539" t="e">
        <f ca="1">RANK(AB2539,OFFSET($AB$2,0,0,#REF!,1))</f>
        <v>#REF!</v>
      </c>
      <c r="AD2539" s="4" t="e">
        <f>InsurerSize(#REF!)</f>
        <v>#VALUE!</v>
      </c>
      <c r="AE2539" s="4" t="e">
        <f t="shared" si="51"/>
        <v>#VALUE!</v>
      </c>
    </row>
    <row r="2540" spans="8:31" x14ac:dyDescent="0.2"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5"/>
      <c r="AC2540" t="e">
        <f ca="1">RANK(AB2540,OFFSET($AB$2,0,0,#REF!,1))</f>
        <v>#REF!</v>
      </c>
      <c r="AD2540" s="4" t="e">
        <f>InsurerSize(#REF!)</f>
        <v>#VALUE!</v>
      </c>
      <c r="AE2540" s="4" t="e">
        <f t="shared" si="51"/>
        <v>#VALUE!</v>
      </c>
    </row>
    <row r="2541" spans="8:31" x14ac:dyDescent="0.2">
      <c r="H2541" s="5"/>
      <c r="I2541" s="5"/>
      <c r="J2541" s="5"/>
      <c r="K2541" s="5"/>
      <c r="L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5"/>
      <c r="AC2541" t="e">
        <f ca="1">RANK(AB2541,OFFSET($AB$2,0,0,#REF!,1))</f>
        <v>#REF!</v>
      </c>
      <c r="AD2541" s="4" t="e">
        <f>InsurerSize(#REF!)</f>
        <v>#VALUE!</v>
      </c>
      <c r="AE2541" s="4" t="e">
        <f t="shared" si="51"/>
        <v>#VALUE!</v>
      </c>
    </row>
    <row r="2542" spans="8:31" x14ac:dyDescent="0.2">
      <c r="H2542" s="5"/>
      <c r="I2542" s="5"/>
      <c r="J2542" s="5"/>
      <c r="K2542" s="5"/>
      <c r="L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5"/>
      <c r="AC2542" t="e">
        <f ca="1">RANK(AB2542,OFFSET($AB$2,0,0,#REF!,1))</f>
        <v>#REF!</v>
      </c>
      <c r="AD2542" s="4" t="e">
        <f>InsurerSize(#REF!)</f>
        <v>#VALUE!</v>
      </c>
      <c r="AE2542" s="4" t="e">
        <f t="shared" si="51"/>
        <v>#VALUE!</v>
      </c>
    </row>
    <row r="2543" spans="8:31" x14ac:dyDescent="0.2">
      <c r="H2543" s="5"/>
      <c r="I2543" s="5"/>
      <c r="J2543" s="5"/>
      <c r="K2543" s="5"/>
      <c r="L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5"/>
      <c r="AC2543" t="e">
        <f ca="1">RANK(AB2543,OFFSET($AB$2,0,0,#REF!,1))</f>
        <v>#REF!</v>
      </c>
      <c r="AD2543" s="4" t="e">
        <f>InsurerSize(#REF!)</f>
        <v>#VALUE!</v>
      </c>
      <c r="AE2543" s="4" t="e">
        <f t="shared" si="51"/>
        <v>#VALUE!</v>
      </c>
    </row>
    <row r="2544" spans="8:31" x14ac:dyDescent="0.2">
      <c r="H2544" s="5"/>
      <c r="I2544" s="5"/>
      <c r="J2544" s="5"/>
      <c r="K2544" s="5"/>
      <c r="L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5"/>
      <c r="AC2544" t="e">
        <f ca="1">RANK(AB2544,OFFSET($AB$2,0,0,#REF!,1))</f>
        <v>#REF!</v>
      </c>
      <c r="AD2544" s="4" t="e">
        <f>InsurerSize(#REF!)</f>
        <v>#VALUE!</v>
      </c>
      <c r="AE2544" s="4" t="e">
        <f t="shared" si="51"/>
        <v>#VALUE!</v>
      </c>
    </row>
    <row r="2545" spans="8:31" x14ac:dyDescent="0.2">
      <c r="H2545" s="5"/>
      <c r="I2545" s="5"/>
      <c r="J2545" s="5"/>
      <c r="K2545" s="5"/>
      <c r="L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5"/>
      <c r="AC2545" t="e">
        <f ca="1">RANK(AB2545,OFFSET($AB$2,0,0,#REF!,1))</f>
        <v>#REF!</v>
      </c>
      <c r="AD2545" s="4" t="e">
        <f>InsurerSize(#REF!)</f>
        <v>#VALUE!</v>
      </c>
      <c r="AE2545" s="4" t="e">
        <f t="shared" si="51"/>
        <v>#VALUE!</v>
      </c>
    </row>
    <row r="2546" spans="8:31" x14ac:dyDescent="0.2">
      <c r="H2546" s="5"/>
      <c r="I2546" s="5"/>
      <c r="J2546" s="5"/>
      <c r="K2546" s="5"/>
      <c r="L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5"/>
      <c r="AC2546" t="e">
        <f ca="1">RANK(AB2546,OFFSET($AB$2,0,0,#REF!,1))</f>
        <v>#REF!</v>
      </c>
      <c r="AD2546" s="4" t="e">
        <f>InsurerSize(#REF!)</f>
        <v>#VALUE!</v>
      </c>
      <c r="AE2546" s="4" t="e">
        <f t="shared" si="51"/>
        <v>#VALUE!</v>
      </c>
    </row>
    <row r="2547" spans="8:31" x14ac:dyDescent="0.2">
      <c r="H2547" s="5"/>
      <c r="I2547" s="5"/>
      <c r="J2547" s="5"/>
      <c r="K2547" s="5"/>
      <c r="L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5"/>
      <c r="AC2547" t="e">
        <f ca="1">RANK(AB2547,OFFSET($AB$2,0,0,#REF!,1))</f>
        <v>#REF!</v>
      </c>
      <c r="AD2547" s="4" t="e">
        <f>InsurerSize(#REF!)</f>
        <v>#VALUE!</v>
      </c>
      <c r="AE2547" s="4" t="e">
        <f t="shared" si="51"/>
        <v>#VALUE!</v>
      </c>
    </row>
    <row r="2548" spans="8:31" x14ac:dyDescent="0.2">
      <c r="H2548" s="5"/>
      <c r="I2548" s="5"/>
      <c r="J2548" s="5"/>
      <c r="K2548" s="5"/>
      <c r="L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5"/>
      <c r="AC2548" t="e">
        <f ca="1">RANK(AB2548,OFFSET($AB$2,0,0,#REF!,1))</f>
        <v>#REF!</v>
      </c>
      <c r="AD2548" s="4" t="e">
        <f>InsurerSize(#REF!)</f>
        <v>#VALUE!</v>
      </c>
      <c r="AE2548" s="4" t="e">
        <f t="shared" si="51"/>
        <v>#VALUE!</v>
      </c>
    </row>
    <row r="2549" spans="8:31" x14ac:dyDescent="0.2">
      <c r="H2549" s="5"/>
      <c r="I2549" s="5"/>
      <c r="J2549" s="5"/>
      <c r="K2549" s="5"/>
      <c r="L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5"/>
      <c r="AC2549" t="e">
        <f ca="1">RANK(AB2549,OFFSET($AB$2,0,0,#REF!,1))</f>
        <v>#REF!</v>
      </c>
      <c r="AD2549" s="4" t="e">
        <f>InsurerSize(#REF!)</f>
        <v>#VALUE!</v>
      </c>
      <c r="AE2549" s="4" t="e">
        <f t="shared" si="51"/>
        <v>#VALUE!</v>
      </c>
    </row>
    <row r="2550" spans="8:31" x14ac:dyDescent="0.2">
      <c r="H2550" s="5"/>
      <c r="I2550" s="5"/>
      <c r="J2550" s="5"/>
      <c r="K2550" s="5"/>
      <c r="L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5"/>
      <c r="AC2550" t="e">
        <f ca="1">RANK(AB2550,OFFSET($AB$2,0,0,#REF!,1))</f>
        <v>#REF!</v>
      </c>
      <c r="AD2550" s="4" t="e">
        <f>InsurerSize(#REF!)</f>
        <v>#VALUE!</v>
      </c>
      <c r="AE2550" s="4" t="e">
        <f t="shared" si="51"/>
        <v>#VALUE!</v>
      </c>
    </row>
    <row r="2551" spans="8:31" x14ac:dyDescent="0.2">
      <c r="H2551" s="5"/>
      <c r="I2551" s="5"/>
      <c r="J2551" s="5"/>
      <c r="K2551" s="5"/>
      <c r="L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5"/>
      <c r="AC2551" t="e">
        <f ca="1">RANK(AB2551,OFFSET($AB$2,0,0,#REF!,1))</f>
        <v>#REF!</v>
      </c>
      <c r="AD2551" s="4" t="e">
        <f>InsurerSize(#REF!)</f>
        <v>#VALUE!</v>
      </c>
      <c r="AE2551" s="4" t="e">
        <f t="shared" si="51"/>
        <v>#VALUE!</v>
      </c>
    </row>
    <row r="2552" spans="8:31" x14ac:dyDescent="0.2">
      <c r="H2552" s="5"/>
      <c r="I2552" s="5"/>
      <c r="J2552" s="5"/>
      <c r="K2552" s="5"/>
      <c r="L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5"/>
      <c r="AC2552" t="e">
        <f ca="1">RANK(AB2552,OFFSET($AB$2,0,0,#REF!,1))</f>
        <v>#REF!</v>
      </c>
      <c r="AD2552" s="4" t="e">
        <f>InsurerSize(#REF!)</f>
        <v>#VALUE!</v>
      </c>
      <c r="AE2552" s="4" t="e">
        <f t="shared" si="51"/>
        <v>#VALUE!</v>
      </c>
    </row>
    <row r="2553" spans="8:31" x14ac:dyDescent="0.2">
      <c r="H2553" s="5"/>
      <c r="I2553" s="5"/>
      <c r="J2553" s="5"/>
      <c r="K2553" s="5"/>
      <c r="L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5"/>
      <c r="AC2553" t="e">
        <f ca="1">RANK(AB2553,OFFSET($AB$2,0,0,#REF!,1))</f>
        <v>#REF!</v>
      </c>
      <c r="AD2553" s="4" t="e">
        <f>InsurerSize(#REF!)</f>
        <v>#VALUE!</v>
      </c>
      <c r="AE2553" s="4" t="e">
        <f t="shared" si="51"/>
        <v>#VALUE!</v>
      </c>
    </row>
    <row r="2554" spans="8:31" x14ac:dyDescent="0.2">
      <c r="H2554" s="5"/>
      <c r="I2554" s="5"/>
      <c r="J2554" s="5"/>
      <c r="K2554" s="5"/>
      <c r="L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5"/>
      <c r="AC2554" t="e">
        <f ca="1">RANK(AB2554,OFFSET($AB$2,0,0,#REF!,1))</f>
        <v>#REF!</v>
      </c>
      <c r="AD2554" s="4" t="e">
        <f>InsurerSize(#REF!)</f>
        <v>#VALUE!</v>
      </c>
      <c r="AE2554" s="4" t="e">
        <f t="shared" si="51"/>
        <v>#VALUE!</v>
      </c>
    </row>
    <row r="2555" spans="8:31" x14ac:dyDescent="0.2">
      <c r="H2555" s="5"/>
      <c r="I2555" s="5"/>
      <c r="J2555" s="5"/>
      <c r="K2555" s="5"/>
      <c r="L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5"/>
      <c r="AC2555" t="e">
        <f ca="1">RANK(AB2555,OFFSET($AB$2,0,0,#REF!,1))</f>
        <v>#REF!</v>
      </c>
      <c r="AD2555" s="4" t="e">
        <f>InsurerSize(#REF!)</f>
        <v>#VALUE!</v>
      </c>
      <c r="AE2555" s="4" t="e">
        <f t="shared" si="51"/>
        <v>#VALUE!</v>
      </c>
    </row>
    <row r="2556" spans="8:31" x14ac:dyDescent="0.2">
      <c r="H2556" s="5"/>
      <c r="I2556" s="5"/>
      <c r="J2556" s="5"/>
      <c r="K2556" s="5"/>
      <c r="L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5"/>
      <c r="AC2556" t="e">
        <f ca="1">RANK(AB2556,OFFSET($AB$2,0,0,#REF!,1))</f>
        <v>#REF!</v>
      </c>
      <c r="AD2556" s="4" t="e">
        <f>InsurerSize(#REF!)</f>
        <v>#VALUE!</v>
      </c>
      <c r="AE2556" s="4" t="e">
        <f t="shared" si="51"/>
        <v>#VALUE!</v>
      </c>
    </row>
    <row r="2557" spans="8:31" x14ac:dyDescent="0.2">
      <c r="H2557" s="5"/>
      <c r="I2557" s="5"/>
      <c r="J2557" s="5"/>
      <c r="K2557" s="5"/>
      <c r="L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5"/>
      <c r="AC2557" t="e">
        <f ca="1">RANK(AB2557,OFFSET($AB$2,0,0,#REF!,1))</f>
        <v>#REF!</v>
      </c>
      <c r="AD2557" s="4" t="e">
        <f>InsurerSize(#REF!)</f>
        <v>#VALUE!</v>
      </c>
      <c r="AE2557" s="4" t="e">
        <f t="shared" si="51"/>
        <v>#VALUE!</v>
      </c>
    </row>
    <row r="2558" spans="8:31" x14ac:dyDescent="0.2">
      <c r="H2558" s="5"/>
      <c r="I2558" s="5"/>
      <c r="J2558" s="5"/>
      <c r="K2558" s="5"/>
      <c r="L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5"/>
      <c r="AC2558" t="e">
        <f ca="1">RANK(AB2558,OFFSET($AB$2,0,0,#REF!,1))</f>
        <v>#REF!</v>
      </c>
      <c r="AD2558" s="4" t="e">
        <f>InsurerSize(#REF!)</f>
        <v>#VALUE!</v>
      </c>
      <c r="AE2558" s="4" t="e">
        <f t="shared" si="51"/>
        <v>#VALUE!</v>
      </c>
    </row>
    <row r="2559" spans="8:31" x14ac:dyDescent="0.2">
      <c r="H2559" s="5"/>
      <c r="I2559" s="5"/>
      <c r="J2559" s="5"/>
      <c r="K2559" s="5"/>
      <c r="L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5"/>
      <c r="AC2559" t="e">
        <f ca="1">RANK(AB2559,OFFSET($AB$2,0,0,#REF!,1))</f>
        <v>#REF!</v>
      </c>
      <c r="AD2559" s="4" t="e">
        <f>InsurerSize(#REF!)</f>
        <v>#VALUE!</v>
      </c>
      <c r="AE2559" s="4" t="e">
        <f t="shared" si="51"/>
        <v>#VALUE!</v>
      </c>
    </row>
    <row r="2560" spans="8:31" x14ac:dyDescent="0.2">
      <c r="H2560" s="5"/>
      <c r="I2560" s="5"/>
      <c r="J2560" s="5"/>
      <c r="K2560" s="5"/>
      <c r="L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5"/>
      <c r="AC2560" t="e">
        <f ca="1">RANK(AB2560,OFFSET($AB$2,0,0,#REF!,1))</f>
        <v>#REF!</v>
      </c>
      <c r="AD2560" s="4" t="e">
        <f>InsurerSize(#REF!)</f>
        <v>#VALUE!</v>
      </c>
      <c r="AE2560" s="4" t="e">
        <f t="shared" si="51"/>
        <v>#VALUE!</v>
      </c>
    </row>
    <row r="2561" spans="8:31" x14ac:dyDescent="0.2">
      <c r="H2561" s="5"/>
      <c r="I2561" s="5"/>
      <c r="J2561" s="5"/>
      <c r="K2561" s="5"/>
      <c r="L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5"/>
      <c r="AC2561" t="e">
        <f ca="1">RANK(AB2561,OFFSET($AB$2,0,0,#REF!,1))</f>
        <v>#REF!</v>
      </c>
      <c r="AD2561" s="4" t="e">
        <f>InsurerSize(#REF!)</f>
        <v>#VALUE!</v>
      </c>
      <c r="AE2561" s="4" t="e">
        <f t="shared" si="51"/>
        <v>#VALUE!</v>
      </c>
    </row>
    <row r="2562" spans="8:31" x14ac:dyDescent="0.2">
      <c r="H2562" s="5"/>
      <c r="I2562" s="5"/>
      <c r="J2562" s="5"/>
      <c r="K2562" s="5"/>
      <c r="L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5"/>
      <c r="AC2562" t="e">
        <f ca="1">RANK(AB2562,OFFSET($AB$2,0,0,#REF!,1))</f>
        <v>#REF!</v>
      </c>
      <c r="AD2562" s="4" t="e">
        <f>InsurerSize(#REF!)</f>
        <v>#VALUE!</v>
      </c>
      <c r="AE2562" s="4" t="e">
        <f t="shared" ref="AE2562:AE2625" si="52">A2562&amp;AD2562</f>
        <v>#VALUE!</v>
      </c>
    </row>
    <row r="2563" spans="8:31" x14ac:dyDescent="0.2">
      <c r="H2563" s="5"/>
      <c r="I2563" s="5"/>
      <c r="J2563" s="5"/>
      <c r="K2563" s="5"/>
      <c r="L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5"/>
      <c r="AC2563" t="e">
        <f ca="1">RANK(AB2563,OFFSET($AB$2,0,0,#REF!,1))</f>
        <v>#REF!</v>
      </c>
      <c r="AD2563" s="4" t="e">
        <f>InsurerSize(#REF!)</f>
        <v>#VALUE!</v>
      </c>
      <c r="AE2563" s="4" t="e">
        <f t="shared" si="52"/>
        <v>#VALUE!</v>
      </c>
    </row>
    <row r="2564" spans="8:31" x14ac:dyDescent="0.2">
      <c r="H2564" s="5"/>
      <c r="I2564" s="5"/>
      <c r="J2564" s="5"/>
      <c r="K2564" s="5"/>
      <c r="L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5"/>
      <c r="AC2564" t="e">
        <f ca="1">RANK(AB2564,OFFSET($AB$2,0,0,#REF!,1))</f>
        <v>#REF!</v>
      </c>
      <c r="AD2564" s="4" t="e">
        <f>InsurerSize(#REF!)</f>
        <v>#VALUE!</v>
      </c>
      <c r="AE2564" s="4" t="e">
        <f t="shared" si="52"/>
        <v>#VALUE!</v>
      </c>
    </row>
    <row r="2565" spans="8:31" x14ac:dyDescent="0.2">
      <c r="H2565" s="5"/>
      <c r="I2565" s="5"/>
      <c r="J2565" s="5"/>
      <c r="K2565" s="5"/>
      <c r="L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5"/>
      <c r="AC2565" t="e">
        <f ca="1">RANK(AB2565,OFFSET($AB$2,0,0,#REF!,1))</f>
        <v>#REF!</v>
      </c>
      <c r="AD2565" s="4" t="e">
        <f>InsurerSize(#REF!)</f>
        <v>#VALUE!</v>
      </c>
      <c r="AE2565" s="4" t="e">
        <f t="shared" si="52"/>
        <v>#VALUE!</v>
      </c>
    </row>
    <row r="2566" spans="8:31" x14ac:dyDescent="0.2">
      <c r="H2566" s="5"/>
      <c r="I2566" s="5"/>
      <c r="J2566" s="5"/>
      <c r="K2566" s="5"/>
      <c r="L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5"/>
      <c r="AC2566" t="e">
        <f ca="1">RANK(AB2566,OFFSET($AB$2,0,0,#REF!,1))</f>
        <v>#REF!</v>
      </c>
      <c r="AD2566" s="4" t="e">
        <f>InsurerSize(#REF!)</f>
        <v>#VALUE!</v>
      </c>
      <c r="AE2566" s="4" t="e">
        <f t="shared" si="52"/>
        <v>#VALUE!</v>
      </c>
    </row>
    <row r="2567" spans="8:31" x14ac:dyDescent="0.2">
      <c r="H2567" s="5"/>
      <c r="I2567" s="5"/>
      <c r="J2567" s="5"/>
      <c r="K2567" s="5"/>
      <c r="L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5"/>
      <c r="AC2567" t="e">
        <f ca="1">RANK(AB2567,OFFSET($AB$2,0,0,#REF!,1))</f>
        <v>#REF!</v>
      </c>
      <c r="AD2567" s="4" t="e">
        <f>InsurerSize(#REF!)</f>
        <v>#VALUE!</v>
      </c>
      <c r="AE2567" s="4" t="e">
        <f t="shared" si="52"/>
        <v>#VALUE!</v>
      </c>
    </row>
    <row r="2568" spans="8:31" x14ac:dyDescent="0.2">
      <c r="H2568" s="5"/>
      <c r="I2568" s="5"/>
      <c r="J2568" s="5"/>
      <c r="K2568" s="5"/>
      <c r="L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5"/>
      <c r="AC2568" t="e">
        <f ca="1">RANK(AB2568,OFFSET($AB$2,0,0,#REF!,1))</f>
        <v>#REF!</v>
      </c>
      <c r="AD2568" s="4" t="e">
        <f>InsurerSize(#REF!)</f>
        <v>#VALUE!</v>
      </c>
      <c r="AE2568" s="4" t="e">
        <f t="shared" si="52"/>
        <v>#VALUE!</v>
      </c>
    </row>
    <row r="2569" spans="8:31" x14ac:dyDescent="0.2">
      <c r="H2569" s="5"/>
      <c r="I2569" s="5"/>
      <c r="J2569" s="5"/>
      <c r="K2569" s="5"/>
      <c r="L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5"/>
      <c r="AC2569" t="e">
        <f ca="1">RANK(AB2569,OFFSET($AB$2,0,0,#REF!,1))</f>
        <v>#REF!</v>
      </c>
      <c r="AD2569" s="4" t="e">
        <f>InsurerSize(#REF!)</f>
        <v>#VALUE!</v>
      </c>
      <c r="AE2569" s="4" t="e">
        <f t="shared" si="52"/>
        <v>#VALUE!</v>
      </c>
    </row>
    <row r="2570" spans="8:31" x14ac:dyDescent="0.2">
      <c r="H2570" s="5"/>
      <c r="I2570" s="5"/>
      <c r="J2570" s="5"/>
      <c r="K2570" s="5"/>
      <c r="L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5"/>
      <c r="AC2570" t="e">
        <f ca="1">RANK(AB2570,OFFSET($AB$2,0,0,#REF!,1))</f>
        <v>#REF!</v>
      </c>
      <c r="AD2570" s="4" t="e">
        <f>InsurerSize(#REF!)</f>
        <v>#VALUE!</v>
      </c>
      <c r="AE2570" s="4" t="e">
        <f t="shared" si="52"/>
        <v>#VALUE!</v>
      </c>
    </row>
    <row r="2571" spans="8:31" x14ac:dyDescent="0.2">
      <c r="H2571" s="5"/>
      <c r="I2571" s="5"/>
      <c r="J2571" s="5"/>
      <c r="K2571" s="5"/>
      <c r="L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5"/>
      <c r="AC2571" t="e">
        <f ca="1">RANK(AB2571,OFFSET($AB$2,0,0,#REF!,1))</f>
        <v>#REF!</v>
      </c>
      <c r="AD2571" s="4" t="e">
        <f>InsurerSize(#REF!)</f>
        <v>#VALUE!</v>
      </c>
      <c r="AE2571" s="4" t="e">
        <f t="shared" si="52"/>
        <v>#VALUE!</v>
      </c>
    </row>
    <row r="2572" spans="8:31" x14ac:dyDescent="0.2">
      <c r="H2572" s="5"/>
      <c r="I2572" s="5"/>
      <c r="J2572" s="5"/>
      <c r="K2572" s="5"/>
      <c r="L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5"/>
      <c r="AC2572" t="e">
        <f ca="1">RANK(AB2572,OFFSET($AB$2,0,0,#REF!,1))</f>
        <v>#REF!</v>
      </c>
      <c r="AD2572" s="4" t="e">
        <f>InsurerSize(#REF!)</f>
        <v>#VALUE!</v>
      </c>
      <c r="AE2572" s="4" t="e">
        <f t="shared" si="52"/>
        <v>#VALUE!</v>
      </c>
    </row>
    <row r="2573" spans="8:31" x14ac:dyDescent="0.2">
      <c r="H2573" s="5"/>
      <c r="I2573" s="5"/>
      <c r="J2573" s="5"/>
      <c r="K2573" s="5"/>
      <c r="L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5"/>
      <c r="AC2573" t="e">
        <f ca="1">RANK(AB2573,OFFSET($AB$2,0,0,#REF!,1))</f>
        <v>#REF!</v>
      </c>
      <c r="AD2573" s="4" t="e">
        <f>InsurerSize(#REF!)</f>
        <v>#VALUE!</v>
      </c>
      <c r="AE2573" s="4" t="e">
        <f t="shared" si="52"/>
        <v>#VALUE!</v>
      </c>
    </row>
    <row r="2574" spans="8:31" x14ac:dyDescent="0.2">
      <c r="H2574" s="5"/>
      <c r="I2574" s="5"/>
      <c r="J2574" s="5"/>
      <c r="K2574" s="5"/>
      <c r="L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5"/>
      <c r="AC2574" t="e">
        <f ca="1">RANK(AB2574,OFFSET($AB$2,0,0,#REF!,1))</f>
        <v>#REF!</v>
      </c>
      <c r="AD2574" s="4" t="e">
        <f>InsurerSize(#REF!)</f>
        <v>#VALUE!</v>
      </c>
      <c r="AE2574" s="4" t="e">
        <f t="shared" si="52"/>
        <v>#VALUE!</v>
      </c>
    </row>
    <row r="2575" spans="8:31" x14ac:dyDescent="0.2">
      <c r="H2575" s="5"/>
      <c r="I2575" s="5"/>
      <c r="J2575" s="5"/>
      <c r="K2575" s="5"/>
      <c r="L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5"/>
      <c r="AC2575" t="e">
        <f ca="1">RANK(AB2575,OFFSET($AB$2,0,0,#REF!,1))</f>
        <v>#REF!</v>
      </c>
      <c r="AD2575" s="4" t="e">
        <f>InsurerSize(#REF!)</f>
        <v>#VALUE!</v>
      </c>
      <c r="AE2575" s="4" t="e">
        <f t="shared" si="52"/>
        <v>#VALUE!</v>
      </c>
    </row>
    <row r="2576" spans="8:31" x14ac:dyDescent="0.2">
      <c r="H2576" s="5"/>
      <c r="I2576" s="5"/>
      <c r="J2576" s="5"/>
      <c r="K2576" s="5"/>
      <c r="L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5"/>
      <c r="AC2576" t="e">
        <f ca="1">RANK(AB2576,OFFSET($AB$2,0,0,#REF!,1))</f>
        <v>#REF!</v>
      </c>
      <c r="AD2576" s="4" t="e">
        <f>InsurerSize(#REF!)</f>
        <v>#VALUE!</v>
      </c>
      <c r="AE2576" s="4" t="e">
        <f t="shared" si="52"/>
        <v>#VALUE!</v>
      </c>
    </row>
    <row r="2577" spans="8:31" x14ac:dyDescent="0.2">
      <c r="H2577" s="5"/>
      <c r="I2577" s="5"/>
      <c r="J2577" s="5"/>
      <c r="K2577" s="5"/>
      <c r="L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5"/>
      <c r="AC2577" t="e">
        <f ca="1">RANK(AB2577,OFFSET($AB$2,0,0,#REF!,1))</f>
        <v>#REF!</v>
      </c>
      <c r="AD2577" s="4" t="e">
        <f>InsurerSize(#REF!)</f>
        <v>#VALUE!</v>
      </c>
      <c r="AE2577" s="4" t="e">
        <f t="shared" si="52"/>
        <v>#VALUE!</v>
      </c>
    </row>
    <row r="2578" spans="8:31" x14ac:dyDescent="0.2">
      <c r="H2578" s="5"/>
      <c r="I2578" s="5"/>
      <c r="J2578" s="5"/>
      <c r="K2578" s="5"/>
      <c r="L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5"/>
      <c r="AC2578" t="e">
        <f ca="1">RANK(AB2578,OFFSET($AB$2,0,0,#REF!,1))</f>
        <v>#REF!</v>
      </c>
      <c r="AD2578" s="4" t="e">
        <f>InsurerSize(#REF!)</f>
        <v>#VALUE!</v>
      </c>
      <c r="AE2578" s="4" t="e">
        <f t="shared" si="52"/>
        <v>#VALUE!</v>
      </c>
    </row>
    <row r="2579" spans="8:31" x14ac:dyDescent="0.2">
      <c r="H2579" s="5"/>
      <c r="I2579" s="5"/>
      <c r="J2579" s="5"/>
      <c r="K2579" s="5"/>
      <c r="L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5"/>
      <c r="AC2579" t="e">
        <f ca="1">RANK(AB2579,OFFSET($AB$2,0,0,#REF!,1))</f>
        <v>#REF!</v>
      </c>
      <c r="AD2579" s="4" t="e">
        <f>InsurerSize(#REF!)</f>
        <v>#VALUE!</v>
      </c>
      <c r="AE2579" s="4" t="e">
        <f t="shared" si="52"/>
        <v>#VALUE!</v>
      </c>
    </row>
    <row r="2580" spans="8:31" x14ac:dyDescent="0.2">
      <c r="H2580" s="5"/>
      <c r="I2580" s="5"/>
      <c r="J2580" s="5"/>
      <c r="K2580" s="5"/>
      <c r="L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5"/>
      <c r="AC2580" t="e">
        <f ca="1">RANK(AB2580,OFFSET($AB$2,0,0,#REF!,1))</f>
        <v>#REF!</v>
      </c>
      <c r="AD2580" s="4" t="e">
        <f>InsurerSize(#REF!)</f>
        <v>#VALUE!</v>
      </c>
      <c r="AE2580" s="4" t="e">
        <f t="shared" si="52"/>
        <v>#VALUE!</v>
      </c>
    </row>
    <row r="2581" spans="8:31" x14ac:dyDescent="0.2">
      <c r="H2581" s="5"/>
      <c r="I2581" s="5"/>
      <c r="J2581" s="5"/>
      <c r="K2581" s="5"/>
      <c r="L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5"/>
      <c r="AC2581" t="e">
        <f ca="1">RANK(AB2581,OFFSET($AB$2,0,0,#REF!,1))</f>
        <v>#REF!</v>
      </c>
      <c r="AD2581" s="4" t="e">
        <f>InsurerSize(#REF!)</f>
        <v>#VALUE!</v>
      </c>
      <c r="AE2581" s="4" t="e">
        <f t="shared" si="52"/>
        <v>#VALUE!</v>
      </c>
    </row>
    <row r="2582" spans="8:31" x14ac:dyDescent="0.2">
      <c r="H2582" s="5"/>
      <c r="I2582" s="5"/>
      <c r="J2582" s="5"/>
      <c r="K2582" s="5"/>
      <c r="L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5"/>
      <c r="AC2582" t="e">
        <f ca="1">RANK(AB2582,OFFSET($AB$2,0,0,#REF!,1))</f>
        <v>#REF!</v>
      </c>
      <c r="AD2582" s="4" t="e">
        <f>InsurerSize(#REF!)</f>
        <v>#VALUE!</v>
      </c>
      <c r="AE2582" s="4" t="e">
        <f t="shared" si="52"/>
        <v>#VALUE!</v>
      </c>
    </row>
    <row r="2583" spans="8:31" x14ac:dyDescent="0.2">
      <c r="H2583" s="5"/>
      <c r="I2583" s="5"/>
      <c r="J2583" s="5"/>
      <c r="K2583" s="5"/>
      <c r="L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5"/>
      <c r="AC2583" t="e">
        <f ca="1">RANK(AB2583,OFFSET($AB$2,0,0,#REF!,1))</f>
        <v>#REF!</v>
      </c>
      <c r="AD2583" s="4" t="e">
        <f>InsurerSize(#REF!)</f>
        <v>#VALUE!</v>
      </c>
      <c r="AE2583" s="4" t="e">
        <f t="shared" si="52"/>
        <v>#VALUE!</v>
      </c>
    </row>
    <row r="2584" spans="8:31" x14ac:dyDescent="0.2">
      <c r="H2584" s="5"/>
      <c r="I2584" s="5"/>
      <c r="J2584" s="5"/>
      <c r="K2584" s="5"/>
      <c r="L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5"/>
      <c r="AC2584" t="e">
        <f ca="1">RANK(AB2584,OFFSET($AB$2,0,0,#REF!,1))</f>
        <v>#REF!</v>
      </c>
      <c r="AD2584" s="4" t="e">
        <f>InsurerSize(#REF!)</f>
        <v>#VALUE!</v>
      </c>
      <c r="AE2584" s="4" t="e">
        <f t="shared" si="52"/>
        <v>#VALUE!</v>
      </c>
    </row>
    <row r="2585" spans="8:31" x14ac:dyDescent="0.2">
      <c r="H2585" s="5"/>
      <c r="I2585" s="5"/>
      <c r="J2585" s="5"/>
      <c r="K2585" s="5"/>
      <c r="L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5"/>
      <c r="AC2585" t="e">
        <f ca="1">RANK(AB2585,OFFSET($AB$2,0,0,#REF!,1))</f>
        <v>#REF!</v>
      </c>
      <c r="AD2585" s="4" t="e">
        <f>InsurerSize(#REF!)</f>
        <v>#VALUE!</v>
      </c>
      <c r="AE2585" s="4" t="e">
        <f t="shared" si="52"/>
        <v>#VALUE!</v>
      </c>
    </row>
    <row r="2586" spans="8:31" x14ac:dyDescent="0.2">
      <c r="H2586" s="5"/>
      <c r="I2586" s="5"/>
      <c r="J2586" s="5"/>
      <c r="K2586" s="5"/>
      <c r="L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5"/>
      <c r="AC2586" t="e">
        <f ca="1">RANK(AB2586,OFFSET($AB$2,0,0,#REF!,1))</f>
        <v>#REF!</v>
      </c>
      <c r="AD2586" s="4" t="e">
        <f>InsurerSize(#REF!)</f>
        <v>#VALUE!</v>
      </c>
      <c r="AE2586" s="4" t="e">
        <f t="shared" si="52"/>
        <v>#VALUE!</v>
      </c>
    </row>
    <row r="2587" spans="8:31" x14ac:dyDescent="0.2">
      <c r="H2587" s="5"/>
      <c r="I2587" s="5"/>
      <c r="J2587" s="5"/>
      <c r="K2587" s="5"/>
      <c r="L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5"/>
      <c r="AC2587" t="e">
        <f ca="1">RANK(AB2587,OFFSET($AB$2,0,0,#REF!,1))</f>
        <v>#REF!</v>
      </c>
      <c r="AD2587" s="4" t="e">
        <f>InsurerSize(#REF!)</f>
        <v>#VALUE!</v>
      </c>
      <c r="AE2587" s="4" t="e">
        <f t="shared" si="52"/>
        <v>#VALUE!</v>
      </c>
    </row>
    <row r="2588" spans="8:31" x14ac:dyDescent="0.2">
      <c r="H2588" s="5"/>
      <c r="I2588" s="5"/>
      <c r="J2588" s="5"/>
      <c r="K2588" s="5"/>
      <c r="L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5"/>
      <c r="AC2588" t="e">
        <f ca="1">RANK(AB2588,OFFSET($AB$2,0,0,#REF!,1))</f>
        <v>#REF!</v>
      </c>
      <c r="AD2588" s="4" t="e">
        <f>InsurerSize(#REF!)</f>
        <v>#VALUE!</v>
      </c>
      <c r="AE2588" s="4" t="e">
        <f t="shared" si="52"/>
        <v>#VALUE!</v>
      </c>
    </row>
    <row r="2589" spans="8:31" x14ac:dyDescent="0.2">
      <c r="H2589" s="5"/>
      <c r="I2589" s="5"/>
      <c r="J2589" s="5"/>
      <c r="K2589" s="5"/>
      <c r="L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5"/>
      <c r="AC2589" t="e">
        <f ca="1">RANK(AB2589,OFFSET($AB$2,0,0,#REF!,1))</f>
        <v>#REF!</v>
      </c>
      <c r="AD2589" s="4" t="e">
        <f>InsurerSize(#REF!)</f>
        <v>#VALUE!</v>
      </c>
      <c r="AE2589" s="4" t="e">
        <f t="shared" si="52"/>
        <v>#VALUE!</v>
      </c>
    </row>
    <row r="2590" spans="8:31" x14ac:dyDescent="0.2">
      <c r="H2590" s="5"/>
      <c r="I2590" s="5"/>
      <c r="J2590" s="5"/>
      <c r="K2590" s="5"/>
      <c r="L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5"/>
      <c r="AC2590" t="e">
        <f ca="1">RANK(AB2590,OFFSET($AB$2,0,0,#REF!,1))</f>
        <v>#REF!</v>
      </c>
      <c r="AD2590" s="4" t="e">
        <f>InsurerSize(#REF!)</f>
        <v>#VALUE!</v>
      </c>
      <c r="AE2590" s="4" t="e">
        <f t="shared" si="52"/>
        <v>#VALUE!</v>
      </c>
    </row>
    <row r="2591" spans="8:31" x14ac:dyDescent="0.2">
      <c r="H2591" s="5"/>
      <c r="I2591" s="5"/>
      <c r="J2591" s="5"/>
      <c r="K2591" s="5"/>
      <c r="L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5"/>
      <c r="AC2591" t="e">
        <f ca="1">RANK(AB2591,OFFSET($AB$2,0,0,#REF!,1))</f>
        <v>#REF!</v>
      </c>
      <c r="AD2591" s="4" t="e">
        <f>InsurerSize(#REF!)</f>
        <v>#VALUE!</v>
      </c>
      <c r="AE2591" s="4" t="e">
        <f t="shared" si="52"/>
        <v>#VALUE!</v>
      </c>
    </row>
    <row r="2592" spans="8:31" x14ac:dyDescent="0.2">
      <c r="H2592" s="5"/>
      <c r="I2592" s="5"/>
      <c r="J2592" s="5"/>
      <c r="K2592" s="5"/>
      <c r="L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5"/>
      <c r="AC2592" t="e">
        <f ca="1">RANK(AB2592,OFFSET($AB$2,0,0,#REF!,1))</f>
        <v>#REF!</v>
      </c>
      <c r="AD2592" s="4" t="e">
        <f>InsurerSize(#REF!)</f>
        <v>#VALUE!</v>
      </c>
      <c r="AE2592" s="4" t="e">
        <f t="shared" si="52"/>
        <v>#VALUE!</v>
      </c>
    </row>
    <row r="2593" spans="8:31" x14ac:dyDescent="0.2">
      <c r="H2593" s="5"/>
      <c r="I2593" s="5"/>
      <c r="J2593" s="5"/>
      <c r="K2593" s="5"/>
      <c r="L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5"/>
      <c r="AC2593" t="e">
        <f ca="1">RANK(AB2593,OFFSET($AB$2,0,0,#REF!,1))</f>
        <v>#REF!</v>
      </c>
      <c r="AD2593" s="4" t="e">
        <f>InsurerSize(#REF!)</f>
        <v>#VALUE!</v>
      </c>
      <c r="AE2593" s="4" t="e">
        <f t="shared" si="52"/>
        <v>#VALUE!</v>
      </c>
    </row>
    <row r="2594" spans="8:31" x14ac:dyDescent="0.2">
      <c r="H2594" s="5"/>
      <c r="I2594" s="5"/>
      <c r="J2594" s="5"/>
      <c r="K2594" s="5"/>
      <c r="L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5"/>
      <c r="AC2594" t="e">
        <f ca="1">RANK(AB2594,OFFSET($AB$2,0,0,#REF!,1))</f>
        <v>#REF!</v>
      </c>
      <c r="AD2594" s="4" t="e">
        <f>InsurerSize(#REF!)</f>
        <v>#VALUE!</v>
      </c>
      <c r="AE2594" s="4" t="e">
        <f t="shared" si="52"/>
        <v>#VALUE!</v>
      </c>
    </row>
    <row r="2595" spans="8:31" x14ac:dyDescent="0.2">
      <c r="H2595" s="5"/>
      <c r="I2595" s="5"/>
      <c r="J2595" s="5"/>
      <c r="K2595" s="5"/>
      <c r="L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5"/>
      <c r="AC2595" t="e">
        <f ca="1">RANK(AB2595,OFFSET($AB$2,0,0,#REF!,1))</f>
        <v>#REF!</v>
      </c>
      <c r="AD2595" s="4" t="e">
        <f>InsurerSize(#REF!)</f>
        <v>#VALUE!</v>
      </c>
      <c r="AE2595" s="4" t="e">
        <f t="shared" si="52"/>
        <v>#VALUE!</v>
      </c>
    </row>
    <row r="2596" spans="8:31" x14ac:dyDescent="0.2">
      <c r="H2596" s="5"/>
      <c r="I2596" s="5"/>
      <c r="J2596" s="5"/>
      <c r="K2596" s="5"/>
      <c r="L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5"/>
      <c r="AC2596" t="e">
        <f ca="1">RANK(AB2596,OFFSET($AB$2,0,0,#REF!,1))</f>
        <v>#REF!</v>
      </c>
      <c r="AD2596" s="4" t="e">
        <f>InsurerSize(#REF!)</f>
        <v>#VALUE!</v>
      </c>
      <c r="AE2596" s="4" t="e">
        <f t="shared" si="52"/>
        <v>#VALUE!</v>
      </c>
    </row>
    <row r="2597" spans="8:31" x14ac:dyDescent="0.2">
      <c r="H2597" s="5"/>
      <c r="I2597" s="5"/>
      <c r="J2597" s="5"/>
      <c r="K2597" s="5"/>
      <c r="L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5"/>
      <c r="AC2597" t="e">
        <f ca="1">RANK(AB2597,OFFSET($AB$2,0,0,#REF!,1))</f>
        <v>#REF!</v>
      </c>
      <c r="AD2597" s="4" t="e">
        <f>InsurerSize(#REF!)</f>
        <v>#VALUE!</v>
      </c>
      <c r="AE2597" s="4" t="e">
        <f t="shared" si="52"/>
        <v>#VALUE!</v>
      </c>
    </row>
    <row r="2598" spans="8:31" x14ac:dyDescent="0.2">
      <c r="H2598" s="5"/>
      <c r="I2598" s="5"/>
      <c r="J2598" s="5"/>
      <c r="K2598" s="5"/>
      <c r="L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5"/>
      <c r="AC2598" t="e">
        <f ca="1">RANK(AB2598,OFFSET($AB$2,0,0,#REF!,1))</f>
        <v>#REF!</v>
      </c>
      <c r="AD2598" s="4" t="e">
        <f>InsurerSize(#REF!)</f>
        <v>#VALUE!</v>
      </c>
      <c r="AE2598" s="4" t="e">
        <f t="shared" si="52"/>
        <v>#VALUE!</v>
      </c>
    </row>
    <row r="2599" spans="8:31" x14ac:dyDescent="0.2">
      <c r="H2599" s="5"/>
      <c r="I2599" s="5"/>
      <c r="J2599" s="5"/>
      <c r="K2599" s="5"/>
      <c r="L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5"/>
      <c r="AC2599" t="e">
        <f ca="1">RANK(AB2599,OFFSET($AB$2,0,0,#REF!,1))</f>
        <v>#REF!</v>
      </c>
      <c r="AD2599" s="4" t="e">
        <f>InsurerSize(#REF!)</f>
        <v>#VALUE!</v>
      </c>
      <c r="AE2599" s="4" t="e">
        <f t="shared" si="52"/>
        <v>#VALUE!</v>
      </c>
    </row>
    <row r="2600" spans="8:31" x14ac:dyDescent="0.2">
      <c r="H2600" s="5"/>
      <c r="I2600" s="5"/>
      <c r="J2600" s="5"/>
      <c r="K2600" s="5"/>
      <c r="L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5"/>
      <c r="AC2600" t="e">
        <f ca="1">RANK(AB2600,OFFSET($AB$2,0,0,#REF!,1))</f>
        <v>#REF!</v>
      </c>
      <c r="AD2600" s="4" t="e">
        <f>InsurerSize(#REF!)</f>
        <v>#VALUE!</v>
      </c>
      <c r="AE2600" s="4" t="e">
        <f t="shared" si="52"/>
        <v>#VALUE!</v>
      </c>
    </row>
    <row r="2601" spans="8:31" x14ac:dyDescent="0.2">
      <c r="H2601" s="5"/>
      <c r="I2601" s="5"/>
      <c r="J2601" s="5"/>
      <c r="K2601" s="5"/>
      <c r="L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5"/>
      <c r="AC2601" t="e">
        <f ca="1">RANK(AB2601,OFFSET($AB$2,0,0,#REF!,1))</f>
        <v>#REF!</v>
      </c>
      <c r="AD2601" s="4" t="e">
        <f>InsurerSize(#REF!)</f>
        <v>#VALUE!</v>
      </c>
      <c r="AE2601" s="4" t="e">
        <f t="shared" si="52"/>
        <v>#VALUE!</v>
      </c>
    </row>
    <row r="2602" spans="8:31" x14ac:dyDescent="0.2">
      <c r="H2602" s="5"/>
      <c r="I2602" s="5"/>
      <c r="J2602" s="5"/>
      <c r="K2602" s="5"/>
      <c r="L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5"/>
      <c r="AC2602" t="e">
        <f ca="1">RANK(AB2602,OFFSET($AB$2,0,0,#REF!,1))</f>
        <v>#REF!</v>
      </c>
      <c r="AD2602" s="4" t="e">
        <f>InsurerSize(#REF!)</f>
        <v>#VALUE!</v>
      </c>
      <c r="AE2602" s="4" t="e">
        <f t="shared" si="52"/>
        <v>#VALUE!</v>
      </c>
    </row>
    <row r="2603" spans="8:31" x14ac:dyDescent="0.2">
      <c r="H2603" s="5"/>
      <c r="I2603" s="5"/>
      <c r="J2603" s="5"/>
      <c r="K2603" s="5"/>
      <c r="L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5"/>
      <c r="AC2603" t="e">
        <f ca="1">RANK(AB2603,OFFSET($AB$2,0,0,#REF!,1))</f>
        <v>#REF!</v>
      </c>
      <c r="AD2603" s="4" t="e">
        <f>InsurerSize(#REF!)</f>
        <v>#VALUE!</v>
      </c>
      <c r="AE2603" s="4" t="e">
        <f t="shared" si="52"/>
        <v>#VALUE!</v>
      </c>
    </row>
    <row r="2604" spans="8:31" x14ac:dyDescent="0.2">
      <c r="H2604" s="5"/>
      <c r="I2604" s="5"/>
      <c r="J2604" s="5"/>
      <c r="K2604" s="5"/>
      <c r="L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5"/>
      <c r="AC2604" t="e">
        <f ca="1">RANK(AB2604,OFFSET($AB$2,0,0,#REF!,1))</f>
        <v>#REF!</v>
      </c>
      <c r="AD2604" s="4" t="e">
        <f>InsurerSize(#REF!)</f>
        <v>#VALUE!</v>
      </c>
      <c r="AE2604" s="4" t="e">
        <f t="shared" si="52"/>
        <v>#VALUE!</v>
      </c>
    </row>
    <row r="2605" spans="8:31" x14ac:dyDescent="0.2">
      <c r="H2605" s="5"/>
      <c r="I2605" s="5"/>
      <c r="J2605" s="5"/>
      <c r="K2605" s="5"/>
      <c r="L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5"/>
      <c r="AC2605" t="e">
        <f ca="1">RANK(AB2605,OFFSET($AB$2,0,0,#REF!,1))</f>
        <v>#REF!</v>
      </c>
      <c r="AD2605" s="4" t="e">
        <f>InsurerSize(#REF!)</f>
        <v>#VALUE!</v>
      </c>
      <c r="AE2605" s="4" t="e">
        <f t="shared" si="52"/>
        <v>#VALUE!</v>
      </c>
    </row>
    <row r="2606" spans="8:31" x14ac:dyDescent="0.2">
      <c r="H2606" s="5"/>
      <c r="I2606" s="5"/>
      <c r="J2606" s="5"/>
      <c r="K2606" s="5"/>
      <c r="L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5"/>
      <c r="AC2606" t="e">
        <f ca="1">RANK(AB2606,OFFSET($AB$2,0,0,#REF!,1))</f>
        <v>#REF!</v>
      </c>
      <c r="AD2606" s="4" t="e">
        <f>InsurerSize(#REF!)</f>
        <v>#VALUE!</v>
      </c>
      <c r="AE2606" s="4" t="e">
        <f t="shared" si="52"/>
        <v>#VALUE!</v>
      </c>
    </row>
    <row r="2607" spans="8:31" x14ac:dyDescent="0.2">
      <c r="H2607" s="5"/>
      <c r="I2607" s="5"/>
      <c r="J2607" s="5"/>
      <c r="K2607" s="5"/>
      <c r="L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5"/>
      <c r="AC2607" t="e">
        <f ca="1">RANK(AB2607,OFFSET($AB$2,0,0,#REF!,1))</f>
        <v>#REF!</v>
      </c>
      <c r="AD2607" s="4" t="e">
        <f>InsurerSize(#REF!)</f>
        <v>#VALUE!</v>
      </c>
      <c r="AE2607" s="4" t="e">
        <f t="shared" si="52"/>
        <v>#VALUE!</v>
      </c>
    </row>
    <row r="2608" spans="8:31" x14ac:dyDescent="0.2">
      <c r="H2608" s="5"/>
      <c r="I2608" s="5"/>
      <c r="J2608" s="5"/>
      <c r="K2608" s="5"/>
      <c r="L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5"/>
      <c r="AC2608" t="e">
        <f ca="1">RANK(AB2608,OFFSET($AB$2,0,0,#REF!,1))</f>
        <v>#REF!</v>
      </c>
      <c r="AD2608" s="4" t="e">
        <f>InsurerSize(#REF!)</f>
        <v>#VALUE!</v>
      </c>
      <c r="AE2608" s="4" t="e">
        <f t="shared" si="52"/>
        <v>#VALUE!</v>
      </c>
    </row>
    <row r="2609" spans="8:31" x14ac:dyDescent="0.2">
      <c r="H2609" s="5"/>
      <c r="I2609" s="5"/>
      <c r="J2609" s="5"/>
      <c r="K2609" s="5"/>
      <c r="L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5"/>
      <c r="AC2609" t="e">
        <f ca="1">RANK(AB2609,OFFSET($AB$2,0,0,#REF!,1))</f>
        <v>#REF!</v>
      </c>
      <c r="AD2609" s="4" t="e">
        <f>InsurerSize(#REF!)</f>
        <v>#VALUE!</v>
      </c>
      <c r="AE2609" s="4" t="e">
        <f t="shared" si="52"/>
        <v>#VALUE!</v>
      </c>
    </row>
    <row r="2610" spans="8:31" x14ac:dyDescent="0.2">
      <c r="H2610" s="5"/>
      <c r="I2610" s="5"/>
      <c r="J2610" s="5"/>
      <c r="K2610" s="5"/>
      <c r="L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5"/>
      <c r="AC2610" t="e">
        <f ca="1">RANK(AB2610,OFFSET($AB$2,0,0,#REF!,1))</f>
        <v>#REF!</v>
      </c>
      <c r="AD2610" s="4" t="e">
        <f>InsurerSize(#REF!)</f>
        <v>#VALUE!</v>
      </c>
      <c r="AE2610" s="4" t="e">
        <f t="shared" si="52"/>
        <v>#VALUE!</v>
      </c>
    </row>
    <row r="2611" spans="8:31" x14ac:dyDescent="0.2">
      <c r="H2611" s="5"/>
      <c r="I2611" s="5"/>
      <c r="J2611" s="5"/>
      <c r="K2611" s="5"/>
      <c r="L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5"/>
      <c r="AC2611" t="e">
        <f ca="1">RANK(AB2611,OFFSET($AB$2,0,0,#REF!,1))</f>
        <v>#REF!</v>
      </c>
      <c r="AD2611" s="4" t="e">
        <f>InsurerSize(#REF!)</f>
        <v>#VALUE!</v>
      </c>
      <c r="AE2611" s="4" t="e">
        <f t="shared" si="52"/>
        <v>#VALUE!</v>
      </c>
    </row>
    <row r="2612" spans="8:31" x14ac:dyDescent="0.2">
      <c r="H2612" s="5"/>
      <c r="I2612" s="5"/>
      <c r="J2612" s="5"/>
      <c r="K2612" s="5"/>
      <c r="L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5"/>
      <c r="AC2612" t="e">
        <f ca="1">RANK(AB2612,OFFSET($AB$2,0,0,#REF!,1))</f>
        <v>#REF!</v>
      </c>
      <c r="AD2612" s="4" t="e">
        <f>InsurerSize(#REF!)</f>
        <v>#VALUE!</v>
      </c>
      <c r="AE2612" s="4" t="e">
        <f t="shared" si="52"/>
        <v>#VALUE!</v>
      </c>
    </row>
    <row r="2613" spans="8:31" x14ac:dyDescent="0.2">
      <c r="H2613" s="5"/>
      <c r="I2613" s="5"/>
      <c r="J2613" s="5"/>
      <c r="K2613" s="5"/>
      <c r="L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5"/>
      <c r="AC2613" t="e">
        <f ca="1">RANK(AB2613,OFFSET($AB$2,0,0,#REF!,1))</f>
        <v>#REF!</v>
      </c>
      <c r="AD2613" s="4" t="e">
        <f>InsurerSize(#REF!)</f>
        <v>#VALUE!</v>
      </c>
      <c r="AE2613" s="4" t="e">
        <f t="shared" si="52"/>
        <v>#VALUE!</v>
      </c>
    </row>
    <row r="2614" spans="8:31" x14ac:dyDescent="0.2">
      <c r="H2614" s="5"/>
      <c r="I2614" s="5"/>
      <c r="J2614" s="5"/>
      <c r="K2614" s="5"/>
      <c r="L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5"/>
      <c r="AC2614" t="e">
        <f ca="1">RANK(AB2614,OFFSET($AB$2,0,0,#REF!,1))</f>
        <v>#REF!</v>
      </c>
      <c r="AD2614" s="4" t="e">
        <f>InsurerSize(#REF!)</f>
        <v>#VALUE!</v>
      </c>
      <c r="AE2614" s="4" t="e">
        <f t="shared" si="52"/>
        <v>#VALUE!</v>
      </c>
    </row>
    <row r="2615" spans="8:31" x14ac:dyDescent="0.2">
      <c r="H2615" s="5"/>
      <c r="I2615" s="5"/>
      <c r="J2615" s="5"/>
      <c r="K2615" s="5"/>
      <c r="L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5"/>
      <c r="AC2615" t="e">
        <f ca="1">RANK(AB2615,OFFSET($AB$2,0,0,#REF!,1))</f>
        <v>#REF!</v>
      </c>
      <c r="AD2615" s="4" t="e">
        <f>InsurerSize(#REF!)</f>
        <v>#VALUE!</v>
      </c>
      <c r="AE2615" s="4" t="e">
        <f t="shared" si="52"/>
        <v>#VALUE!</v>
      </c>
    </row>
    <row r="2616" spans="8:31" x14ac:dyDescent="0.2">
      <c r="H2616" s="5"/>
      <c r="I2616" s="5"/>
      <c r="J2616" s="5"/>
      <c r="K2616" s="5"/>
      <c r="L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5"/>
      <c r="AC2616" t="e">
        <f ca="1">RANK(AB2616,OFFSET($AB$2,0,0,#REF!,1))</f>
        <v>#REF!</v>
      </c>
      <c r="AD2616" s="4" t="e">
        <f>InsurerSize(#REF!)</f>
        <v>#VALUE!</v>
      </c>
      <c r="AE2616" s="4" t="e">
        <f t="shared" si="52"/>
        <v>#VALUE!</v>
      </c>
    </row>
    <row r="2617" spans="8:31" x14ac:dyDescent="0.2">
      <c r="H2617" s="5"/>
      <c r="I2617" s="5"/>
      <c r="J2617" s="5"/>
      <c r="K2617" s="5"/>
      <c r="L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5"/>
      <c r="AC2617" t="e">
        <f ca="1">RANK(AB2617,OFFSET($AB$2,0,0,#REF!,1))</f>
        <v>#REF!</v>
      </c>
      <c r="AD2617" s="4" t="e">
        <f>InsurerSize(#REF!)</f>
        <v>#VALUE!</v>
      </c>
      <c r="AE2617" s="4" t="e">
        <f t="shared" si="52"/>
        <v>#VALUE!</v>
      </c>
    </row>
    <row r="2618" spans="8:31" x14ac:dyDescent="0.2">
      <c r="H2618" s="5"/>
      <c r="I2618" s="5"/>
      <c r="J2618" s="5"/>
      <c r="K2618" s="5"/>
      <c r="L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5"/>
      <c r="AC2618" t="e">
        <f ca="1">RANK(AB2618,OFFSET($AB$2,0,0,#REF!,1))</f>
        <v>#REF!</v>
      </c>
      <c r="AD2618" s="4" t="e">
        <f>InsurerSize(#REF!)</f>
        <v>#VALUE!</v>
      </c>
      <c r="AE2618" s="4" t="e">
        <f t="shared" si="52"/>
        <v>#VALUE!</v>
      </c>
    </row>
    <row r="2619" spans="8:31" x14ac:dyDescent="0.2">
      <c r="H2619" s="5"/>
      <c r="I2619" s="5"/>
      <c r="J2619" s="5"/>
      <c r="K2619" s="5"/>
      <c r="L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5"/>
      <c r="AC2619" t="e">
        <f ca="1">RANK(AB2619,OFFSET($AB$2,0,0,#REF!,1))</f>
        <v>#REF!</v>
      </c>
      <c r="AD2619" s="4" t="e">
        <f>InsurerSize(#REF!)</f>
        <v>#VALUE!</v>
      </c>
      <c r="AE2619" s="4" t="e">
        <f t="shared" si="52"/>
        <v>#VALUE!</v>
      </c>
    </row>
    <row r="2620" spans="8:31" x14ac:dyDescent="0.2">
      <c r="H2620" s="5"/>
      <c r="I2620" s="5"/>
      <c r="J2620" s="5"/>
      <c r="K2620" s="5"/>
      <c r="L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5"/>
      <c r="AC2620" t="e">
        <f ca="1">RANK(AB2620,OFFSET($AB$2,0,0,#REF!,1))</f>
        <v>#REF!</v>
      </c>
      <c r="AD2620" s="4" t="e">
        <f>InsurerSize(#REF!)</f>
        <v>#VALUE!</v>
      </c>
      <c r="AE2620" s="4" t="e">
        <f t="shared" si="52"/>
        <v>#VALUE!</v>
      </c>
    </row>
    <row r="2621" spans="8:31" x14ac:dyDescent="0.2">
      <c r="H2621" s="5"/>
      <c r="I2621" s="5"/>
      <c r="J2621" s="5"/>
      <c r="K2621" s="5"/>
      <c r="L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5"/>
      <c r="AC2621" t="e">
        <f ca="1">RANK(AB2621,OFFSET($AB$2,0,0,#REF!,1))</f>
        <v>#REF!</v>
      </c>
      <c r="AD2621" s="4" t="e">
        <f>InsurerSize(#REF!)</f>
        <v>#VALUE!</v>
      </c>
      <c r="AE2621" s="4" t="e">
        <f t="shared" si="52"/>
        <v>#VALUE!</v>
      </c>
    </row>
    <row r="2622" spans="8:31" x14ac:dyDescent="0.2">
      <c r="H2622" s="5"/>
      <c r="I2622" s="5"/>
      <c r="J2622" s="5"/>
      <c r="K2622" s="5"/>
      <c r="L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5"/>
      <c r="AC2622" t="e">
        <f ca="1">RANK(AB2622,OFFSET($AB$2,0,0,#REF!,1))</f>
        <v>#REF!</v>
      </c>
      <c r="AD2622" s="4" t="e">
        <f>InsurerSize(#REF!)</f>
        <v>#VALUE!</v>
      </c>
      <c r="AE2622" s="4" t="e">
        <f t="shared" si="52"/>
        <v>#VALUE!</v>
      </c>
    </row>
    <row r="2623" spans="8:31" x14ac:dyDescent="0.2">
      <c r="H2623" s="5"/>
      <c r="I2623" s="5"/>
      <c r="J2623" s="5"/>
      <c r="K2623" s="5"/>
      <c r="L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5"/>
      <c r="AC2623" t="e">
        <f ca="1">RANK(AB2623,OFFSET($AB$2,0,0,#REF!,1))</f>
        <v>#REF!</v>
      </c>
      <c r="AD2623" s="4" t="e">
        <f>InsurerSize(#REF!)</f>
        <v>#VALUE!</v>
      </c>
      <c r="AE2623" s="4" t="e">
        <f t="shared" si="52"/>
        <v>#VALUE!</v>
      </c>
    </row>
    <row r="2624" spans="8:31" x14ac:dyDescent="0.2">
      <c r="H2624" s="5"/>
      <c r="I2624" s="5"/>
      <c r="J2624" s="5"/>
      <c r="K2624" s="5"/>
      <c r="L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5"/>
      <c r="AC2624" t="e">
        <f ca="1">RANK(AB2624,OFFSET($AB$2,0,0,#REF!,1))</f>
        <v>#REF!</v>
      </c>
      <c r="AD2624" s="4" t="e">
        <f>InsurerSize(#REF!)</f>
        <v>#VALUE!</v>
      </c>
      <c r="AE2624" s="4" t="e">
        <f t="shared" si="52"/>
        <v>#VALUE!</v>
      </c>
    </row>
    <row r="2625" spans="8:31" x14ac:dyDescent="0.2">
      <c r="H2625" s="5"/>
      <c r="I2625" s="5"/>
      <c r="J2625" s="5"/>
      <c r="K2625" s="5"/>
      <c r="L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5"/>
      <c r="AC2625" t="e">
        <f ca="1">RANK(AB2625,OFFSET($AB$2,0,0,#REF!,1))</f>
        <v>#REF!</v>
      </c>
      <c r="AD2625" s="4" t="e">
        <f>InsurerSize(#REF!)</f>
        <v>#VALUE!</v>
      </c>
      <c r="AE2625" s="4" t="e">
        <f t="shared" si="52"/>
        <v>#VALUE!</v>
      </c>
    </row>
    <row r="2626" spans="8:31" x14ac:dyDescent="0.2">
      <c r="H2626" s="5"/>
      <c r="I2626" s="5"/>
      <c r="J2626" s="5"/>
      <c r="K2626" s="5"/>
      <c r="L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5"/>
      <c r="AC2626" t="e">
        <f ca="1">RANK(AB2626,OFFSET($AB$2,0,0,#REF!,1))</f>
        <v>#REF!</v>
      </c>
      <c r="AD2626" s="4" t="e">
        <f>InsurerSize(#REF!)</f>
        <v>#VALUE!</v>
      </c>
      <c r="AE2626" s="4" t="e">
        <f t="shared" ref="AE2626:AE2689" si="53">A2626&amp;AD2626</f>
        <v>#VALUE!</v>
      </c>
    </row>
    <row r="2627" spans="8:31" x14ac:dyDescent="0.2">
      <c r="H2627" s="5"/>
      <c r="I2627" s="5"/>
      <c r="J2627" s="5"/>
      <c r="K2627" s="5"/>
      <c r="L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5"/>
      <c r="AC2627" t="e">
        <f ca="1">RANK(AB2627,OFFSET($AB$2,0,0,#REF!,1))</f>
        <v>#REF!</v>
      </c>
      <c r="AD2627" s="4" t="e">
        <f>InsurerSize(#REF!)</f>
        <v>#VALUE!</v>
      </c>
      <c r="AE2627" s="4" t="e">
        <f t="shared" si="53"/>
        <v>#VALUE!</v>
      </c>
    </row>
    <row r="2628" spans="8:31" x14ac:dyDescent="0.2">
      <c r="H2628" s="5"/>
      <c r="I2628" s="5"/>
      <c r="J2628" s="5"/>
      <c r="K2628" s="5"/>
      <c r="L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5"/>
      <c r="AC2628" t="e">
        <f ca="1">RANK(AB2628,OFFSET($AB$2,0,0,#REF!,1))</f>
        <v>#REF!</v>
      </c>
      <c r="AD2628" s="4" t="e">
        <f>InsurerSize(#REF!)</f>
        <v>#VALUE!</v>
      </c>
      <c r="AE2628" s="4" t="e">
        <f t="shared" si="53"/>
        <v>#VALUE!</v>
      </c>
    </row>
    <row r="2629" spans="8:31" x14ac:dyDescent="0.2">
      <c r="H2629" s="5"/>
      <c r="I2629" s="5"/>
      <c r="J2629" s="5"/>
      <c r="K2629" s="5"/>
      <c r="L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5"/>
      <c r="AC2629" t="e">
        <f ca="1">RANK(AB2629,OFFSET($AB$2,0,0,#REF!,1))</f>
        <v>#REF!</v>
      </c>
      <c r="AD2629" s="4" t="e">
        <f>InsurerSize(#REF!)</f>
        <v>#VALUE!</v>
      </c>
      <c r="AE2629" s="4" t="e">
        <f t="shared" si="53"/>
        <v>#VALUE!</v>
      </c>
    </row>
    <row r="2630" spans="8:31" x14ac:dyDescent="0.2">
      <c r="H2630" s="5"/>
      <c r="I2630" s="5"/>
      <c r="J2630" s="5"/>
      <c r="K2630" s="5"/>
      <c r="L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5"/>
      <c r="AC2630" t="e">
        <f ca="1">RANK(AB2630,OFFSET($AB$2,0,0,#REF!,1))</f>
        <v>#REF!</v>
      </c>
      <c r="AD2630" s="4" t="e">
        <f>InsurerSize(#REF!)</f>
        <v>#VALUE!</v>
      </c>
      <c r="AE2630" s="4" t="e">
        <f t="shared" si="53"/>
        <v>#VALUE!</v>
      </c>
    </row>
    <row r="2631" spans="8:31" x14ac:dyDescent="0.2">
      <c r="H2631" s="5"/>
      <c r="I2631" s="5"/>
      <c r="J2631" s="5"/>
      <c r="K2631" s="5"/>
      <c r="L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5"/>
      <c r="AC2631" t="e">
        <f ca="1">RANK(AB2631,OFFSET($AB$2,0,0,#REF!,1))</f>
        <v>#REF!</v>
      </c>
      <c r="AD2631" s="4" t="e">
        <f>InsurerSize(#REF!)</f>
        <v>#VALUE!</v>
      </c>
      <c r="AE2631" s="4" t="e">
        <f t="shared" si="53"/>
        <v>#VALUE!</v>
      </c>
    </row>
    <row r="2632" spans="8:31" x14ac:dyDescent="0.2">
      <c r="H2632" s="5"/>
      <c r="I2632" s="5"/>
      <c r="J2632" s="5"/>
      <c r="K2632" s="5"/>
      <c r="L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5"/>
      <c r="AC2632" t="e">
        <f ca="1">RANK(AB2632,OFFSET($AB$2,0,0,#REF!,1))</f>
        <v>#REF!</v>
      </c>
      <c r="AD2632" s="4" t="e">
        <f>InsurerSize(#REF!)</f>
        <v>#VALUE!</v>
      </c>
      <c r="AE2632" s="4" t="e">
        <f t="shared" si="53"/>
        <v>#VALUE!</v>
      </c>
    </row>
    <row r="2633" spans="8:31" x14ac:dyDescent="0.2">
      <c r="H2633" s="5"/>
      <c r="I2633" s="5"/>
      <c r="J2633" s="5"/>
      <c r="K2633" s="5"/>
      <c r="L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5"/>
      <c r="AC2633" t="e">
        <f ca="1">RANK(AB2633,OFFSET($AB$2,0,0,#REF!,1))</f>
        <v>#REF!</v>
      </c>
      <c r="AD2633" s="4" t="e">
        <f>InsurerSize(#REF!)</f>
        <v>#VALUE!</v>
      </c>
      <c r="AE2633" s="4" t="e">
        <f t="shared" si="53"/>
        <v>#VALUE!</v>
      </c>
    </row>
    <row r="2634" spans="8:31" x14ac:dyDescent="0.2">
      <c r="H2634" s="5"/>
      <c r="I2634" s="5"/>
      <c r="J2634" s="5"/>
      <c r="K2634" s="5"/>
      <c r="L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5"/>
      <c r="AC2634" t="e">
        <f ca="1">RANK(AB2634,OFFSET($AB$2,0,0,#REF!,1))</f>
        <v>#REF!</v>
      </c>
      <c r="AD2634" s="4" t="e">
        <f>InsurerSize(#REF!)</f>
        <v>#VALUE!</v>
      </c>
      <c r="AE2634" s="4" t="e">
        <f t="shared" si="53"/>
        <v>#VALUE!</v>
      </c>
    </row>
    <row r="2635" spans="8:31" x14ac:dyDescent="0.2">
      <c r="H2635" s="5"/>
      <c r="I2635" s="5"/>
      <c r="J2635" s="5"/>
      <c r="K2635" s="5"/>
      <c r="L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5"/>
      <c r="AC2635" t="e">
        <f ca="1">RANK(AB2635,OFFSET($AB$2,0,0,#REF!,1))</f>
        <v>#REF!</v>
      </c>
      <c r="AD2635" s="4" t="e">
        <f>InsurerSize(#REF!)</f>
        <v>#VALUE!</v>
      </c>
      <c r="AE2635" s="4" t="e">
        <f t="shared" si="53"/>
        <v>#VALUE!</v>
      </c>
    </row>
    <row r="2636" spans="8:31" x14ac:dyDescent="0.2">
      <c r="H2636" s="5"/>
      <c r="I2636" s="5"/>
      <c r="J2636" s="5"/>
      <c r="K2636" s="5"/>
      <c r="L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5"/>
      <c r="AC2636" t="e">
        <f ca="1">RANK(AB2636,OFFSET($AB$2,0,0,#REF!,1))</f>
        <v>#REF!</v>
      </c>
      <c r="AD2636" s="4" t="e">
        <f>InsurerSize(#REF!)</f>
        <v>#VALUE!</v>
      </c>
      <c r="AE2636" s="4" t="e">
        <f t="shared" si="53"/>
        <v>#VALUE!</v>
      </c>
    </row>
    <row r="2637" spans="8:31" x14ac:dyDescent="0.2">
      <c r="H2637" s="5"/>
      <c r="I2637" s="5"/>
      <c r="J2637" s="5"/>
      <c r="K2637" s="5"/>
      <c r="L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5"/>
      <c r="AC2637" t="e">
        <f ca="1">RANK(AB2637,OFFSET($AB$2,0,0,#REF!,1))</f>
        <v>#REF!</v>
      </c>
      <c r="AD2637" s="4" t="e">
        <f>InsurerSize(#REF!)</f>
        <v>#VALUE!</v>
      </c>
      <c r="AE2637" s="4" t="e">
        <f t="shared" si="53"/>
        <v>#VALUE!</v>
      </c>
    </row>
    <row r="2638" spans="8:31" x14ac:dyDescent="0.2">
      <c r="H2638" s="5"/>
      <c r="I2638" s="5"/>
      <c r="J2638" s="5"/>
      <c r="K2638" s="5"/>
      <c r="L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5"/>
      <c r="AC2638" t="e">
        <f ca="1">RANK(AB2638,OFFSET($AB$2,0,0,#REF!,1))</f>
        <v>#REF!</v>
      </c>
      <c r="AD2638" s="4" t="e">
        <f>InsurerSize(#REF!)</f>
        <v>#VALUE!</v>
      </c>
      <c r="AE2638" s="4" t="e">
        <f t="shared" si="53"/>
        <v>#VALUE!</v>
      </c>
    </row>
    <row r="2639" spans="8:31" x14ac:dyDescent="0.2">
      <c r="H2639" s="5"/>
      <c r="I2639" s="5"/>
      <c r="J2639" s="5"/>
      <c r="K2639" s="5"/>
      <c r="L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5"/>
      <c r="AC2639" t="e">
        <f ca="1">RANK(AB2639,OFFSET($AB$2,0,0,#REF!,1))</f>
        <v>#REF!</v>
      </c>
      <c r="AD2639" s="4" t="e">
        <f>InsurerSize(#REF!)</f>
        <v>#VALUE!</v>
      </c>
      <c r="AE2639" s="4" t="e">
        <f t="shared" si="53"/>
        <v>#VALUE!</v>
      </c>
    </row>
    <row r="2640" spans="8:31" x14ac:dyDescent="0.2">
      <c r="H2640" s="5"/>
      <c r="I2640" s="5"/>
      <c r="J2640" s="5"/>
      <c r="K2640" s="5"/>
      <c r="L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5"/>
      <c r="AC2640" t="e">
        <f ca="1">RANK(AB2640,OFFSET($AB$2,0,0,#REF!,1))</f>
        <v>#REF!</v>
      </c>
      <c r="AD2640" s="4" t="e">
        <f>InsurerSize(#REF!)</f>
        <v>#VALUE!</v>
      </c>
      <c r="AE2640" s="4" t="e">
        <f t="shared" si="53"/>
        <v>#VALUE!</v>
      </c>
    </row>
    <row r="2641" spans="8:31" x14ac:dyDescent="0.2">
      <c r="H2641" s="5"/>
      <c r="I2641" s="5"/>
      <c r="J2641" s="5"/>
      <c r="K2641" s="5"/>
      <c r="L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5"/>
      <c r="AC2641" t="e">
        <f ca="1">RANK(AB2641,OFFSET($AB$2,0,0,#REF!,1))</f>
        <v>#REF!</v>
      </c>
      <c r="AD2641" s="4" t="e">
        <f>InsurerSize(#REF!)</f>
        <v>#VALUE!</v>
      </c>
      <c r="AE2641" s="4" t="e">
        <f t="shared" si="53"/>
        <v>#VALUE!</v>
      </c>
    </row>
    <row r="2642" spans="8:31" x14ac:dyDescent="0.2">
      <c r="H2642" s="5"/>
      <c r="I2642" s="5"/>
      <c r="J2642" s="5"/>
      <c r="K2642" s="5"/>
      <c r="L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5"/>
      <c r="AC2642" t="e">
        <f ca="1">RANK(AB2642,OFFSET($AB$2,0,0,#REF!,1))</f>
        <v>#REF!</v>
      </c>
      <c r="AD2642" s="4" t="e">
        <f>InsurerSize(#REF!)</f>
        <v>#VALUE!</v>
      </c>
      <c r="AE2642" s="4" t="e">
        <f t="shared" si="53"/>
        <v>#VALUE!</v>
      </c>
    </row>
    <row r="2643" spans="8:31" x14ac:dyDescent="0.2">
      <c r="H2643" s="5"/>
      <c r="I2643" s="5"/>
      <c r="J2643" s="5"/>
      <c r="K2643" s="5"/>
      <c r="L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5"/>
      <c r="AC2643" t="e">
        <f ca="1">RANK(AB2643,OFFSET($AB$2,0,0,#REF!,1))</f>
        <v>#REF!</v>
      </c>
      <c r="AD2643" s="4" t="e">
        <f>InsurerSize(#REF!)</f>
        <v>#VALUE!</v>
      </c>
      <c r="AE2643" s="4" t="e">
        <f t="shared" si="53"/>
        <v>#VALUE!</v>
      </c>
    </row>
    <row r="2644" spans="8:31" x14ac:dyDescent="0.2">
      <c r="H2644" s="5"/>
      <c r="I2644" s="5"/>
      <c r="J2644" s="5"/>
      <c r="K2644" s="5"/>
      <c r="L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5"/>
      <c r="AC2644" t="e">
        <f ca="1">RANK(AB2644,OFFSET($AB$2,0,0,#REF!,1))</f>
        <v>#REF!</v>
      </c>
      <c r="AD2644" s="4" t="e">
        <f>InsurerSize(#REF!)</f>
        <v>#VALUE!</v>
      </c>
      <c r="AE2644" s="4" t="e">
        <f t="shared" si="53"/>
        <v>#VALUE!</v>
      </c>
    </row>
    <row r="2645" spans="8:31" x14ac:dyDescent="0.2">
      <c r="H2645" s="5"/>
      <c r="I2645" s="5"/>
      <c r="J2645" s="5"/>
      <c r="K2645" s="5"/>
      <c r="L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5"/>
      <c r="AC2645" t="e">
        <f ca="1">RANK(AB2645,OFFSET($AB$2,0,0,#REF!,1))</f>
        <v>#REF!</v>
      </c>
      <c r="AD2645" s="4" t="e">
        <f>InsurerSize(#REF!)</f>
        <v>#VALUE!</v>
      </c>
      <c r="AE2645" s="4" t="e">
        <f t="shared" si="53"/>
        <v>#VALUE!</v>
      </c>
    </row>
    <row r="2646" spans="8:31" x14ac:dyDescent="0.2">
      <c r="H2646" s="5"/>
      <c r="I2646" s="5"/>
      <c r="J2646" s="5"/>
      <c r="K2646" s="5"/>
      <c r="L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5"/>
      <c r="AC2646" t="e">
        <f ca="1">RANK(AB2646,OFFSET($AB$2,0,0,#REF!,1))</f>
        <v>#REF!</v>
      </c>
      <c r="AD2646" s="4" t="e">
        <f>InsurerSize(#REF!)</f>
        <v>#VALUE!</v>
      </c>
      <c r="AE2646" s="4" t="e">
        <f t="shared" si="53"/>
        <v>#VALUE!</v>
      </c>
    </row>
    <row r="2647" spans="8:31" x14ac:dyDescent="0.2">
      <c r="H2647" s="5"/>
      <c r="I2647" s="5"/>
      <c r="J2647" s="5"/>
      <c r="K2647" s="5"/>
      <c r="L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5"/>
      <c r="AC2647" t="e">
        <f ca="1">RANK(AB2647,OFFSET($AB$2,0,0,#REF!,1))</f>
        <v>#REF!</v>
      </c>
      <c r="AD2647" s="4" t="e">
        <f>InsurerSize(#REF!)</f>
        <v>#VALUE!</v>
      </c>
      <c r="AE2647" s="4" t="e">
        <f t="shared" si="53"/>
        <v>#VALUE!</v>
      </c>
    </row>
    <row r="2648" spans="8:31" x14ac:dyDescent="0.2">
      <c r="H2648" s="5"/>
      <c r="I2648" s="5"/>
      <c r="J2648" s="5"/>
      <c r="K2648" s="5"/>
      <c r="L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5"/>
      <c r="AC2648" t="e">
        <f ca="1">RANK(AB2648,OFFSET($AB$2,0,0,#REF!,1))</f>
        <v>#REF!</v>
      </c>
      <c r="AD2648" s="4" t="e">
        <f>InsurerSize(#REF!)</f>
        <v>#VALUE!</v>
      </c>
      <c r="AE2648" s="4" t="e">
        <f t="shared" si="53"/>
        <v>#VALUE!</v>
      </c>
    </row>
    <row r="2649" spans="8:31" x14ac:dyDescent="0.2">
      <c r="H2649" s="5"/>
      <c r="I2649" s="5"/>
      <c r="J2649" s="5"/>
      <c r="K2649" s="5"/>
      <c r="L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5"/>
      <c r="AC2649" t="e">
        <f ca="1">RANK(AB2649,OFFSET($AB$2,0,0,#REF!,1))</f>
        <v>#REF!</v>
      </c>
      <c r="AD2649" s="4" t="e">
        <f>InsurerSize(#REF!)</f>
        <v>#VALUE!</v>
      </c>
      <c r="AE2649" s="4" t="e">
        <f t="shared" si="53"/>
        <v>#VALUE!</v>
      </c>
    </row>
    <row r="2650" spans="8:31" x14ac:dyDescent="0.2">
      <c r="H2650" s="5"/>
      <c r="I2650" s="5"/>
      <c r="J2650" s="5"/>
      <c r="K2650" s="5"/>
      <c r="L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5"/>
      <c r="AC2650" t="e">
        <f ca="1">RANK(AB2650,OFFSET($AB$2,0,0,#REF!,1))</f>
        <v>#REF!</v>
      </c>
      <c r="AD2650" s="4" t="e">
        <f>InsurerSize(#REF!)</f>
        <v>#VALUE!</v>
      </c>
      <c r="AE2650" s="4" t="e">
        <f t="shared" si="53"/>
        <v>#VALUE!</v>
      </c>
    </row>
    <row r="2651" spans="8:31" x14ac:dyDescent="0.2">
      <c r="H2651" s="5"/>
      <c r="I2651" s="5"/>
      <c r="J2651" s="5"/>
      <c r="K2651" s="5"/>
      <c r="L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5"/>
      <c r="AC2651" t="e">
        <f ca="1">RANK(AB2651,OFFSET($AB$2,0,0,#REF!,1))</f>
        <v>#REF!</v>
      </c>
      <c r="AD2651" s="4" t="e">
        <f>InsurerSize(#REF!)</f>
        <v>#VALUE!</v>
      </c>
      <c r="AE2651" s="4" t="e">
        <f t="shared" si="53"/>
        <v>#VALUE!</v>
      </c>
    </row>
    <row r="2652" spans="8:31" x14ac:dyDescent="0.2">
      <c r="H2652" s="5"/>
      <c r="I2652" s="5"/>
      <c r="J2652" s="5"/>
      <c r="K2652" s="5"/>
      <c r="L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5"/>
      <c r="AC2652" t="e">
        <f ca="1">RANK(AB2652,OFFSET($AB$2,0,0,#REF!,1))</f>
        <v>#REF!</v>
      </c>
      <c r="AD2652" s="4" t="e">
        <f>InsurerSize(#REF!)</f>
        <v>#VALUE!</v>
      </c>
      <c r="AE2652" s="4" t="e">
        <f t="shared" si="53"/>
        <v>#VALUE!</v>
      </c>
    </row>
    <row r="2653" spans="8:31" x14ac:dyDescent="0.2">
      <c r="H2653" s="5"/>
      <c r="I2653" s="5"/>
      <c r="J2653" s="5"/>
      <c r="K2653" s="5"/>
      <c r="L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5"/>
      <c r="AC2653" t="e">
        <f ca="1">RANK(AB2653,OFFSET($AB$2,0,0,#REF!,1))</f>
        <v>#REF!</v>
      </c>
      <c r="AD2653" s="4" t="e">
        <f>InsurerSize(#REF!)</f>
        <v>#VALUE!</v>
      </c>
      <c r="AE2653" s="4" t="e">
        <f t="shared" si="53"/>
        <v>#VALUE!</v>
      </c>
    </row>
    <row r="2654" spans="8:31" x14ac:dyDescent="0.2">
      <c r="H2654" s="5"/>
      <c r="I2654" s="5"/>
      <c r="J2654" s="5"/>
      <c r="K2654" s="5"/>
      <c r="L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5"/>
      <c r="AC2654" t="e">
        <f ca="1">RANK(AB2654,OFFSET($AB$2,0,0,#REF!,1))</f>
        <v>#REF!</v>
      </c>
      <c r="AD2654" s="4" t="e">
        <f>InsurerSize(#REF!)</f>
        <v>#VALUE!</v>
      </c>
      <c r="AE2654" s="4" t="e">
        <f t="shared" si="53"/>
        <v>#VALUE!</v>
      </c>
    </row>
    <row r="2655" spans="8:31" x14ac:dyDescent="0.2">
      <c r="H2655" s="5"/>
      <c r="I2655" s="5"/>
      <c r="J2655" s="5"/>
      <c r="K2655" s="5"/>
      <c r="L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5"/>
      <c r="AC2655" t="e">
        <f ca="1">RANK(AB2655,OFFSET($AB$2,0,0,#REF!,1))</f>
        <v>#REF!</v>
      </c>
      <c r="AD2655" s="4" t="e">
        <f>InsurerSize(#REF!)</f>
        <v>#VALUE!</v>
      </c>
      <c r="AE2655" s="4" t="e">
        <f t="shared" si="53"/>
        <v>#VALUE!</v>
      </c>
    </row>
    <row r="2656" spans="8:31" x14ac:dyDescent="0.2">
      <c r="H2656" s="5"/>
      <c r="I2656" s="5"/>
      <c r="J2656" s="5"/>
      <c r="K2656" s="5"/>
      <c r="L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5"/>
      <c r="AC2656" t="e">
        <f ca="1">RANK(AB2656,OFFSET($AB$2,0,0,#REF!,1))</f>
        <v>#REF!</v>
      </c>
      <c r="AD2656" s="4" t="e">
        <f>InsurerSize(#REF!)</f>
        <v>#VALUE!</v>
      </c>
      <c r="AE2656" s="4" t="e">
        <f t="shared" si="53"/>
        <v>#VALUE!</v>
      </c>
    </row>
    <row r="2657" spans="8:31" x14ac:dyDescent="0.2">
      <c r="H2657" s="5"/>
      <c r="I2657" s="5"/>
      <c r="J2657" s="5"/>
      <c r="K2657" s="5"/>
      <c r="L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5"/>
      <c r="AC2657" t="e">
        <f ca="1">RANK(AB2657,OFFSET($AB$2,0,0,#REF!,1))</f>
        <v>#REF!</v>
      </c>
      <c r="AD2657" s="4" t="e">
        <f>InsurerSize(#REF!)</f>
        <v>#VALUE!</v>
      </c>
      <c r="AE2657" s="4" t="e">
        <f t="shared" si="53"/>
        <v>#VALUE!</v>
      </c>
    </row>
    <row r="2658" spans="8:31" x14ac:dyDescent="0.2">
      <c r="H2658" s="5"/>
      <c r="I2658" s="5"/>
      <c r="J2658" s="5"/>
      <c r="K2658" s="5"/>
      <c r="L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5"/>
      <c r="AC2658" t="e">
        <f ca="1">RANK(AB2658,OFFSET($AB$2,0,0,#REF!,1))</f>
        <v>#REF!</v>
      </c>
      <c r="AD2658" s="4" t="e">
        <f>InsurerSize(#REF!)</f>
        <v>#VALUE!</v>
      </c>
      <c r="AE2658" s="4" t="e">
        <f t="shared" si="53"/>
        <v>#VALUE!</v>
      </c>
    </row>
    <row r="2659" spans="8:31" x14ac:dyDescent="0.2">
      <c r="H2659" s="5"/>
      <c r="I2659" s="5"/>
      <c r="J2659" s="5"/>
      <c r="K2659" s="5"/>
      <c r="L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5"/>
      <c r="AC2659" t="e">
        <f ca="1">RANK(AB2659,OFFSET($AB$2,0,0,#REF!,1))</f>
        <v>#REF!</v>
      </c>
      <c r="AD2659" s="4" t="e">
        <f>InsurerSize(#REF!)</f>
        <v>#VALUE!</v>
      </c>
      <c r="AE2659" s="4" t="e">
        <f t="shared" si="53"/>
        <v>#VALUE!</v>
      </c>
    </row>
    <row r="2660" spans="8:31" x14ac:dyDescent="0.2">
      <c r="H2660" s="5"/>
      <c r="I2660" s="5"/>
      <c r="J2660" s="5"/>
      <c r="K2660" s="5"/>
      <c r="L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5"/>
      <c r="AC2660" t="e">
        <f ca="1">RANK(AB2660,OFFSET($AB$2,0,0,#REF!,1))</f>
        <v>#REF!</v>
      </c>
      <c r="AD2660" s="4" t="e">
        <f>InsurerSize(#REF!)</f>
        <v>#VALUE!</v>
      </c>
      <c r="AE2660" s="4" t="e">
        <f t="shared" si="53"/>
        <v>#VALUE!</v>
      </c>
    </row>
    <row r="2661" spans="8:31" x14ac:dyDescent="0.2">
      <c r="H2661" s="5"/>
      <c r="I2661" s="5"/>
      <c r="J2661" s="5"/>
      <c r="K2661" s="5"/>
      <c r="L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5"/>
      <c r="AC2661" t="e">
        <f ca="1">RANK(AB2661,OFFSET($AB$2,0,0,#REF!,1))</f>
        <v>#REF!</v>
      </c>
      <c r="AD2661" s="4" t="e">
        <f>InsurerSize(#REF!)</f>
        <v>#VALUE!</v>
      </c>
      <c r="AE2661" s="4" t="e">
        <f t="shared" si="53"/>
        <v>#VALUE!</v>
      </c>
    </row>
    <row r="2662" spans="8:31" x14ac:dyDescent="0.2">
      <c r="H2662" s="5"/>
      <c r="I2662" s="5"/>
      <c r="J2662" s="5"/>
      <c r="K2662" s="5"/>
      <c r="L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5"/>
      <c r="AC2662" t="e">
        <f ca="1">RANK(AB2662,OFFSET($AB$2,0,0,#REF!,1))</f>
        <v>#REF!</v>
      </c>
      <c r="AD2662" s="4" t="e">
        <f>InsurerSize(#REF!)</f>
        <v>#VALUE!</v>
      </c>
      <c r="AE2662" s="4" t="e">
        <f t="shared" si="53"/>
        <v>#VALUE!</v>
      </c>
    </row>
    <row r="2663" spans="8:31" x14ac:dyDescent="0.2">
      <c r="H2663" s="5"/>
      <c r="I2663" s="5"/>
      <c r="J2663" s="5"/>
      <c r="K2663" s="5"/>
      <c r="L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5"/>
      <c r="AC2663" t="e">
        <f ca="1">RANK(AB2663,OFFSET($AB$2,0,0,#REF!,1))</f>
        <v>#REF!</v>
      </c>
      <c r="AD2663" s="4" t="e">
        <f>InsurerSize(#REF!)</f>
        <v>#VALUE!</v>
      </c>
      <c r="AE2663" s="4" t="e">
        <f t="shared" si="53"/>
        <v>#VALUE!</v>
      </c>
    </row>
    <row r="2664" spans="8:31" x14ac:dyDescent="0.2">
      <c r="H2664" s="5"/>
      <c r="I2664" s="5"/>
      <c r="J2664" s="5"/>
      <c r="K2664" s="5"/>
      <c r="L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5"/>
      <c r="AC2664" t="e">
        <f ca="1">RANK(AB2664,OFFSET($AB$2,0,0,#REF!,1))</f>
        <v>#REF!</v>
      </c>
      <c r="AD2664" s="4" t="e">
        <f>InsurerSize(#REF!)</f>
        <v>#VALUE!</v>
      </c>
      <c r="AE2664" s="4" t="e">
        <f t="shared" si="53"/>
        <v>#VALUE!</v>
      </c>
    </row>
    <row r="2665" spans="8:31" x14ac:dyDescent="0.2">
      <c r="H2665" s="5"/>
      <c r="I2665" s="5"/>
      <c r="J2665" s="5"/>
      <c r="K2665" s="5"/>
      <c r="L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5"/>
      <c r="AC2665" t="e">
        <f ca="1">RANK(AB2665,OFFSET($AB$2,0,0,#REF!,1))</f>
        <v>#REF!</v>
      </c>
      <c r="AD2665" s="4" t="e">
        <f>InsurerSize(#REF!)</f>
        <v>#VALUE!</v>
      </c>
      <c r="AE2665" s="4" t="e">
        <f t="shared" si="53"/>
        <v>#VALUE!</v>
      </c>
    </row>
    <row r="2666" spans="8:31" x14ac:dyDescent="0.2">
      <c r="H2666" s="5"/>
      <c r="I2666" s="5"/>
      <c r="J2666" s="5"/>
      <c r="K2666" s="5"/>
      <c r="L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5"/>
      <c r="AC2666" t="e">
        <f ca="1">RANK(AB2666,OFFSET($AB$2,0,0,#REF!,1))</f>
        <v>#REF!</v>
      </c>
      <c r="AD2666" s="4" t="e">
        <f>InsurerSize(#REF!)</f>
        <v>#VALUE!</v>
      </c>
      <c r="AE2666" s="4" t="e">
        <f t="shared" si="53"/>
        <v>#VALUE!</v>
      </c>
    </row>
    <row r="2667" spans="8:31" x14ac:dyDescent="0.2">
      <c r="H2667" s="5"/>
      <c r="I2667" s="5"/>
      <c r="J2667" s="5"/>
      <c r="K2667" s="5"/>
      <c r="L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5"/>
      <c r="AC2667" t="e">
        <f ca="1">RANK(AB2667,OFFSET($AB$2,0,0,#REF!,1))</f>
        <v>#REF!</v>
      </c>
      <c r="AD2667" s="4" t="e">
        <f>InsurerSize(#REF!)</f>
        <v>#VALUE!</v>
      </c>
      <c r="AE2667" s="4" t="e">
        <f t="shared" si="53"/>
        <v>#VALUE!</v>
      </c>
    </row>
    <row r="2668" spans="8:31" x14ac:dyDescent="0.2">
      <c r="H2668" s="5"/>
      <c r="I2668" s="5"/>
      <c r="J2668" s="5"/>
      <c r="K2668" s="5"/>
      <c r="L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5"/>
      <c r="AC2668" t="e">
        <f ca="1">RANK(AB2668,OFFSET($AB$2,0,0,#REF!,1))</f>
        <v>#REF!</v>
      </c>
      <c r="AD2668" s="4" t="e">
        <f>InsurerSize(#REF!)</f>
        <v>#VALUE!</v>
      </c>
      <c r="AE2668" s="4" t="e">
        <f t="shared" si="53"/>
        <v>#VALUE!</v>
      </c>
    </row>
    <row r="2669" spans="8:31" x14ac:dyDescent="0.2"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AC2669" t="e">
        <f ca="1">RANK(AB2669,OFFSET($AB$2,0,0,#REF!,1))</f>
        <v>#REF!</v>
      </c>
      <c r="AD2669" s="4" t="e">
        <f>InsurerSize(#REF!)</f>
        <v>#VALUE!</v>
      </c>
      <c r="AE2669" s="4" t="e">
        <f t="shared" si="53"/>
        <v>#VALUE!</v>
      </c>
    </row>
    <row r="2670" spans="8:31" x14ac:dyDescent="0.2">
      <c r="H2670" s="5"/>
      <c r="I2670" s="5"/>
      <c r="J2670" s="5"/>
      <c r="K2670" s="5"/>
      <c r="L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5"/>
      <c r="AC2670" t="e">
        <f ca="1">RANK(AB2670,OFFSET($AB$2,0,0,#REF!,1))</f>
        <v>#REF!</v>
      </c>
      <c r="AD2670" s="4" t="e">
        <f>InsurerSize(#REF!)</f>
        <v>#VALUE!</v>
      </c>
      <c r="AE2670" s="4" t="e">
        <f t="shared" si="53"/>
        <v>#VALUE!</v>
      </c>
    </row>
    <row r="2671" spans="8:31" x14ac:dyDescent="0.2">
      <c r="H2671" s="5"/>
      <c r="I2671" s="5"/>
      <c r="J2671" s="5"/>
      <c r="K2671" s="5"/>
      <c r="L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5"/>
      <c r="AC2671" t="e">
        <f ca="1">RANK(AB2671,OFFSET($AB$2,0,0,#REF!,1))</f>
        <v>#REF!</v>
      </c>
      <c r="AD2671" s="4" t="e">
        <f>InsurerSize(#REF!)</f>
        <v>#VALUE!</v>
      </c>
      <c r="AE2671" s="4" t="e">
        <f t="shared" si="53"/>
        <v>#VALUE!</v>
      </c>
    </row>
    <row r="2672" spans="8:31" x14ac:dyDescent="0.2">
      <c r="H2672" s="5"/>
      <c r="I2672" s="5"/>
      <c r="J2672" s="5"/>
      <c r="K2672" s="5"/>
      <c r="L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5"/>
      <c r="AC2672" t="e">
        <f ca="1">RANK(AB2672,OFFSET($AB$2,0,0,#REF!,1))</f>
        <v>#REF!</v>
      </c>
      <c r="AD2672" s="4" t="e">
        <f>InsurerSize(#REF!)</f>
        <v>#VALUE!</v>
      </c>
      <c r="AE2672" s="4" t="e">
        <f t="shared" si="53"/>
        <v>#VALUE!</v>
      </c>
    </row>
    <row r="2673" spans="8:31" x14ac:dyDescent="0.2">
      <c r="H2673" s="5"/>
      <c r="I2673" s="5"/>
      <c r="J2673" s="5"/>
      <c r="K2673" s="5"/>
      <c r="L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5"/>
      <c r="AC2673" t="e">
        <f ca="1">RANK(AB2673,OFFSET($AB$2,0,0,#REF!,1))</f>
        <v>#REF!</v>
      </c>
      <c r="AD2673" s="4" t="e">
        <f>InsurerSize(#REF!)</f>
        <v>#VALUE!</v>
      </c>
      <c r="AE2673" s="4" t="e">
        <f t="shared" si="53"/>
        <v>#VALUE!</v>
      </c>
    </row>
    <row r="2674" spans="8:31" x14ac:dyDescent="0.2">
      <c r="H2674" s="5"/>
      <c r="I2674" s="5"/>
      <c r="J2674" s="5"/>
      <c r="K2674" s="5"/>
      <c r="L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5"/>
      <c r="AC2674" t="e">
        <f ca="1">RANK(AB2674,OFFSET($AB$2,0,0,#REF!,1))</f>
        <v>#REF!</v>
      </c>
      <c r="AD2674" s="4" t="e">
        <f>InsurerSize(#REF!)</f>
        <v>#VALUE!</v>
      </c>
      <c r="AE2674" s="4" t="e">
        <f t="shared" si="53"/>
        <v>#VALUE!</v>
      </c>
    </row>
    <row r="2675" spans="8:31" x14ac:dyDescent="0.2">
      <c r="H2675" s="5"/>
      <c r="I2675" s="5"/>
      <c r="J2675" s="5"/>
      <c r="K2675" s="5"/>
      <c r="L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5"/>
      <c r="AC2675" t="e">
        <f ca="1">RANK(AB2675,OFFSET($AB$2,0,0,#REF!,1))</f>
        <v>#REF!</v>
      </c>
      <c r="AD2675" s="4" t="e">
        <f>InsurerSize(#REF!)</f>
        <v>#VALUE!</v>
      </c>
      <c r="AE2675" s="4" t="e">
        <f t="shared" si="53"/>
        <v>#VALUE!</v>
      </c>
    </row>
    <row r="2676" spans="8:31" x14ac:dyDescent="0.2">
      <c r="H2676" s="5"/>
      <c r="I2676" s="5"/>
      <c r="J2676" s="5"/>
      <c r="K2676" s="5"/>
      <c r="L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5"/>
      <c r="AC2676" t="e">
        <f ca="1">RANK(AB2676,OFFSET($AB$2,0,0,#REF!,1))</f>
        <v>#REF!</v>
      </c>
      <c r="AD2676" s="4" t="e">
        <f>InsurerSize(#REF!)</f>
        <v>#VALUE!</v>
      </c>
      <c r="AE2676" s="4" t="e">
        <f t="shared" si="53"/>
        <v>#VALUE!</v>
      </c>
    </row>
    <row r="2677" spans="8:31" x14ac:dyDescent="0.2">
      <c r="H2677" s="5"/>
      <c r="I2677" s="5"/>
      <c r="J2677" s="5"/>
      <c r="K2677" s="5"/>
      <c r="L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5"/>
      <c r="AC2677" t="e">
        <f ca="1">RANK(AB2677,OFFSET($AB$2,0,0,#REF!,1))</f>
        <v>#REF!</v>
      </c>
      <c r="AD2677" s="4" t="e">
        <f>InsurerSize(#REF!)</f>
        <v>#VALUE!</v>
      </c>
      <c r="AE2677" s="4" t="e">
        <f t="shared" si="53"/>
        <v>#VALUE!</v>
      </c>
    </row>
    <row r="2678" spans="8:31" x14ac:dyDescent="0.2">
      <c r="H2678" s="5"/>
      <c r="I2678" s="5"/>
      <c r="J2678" s="5"/>
      <c r="K2678" s="5"/>
      <c r="L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5"/>
      <c r="AC2678" t="e">
        <f ca="1">RANK(AB2678,OFFSET($AB$2,0,0,#REF!,1))</f>
        <v>#REF!</v>
      </c>
      <c r="AD2678" s="4" t="e">
        <f>InsurerSize(#REF!)</f>
        <v>#VALUE!</v>
      </c>
      <c r="AE2678" s="4" t="e">
        <f t="shared" si="53"/>
        <v>#VALUE!</v>
      </c>
    </row>
    <row r="2679" spans="8:31" x14ac:dyDescent="0.2">
      <c r="H2679" s="5"/>
      <c r="I2679" s="5"/>
      <c r="J2679" s="5"/>
      <c r="K2679" s="5"/>
      <c r="L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5"/>
      <c r="AC2679" t="e">
        <f ca="1">RANK(AB2679,OFFSET($AB$2,0,0,#REF!,1))</f>
        <v>#REF!</v>
      </c>
      <c r="AD2679" s="4" t="e">
        <f>InsurerSize(#REF!)</f>
        <v>#VALUE!</v>
      </c>
      <c r="AE2679" s="4" t="e">
        <f t="shared" si="53"/>
        <v>#VALUE!</v>
      </c>
    </row>
    <row r="2680" spans="8:31" x14ac:dyDescent="0.2">
      <c r="H2680" s="5"/>
      <c r="I2680" s="5"/>
      <c r="J2680" s="5"/>
      <c r="K2680" s="5"/>
      <c r="L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5"/>
      <c r="AC2680" t="e">
        <f ca="1">RANK(AB2680,OFFSET($AB$2,0,0,#REF!,1))</f>
        <v>#REF!</v>
      </c>
      <c r="AD2680" s="4" t="e">
        <f>InsurerSize(#REF!)</f>
        <v>#VALUE!</v>
      </c>
      <c r="AE2680" s="4" t="e">
        <f t="shared" si="53"/>
        <v>#VALUE!</v>
      </c>
    </row>
    <row r="2681" spans="8:31" x14ac:dyDescent="0.2">
      <c r="H2681" s="5"/>
      <c r="I2681" s="5"/>
      <c r="J2681" s="5"/>
      <c r="K2681" s="5"/>
      <c r="L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5"/>
      <c r="AC2681" t="e">
        <f ca="1">RANK(AB2681,OFFSET($AB$2,0,0,#REF!,1))</f>
        <v>#REF!</v>
      </c>
      <c r="AD2681" s="4" t="e">
        <f>InsurerSize(#REF!)</f>
        <v>#VALUE!</v>
      </c>
      <c r="AE2681" s="4" t="e">
        <f t="shared" si="53"/>
        <v>#VALUE!</v>
      </c>
    </row>
    <row r="2682" spans="8:31" x14ac:dyDescent="0.2">
      <c r="H2682" s="5"/>
      <c r="I2682" s="5"/>
      <c r="J2682" s="5"/>
      <c r="K2682" s="5"/>
      <c r="L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5"/>
      <c r="AC2682" t="e">
        <f ca="1">RANK(AB2682,OFFSET($AB$2,0,0,#REF!,1))</f>
        <v>#REF!</v>
      </c>
      <c r="AD2682" s="4" t="e">
        <f>InsurerSize(#REF!)</f>
        <v>#VALUE!</v>
      </c>
      <c r="AE2682" s="4" t="e">
        <f t="shared" si="53"/>
        <v>#VALUE!</v>
      </c>
    </row>
    <row r="2683" spans="8:31" x14ac:dyDescent="0.2">
      <c r="H2683" s="5"/>
      <c r="I2683" s="5"/>
      <c r="J2683" s="5"/>
      <c r="K2683" s="5"/>
      <c r="L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5"/>
      <c r="AC2683" t="e">
        <f ca="1">RANK(AB2683,OFFSET($AB$2,0,0,#REF!,1))</f>
        <v>#REF!</v>
      </c>
      <c r="AD2683" s="4" t="e">
        <f>InsurerSize(#REF!)</f>
        <v>#VALUE!</v>
      </c>
      <c r="AE2683" s="4" t="e">
        <f t="shared" si="53"/>
        <v>#VALUE!</v>
      </c>
    </row>
    <row r="2684" spans="8:31" x14ac:dyDescent="0.2">
      <c r="H2684" s="5"/>
      <c r="I2684" s="5"/>
      <c r="J2684" s="5"/>
      <c r="K2684" s="5"/>
      <c r="L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5"/>
      <c r="AC2684" t="e">
        <f ca="1">RANK(AB2684,OFFSET($AB$2,0,0,#REF!,1))</f>
        <v>#REF!</v>
      </c>
      <c r="AD2684" s="4" t="e">
        <f>InsurerSize(#REF!)</f>
        <v>#VALUE!</v>
      </c>
      <c r="AE2684" s="4" t="e">
        <f t="shared" si="53"/>
        <v>#VALUE!</v>
      </c>
    </row>
    <row r="2685" spans="8:31" x14ac:dyDescent="0.2"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5"/>
      <c r="AC2685" t="e">
        <f ca="1">RANK(AB2685,OFFSET($AB$2,0,0,#REF!,1))</f>
        <v>#REF!</v>
      </c>
      <c r="AD2685" s="4" t="e">
        <f>InsurerSize(#REF!)</f>
        <v>#VALUE!</v>
      </c>
      <c r="AE2685" s="4" t="e">
        <f t="shared" si="53"/>
        <v>#VALUE!</v>
      </c>
    </row>
    <row r="2686" spans="8:31" x14ac:dyDescent="0.2"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5"/>
      <c r="AC2686" t="e">
        <f ca="1">RANK(AB2686,OFFSET($AB$2,0,0,#REF!,1))</f>
        <v>#REF!</v>
      </c>
      <c r="AD2686" s="4" t="e">
        <f>InsurerSize(#REF!)</f>
        <v>#VALUE!</v>
      </c>
      <c r="AE2686" s="4" t="e">
        <f t="shared" si="53"/>
        <v>#VALUE!</v>
      </c>
    </row>
    <row r="2687" spans="8:31" x14ac:dyDescent="0.2"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5"/>
      <c r="AC2687" t="e">
        <f ca="1">RANK(AB2687,OFFSET($AB$2,0,0,#REF!,1))</f>
        <v>#REF!</v>
      </c>
      <c r="AD2687" s="4" t="e">
        <f>InsurerSize(#REF!)</f>
        <v>#VALUE!</v>
      </c>
      <c r="AE2687" s="4" t="e">
        <f t="shared" si="53"/>
        <v>#VALUE!</v>
      </c>
    </row>
    <row r="2688" spans="8:31" x14ac:dyDescent="0.2"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5"/>
      <c r="AC2688" t="e">
        <f ca="1">RANK(AB2688,OFFSET($AB$2,0,0,#REF!,1))</f>
        <v>#REF!</v>
      </c>
      <c r="AD2688" s="4" t="e">
        <f>InsurerSize(#REF!)</f>
        <v>#VALUE!</v>
      </c>
      <c r="AE2688" s="4" t="e">
        <f t="shared" si="53"/>
        <v>#VALUE!</v>
      </c>
    </row>
    <row r="2689" spans="8:31" x14ac:dyDescent="0.2"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5"/>
      <c r="AC2689" t="e">
        <f ca="1">RANK(AB2689,OFFSET($AB$2,0,0,#REF!,1))</f>
        <v>#REF!</v>
      </c>
      <c r="AD2689" s="4" t="e">
        <f>InsurerSize(#REF!)</f>
        <v>#VALUE!</v>
      </c>
      <c r="AE2689" s="4" t="e">
        <f t="shared" si="53"/>
        <v>#VALUE!</v>
      </c>
    </row>
    <row r="2690" spans="8:31" x14ac:dyDescent="0.2"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5"/>
      <c r="AC2690" t="e">
        <f ca="1">RANK(AB2690,OFFSET($AB$2,0,0,#REF!,1))</f>
        <v>#REF!</v>
      </c>
      <c r="AD2690" s="4" t="e">
        <f>InsurerSize(#REF!)</f>
        <v>#VALUE!</v>
      </c>
      <c r="AE2690" s="4" t="e">
        <f t="shared" ref="AE2690:AE2753" si="54">A2690&amp;AD2690</f>
        <v>#VALUE!</v>
      </c>
    </row>
    <row r="2691" spans="8:31" x14ac:dyDescent="0.2"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5"/>
      <c r="AC2691" t="e">
        <f ca="1">RANK(AB2691,OFFSET($AB$2,0,0,#REF!,1))</f>
        <v>#REF!</v>
      </c>
      <c r="AD2691" s="4" t="e">
        <f>InsurerSize(#REF!)</f>
        <v>#VALUE!</v>
      </c>
      <c r="AE2691" s="4" t="e">
        <f t="shared" si="54"/>
        <v>#VALUE!</v>
      </c>
    </row>
    <row r="2692" spans="8:31" x14ac:dyDescent="0.2"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5"/>
      <c r="AC2692" t="e">
        <f ca="1">RANK(AB2692,OFFSET($AB$2,0,0,#REF!,1))</f>
        <v>#REF!</v>
      </c>
      <c r="AD2692" s="4" t="e">
        <f>InsurerSize(#REF!)</f>
        <v>#VALUE!</v>
      </c>
      <c r="AE2692" s="4" t="e">
        <f t="shared" si="54"/>
        <v>#VALUE!</v>
      </c>
    </row>
    <row r="2693" spans="8:31" x14ac:dyDescent="0.2"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5"/>
      <c r="AC2693" t="e">
        <f ca="1">RANK(AB2693,OFFSET($AB$2,0,0,#REF!,1))</f>
        <v>#REF!</v>
      </c>
      <c r="AD2693" s="4" t="e">
        <f>InsurerSize(#REF!)</f>
        <v>#VALUE!</v>
      </c>
      <c r="AE2693" s="4" t="e">
        <f t="shared" si="54"/>
        <v>#VALUE!</v>
      </c>
    </row>
    <row r="2694" spans="8:31" x14ac:dyDescent="0.2"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5"/>
      <c r="AC2694" t="e">
        <f ca="1">RANK(AB2694,OFFSET($AB$2,0,0,#REF!,1))</f>
        <v>#REF!</v>
      </c>
      <c r="AD2694" s="4" t="e">
        <f>InsurerSize(#REF!)</f>
        <v>#VALUE!</v>
      </c>
      <c r="AE2694" s="4" t="e">
        <f t="shared" si="54"/>
        <v>#VALUE!</v>
      </c>
    </row>
    <row r="2695" spans="8:31" x14ac:dyDescent="0.2"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5"/>
      <c r="AC2695" t="e">
        <f ca="1">RANK(AB2695,OFFSET($AB$2,0,0,#REF!,1))</f>
        <v>#REF!</v>
      </c>
      <c r="AD2695" s="4" t="e">
        <f>InsurerSize(#REF!)</f>
        <v>#VALUE!</v>
      </c>
      <c r="AE2695" s="4" t="e">
        <f t="shared" si="54"/>
        <v>#VALUE!</v>
      </c>
    </row>
    <row r="2696" spans="8:31" x14ac:dyDescent="0.2"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5"/>
      <c r="AC2696" t="e">
        <f ca="1">RANK(AB2696,OFFSET($AB$2,0,0,#REF!,1))</f>
        <v>#REF!</v>
      </c>
      <c r="AD2696" s="4" t="e">
        <f>InsurerSize(#REF!)</f>
        <v>#VALUE!</v>
      </c>
      <c r="AE2696" s="4" t="e">
        <f t="shared" si="54"/>
        <v>#VALUE!</v>
      </c>
    </row>
    <row r="2697" spans="8:31" x14ac:dyDescent="0.2"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5"/>
      <c r="AC2697" t="e">
        <f ca="1">RANK(AB2697,OFFSET($AB$2,0,0,#REF!,1))</f>
        <v>#REF!</v>
      </c>
      <c r="AD2697" s="4" t="e">
        <f>InsurerSize(#REF!)</f>
        <v>#VALUE!</v>
      </c>
      <c r="AE2697" s="4" t="e">
        <f t="shared" si="54"/>
        <v>#VALUE!</v>
      </c>
    </row>
    <row r="2698" spans="8:31" x14ac:dyDescent="0.2"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5"/>
      <c r="AC2698" t="e">
        <f ca="1">RANK(AB2698,OFFSET($AB$2,0,0,#REF!,1))</f>
        <v>#REF!</v>
      </c>
      <c r="AD2698" s="4" t="e">
        <f>InsurerSize(#REF!)</f>
        <v>#VALUE!</v>
      </c>
      <c r="AE2698" s="4" t="e">
        <f t="shared" si="54"/>
        <v>#VALUE!</v>
      </c>
    </row>
    <row r="2699" spans="8:31" x14ac:dyDescent="0.2"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5"/>
      <c r="AC2699" t="e">
        <f ca="1">RANK(AB2699,OFFSET($AB$2,0,0,#REF!,1))</f>
        <v>#REF!</v>
      </c>
      <c r="AD2699" s="4" t="e">
        <f>InsurerSize(#REF!)</f>
        <v>#VALUE!</v>
      </c>
      <c r="AE2699" s="4" t="e">
        <f t="shared" si="54"/>
        <v>#VALUE!</v>
      </c>
    </row>
    <row r="2700" spans="8:31" x14ac:dyDescent="0.2"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5"/>
      <c r="AC2700" t="e">
        <f ca="1">RANK(AB2700,OFFSET($AB$2,0,0,#REF!,1))</f>
        <v>#REF!</v>
      </c>
      <c r="AD2700" s="4" t="e">
        <f>InsurerSize(#REF!)</f>
        <v>#VALUE!</v>
      </c>
      <c r="AE2700" s="4" t="e">
        <f t="shared" si="54"/>
        <v>#VALUE!</v>
      </c>
    </row>
    <row r="2701" spans="8:31" x14ac:dyDescent="0.2"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5"/>
      <c r="AC2701" t="e">
        <f ca="1">RANK(AB2701,OFFSET($AB$2,0,0,#REF!,1))</f>
        <v>#REF!</v>
      </c>
      <c r="AD2701" s="4" t="e">
        <f>InsurerSize(#REF!)</f>
        <v>#VALUE!</v>
      </c>
      <c r="AE2701" s="4" t="e">
        <f t="shared" si="54"/>
        <v>#VALUE!</v>
      </c>
    </row>
    <row r="2702" spans="8:31" x14ac:dyDescent="0.2"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5"/>
      <c r="AC2702" t="e">
        <f ca="1">RANK(AB2702,OFFSET($AB$2,0,0,#REF!,1))</f>
        <v>#REF!</v>
      </c>
      <c r="AD2702" s="4" t="e">
        <f>InsurerSize(#REF!)</f>
        <v>#VALUE!</v>
      </c>
      <c r="AE2702" s="4" t="e">
        <f t="shared" si="54"/>
        <v>#VALUE!</v>
      </c>
    </row>
    <row r="2703" spans="8:31" x14ac:dyDescent="0.2"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AC2703" t="e">
        <f ca="1">RANK(AB2703,OFFSET($AB$2,0,0,#REF!,1))</f>
        <v>#REF!</v>
      </c>
      <c r="AD2703" s="4" t="e">
        <f>InsurerSize(#REF!)</f>
        <v>#VALUE!</v>
      </c>
      <c r="AE2703" s="4" t="e">
        <f t="shared" si="54"/>
        <v>#VALUE!</v>
      </c>
    </row>
    <row r="2704" spans="8:31" x14ac:dyDescent="0.2"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AC2704" t="e">
        <f ca="1">RANK(AB2704,OFFSET($AB$2,0,0,#REF!,1))</f>
        <v>#REF!</v>
      </c>
      <c r="AD2704" s="4" t="e">
        <f>InsurerSize(#REF!)</f>
        <v>#VALUE!</v>
      </c>
      <c r="AE2704" s="4" t="e">
        <f t="shared" si="54"/>
        <v>#VALUE!</v>
      </c>
    </row>
    <row r="2705" spans="8:31" x14ac:dyDescent="0.2"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AC2705" t="e">
        <f ca="1">RANK(AB2705,OFFSET($AB$2,0,0,#REF!,1))</f>
        <v>#REF!</v>
      </c>
      <c r="AD2705" s="4" t="e">
        <f>InsurerSize(#REF!)</f>
        <v>#VALUE!</v>
      </c>
      <c r="AE2705" s="4" t="e">
        <f t="shared" si="54"/>
        <v>#VALUE!</v>
      </c>
    </row>
    <row r="2706" spans="8:31" x14ac:dyDescent="0.2"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AC2706" t="e">
        <f ca="1">RANK(AB2706,OFFSET($AB$2,0,0,#REF!,1))</f>
        <v>#REF!</v>
      </c>
      <c r="AD2706" s="4" t="e">
        <f>InsurerSize(#REF!)</f>
        <v>#VALUE!</v>
      </c>
      <c r="AE2706" s="4" t="e">
        <f t="shared" si="54"/>
        <v>#VALUE!</v>
      </c>
    </row>
    <row r="2707" spans="8:31" x14ac:dyDescent="0.2"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AC2707" t="e">
        <f ca="1">RANK(AB2707,OFFSET($AB$2,0,0,#REF!,1))</f>
        <v>#REF!</v>
      </c>
      <c r="AD2707" s="4" t="e">
        <f>InsurerSize(#REF!)</f>
        <v>#VALUE!</v>
      </c>
      <c r="AE2707" s="4" t="e">
        <f t="shared" si="54"/>
        <v>#VALUE!</v>
      </c>
    </row>
    <row r="2708" spans="8:31" x14ac:dyDescent="0.2"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AC2708" t="e">
        <f ca="1">RANK(AB2708,OFFSET($AB$2,0,0,#REF!,1))</f>
        <v>#REF!</v>
      </c>
      <c r="AD2708" s="4" t="e">
        <f>InsurerSize(#REF!)</f>
        <v>#VALUE!</v>
      </c>
      <c r="AE2708" s="4" t="e">
        <f t="shared" si="54"/>
        <v>#VALUE!</v>
      </c>
    </row>
    <row r="2709" spans="8:31" x14ac:dyDescent="0.2"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AC2709" t="e">
        <f ca="1">RANK(AB2709,OFFSET($AB$2,0,0,#REF!,1))</f>
        <v>#REF!</v>
      </c>
      <c r="AD2709" s="4" t="e">
        <f>InsurerSize(#REF!)</f>
        <v>#VALUE!</v>
      </c>
      <c r="AE2709" s="4" t="e">
        <f t="shared" si="54"/>
        <v>#VALUE!</v>
      </c>
    </row>
    <row r="2710" spans="8:31" x14ac:dyDescent="0.2"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AC2710" t="e">
        <f ca="1">RANK(AB2710,OFFSET($AB$2,0,0,#REF!,1))</f>
        <v>#REF!</v>
      </c>
      <c r="AD2710" s="4" t="e">
        <f>InsurerSize(#REF!)</f>
        <v>#VALUE!</v>
      </c>
      <c r="AE2710" s="4" t="e">
        <f t="shared" si="54"/>
        <v>#VALUE!</v>
      </c>
    </row>
    <row r="2711" spans="8:31" x14ac:dyDescent="0.2"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AC2711" t="e">
        <f ca="1">RANK(AB2711,OFFSET($AB$2,0,0,#REF!,1))</f>
        <v>#REF!</v>
      </c>
      <c r="AD2711" s="4" t="e">
        <f>InsurerSize(#REF!)</f>
        <v>#VALUE!</v>
      </c>
      <c r="AE2711" s="4" t="e">
        <f t="shared" si="54"/>
        <v>#VALUE!</v>
      </c>
    </row>
    <row r="2712" spans="8:31" x14ac:dyDescent="0.2"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AC2712" t="e">
        <f ca="1">RANK(AB2712,OFFSET($AB$2,0,0,#REF!,1))</f>
        <v>#REF!</v>
      </c>
      <c r="AD2712" s="4" t="e">
        <f>InsurerSize(#REF!)</f>
        <v>#VALUE!</v>
      </c>
      <c r="AE2712" s="4" t="e">
        <f t="shared" si="54"/>
        <v>#VALUE!</v>
      </c>
    </row>
    <row r="2713" spans="8:31" x14ac:dyDescent="0.2"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AC2713" t="e">
        <f ca="1">RANK(AB2713,OFFSET($AB$2,0,0,#REF!,1))</f>
        <v>#REF!</v>
      </c>
      <c r="AD2713" s="4" t="e">
        <f>InsurerSize(#REF!)</f>
        <v>#VALUE!</v>
      </c>
      <c r="AE2713" s="4" t="e">
        <f t="shared" si="54"/>
        <v>#VALUE!</v>
      </c>
    </row>
    <row r="2714" spans="8:31" x14ac:dyDescent="0.2"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AC2714" t="e">
        <f ca="1">RANK(AB2714,OFFSET($AB$2,0,0,#REF!,1))</f>
        <v>#REF!</v>
      </c>
      <c r="AD2714" s="4" t="e">
        <f>InsurerSize(#REF!)</f>
        <v>#VALUE!</v>
      </c>
      <c r="AE2714" s="4" t="e">
        <f t="shared" si="54"/>
        <v>#VALUE!</v>
      </c>
    </row>
    <row r="2715" spans="8:31" x14ac:dyDescent="0.2"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AC2715" t="e">
        <f ca="1">RANK(AB2715,OFFSET($AB$2,0,0,#REF!,1))</f>
        <v>#REF!</v>
      </c>
      <c r="AD2715" s="4" t="e">
        <f>InsurerSize(#REF!)</f>
        <v>#VALUE!</v>
      </c>
      <c r="AE2715" s="4" t="e">
        <f t="shared" si="54"/>
        <v>#VALUE!</v>
      </c>
    </row>
    <row r="2716" spans="8:31" x14ac:dyDescent="0.2"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AC2716" t="e">
        <f ca="1">RANK(AB2716,OFFSET($AB$2,0,0,#REF!,1))</f>
        <v>#REF!</v>
      </c>
      <c r="AD2716" s="4" t="e">
        <f>InsurerSize(#REF!)</f>
        <v>#VALUE!</v>
      </c>
      <c r="AE2716" s="4" t="e">
        <f t="shared" si="54"/>
        <v>#VALUE!</v>
      </c>
    </row>
    <row r="2717" spans="8:31" x14ac:dyDescent="0.2"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AC2717" t="e">
        <f ca="1">RANK(AB2717,OFFSET($AB$2,0,0,#REF!,1))</f>
        <v>#REF!</v>
      </c>
      <c r="AD2717" s="4" t="e">
        <f>InsurerSize(#REF!)</f>
        <v>#VALUE!</v>
      </c>
      <c r="AE2717" s="4" t="e">
        <f t="shared" si="54"/>
        <v>#VALUE!</v>
      </c>
    </row>
    <row r="2718" spans="8:31" x14ac:dyDescent="0.2"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AC2718" t="e">
        <f ca="1">RANK(AB2718,OFFSET($AB$2,0,0,#REF!,1))</f>
        <v>#REF!</v>
      </c>
      <c r="AD2718" s="4" t="e">
        <f>InsurerSize(#REF!)</f>
        <v>#VALUE!</v>
      </c>
      <c r="AE2718" s="4" t="e">
        <f t="shared" si="54"/>
        <v>#VALUE!</v>
      </c>
    </row>
    <row r="2719" spans="8:31" x14ac:dyDescent="0.2"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AC2719" t="e">
        <f ca="1">RANK(AB2719,OFFSET($AB$2,0,0,#REF!,1))</f>
        <v>#REF!</v>
      </c>
      <c r="AD2719" s="4" t="e">
        <f>InsurerSize(#REF!)</f>
        <v>#VALUE!</v>
      </c>
      <c r="AE2719" s="4" t="e">
        <f t="shared" si="54"/>
        <v>#VALUE!</v>
      </c>
    </row>
    <row r="2720" spans="8:31" x14ac:dyDescent="0.2"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AC2720" t="e">
        <f ca="1">RANK(AB2720,OFFSET($AB$2,0,0,#REF!,1))</f>
        <v>#REF!</v>
      </c>
      <c r="AD2720" s="4" t="e">
        <f>InsurerSize(#REF!)</f>
        <v>#VALUE!</v>
      </c>
      <c r="AE2720" s="4" t="e">
        <f t="shared" si="54"/>
        <v>#VALUE!</v>
      </c>
    </row>
    <row r="2721" spans="8:31" x14ac:dyDescent="0.2"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AC2721" t="e">
        <f ca="1">RANK(AB2721,OFFSET($AB$2,0,0,#REF!,1))</f>
        <v>#REF!</v>
      </c>
      <c r="AD2721" s="4" t="e">
        <f>InsurerSize(#REF!)</f>
        <v>#VALUE!</v>
      </c>
      <c r="AE2721" s="4" t="e">
        <f t="shared" si="54"/>
        <v>#VALUE!</v>
      </c>
    </row>
    <row r="2722" spans="8:31" x14ac:dyDescent="0.2"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AC2722" t="e">
        <f ca="1">RANK(AB2722,OFFSET($AB$2,0,0,#REF!,1))</f>
        <v>#REF!</v>
      </c>
      <c r="AD2722" s="4" t="e">
        <f>InsurerSize(#REF!)</f>
        <v>#VALUE!</v>
      </c>
      <c r="AE2722" s="4" t="e">
        <f t="shared" si="54"/>
        <v>#VALUE!</v>
      </c>
    </row>
    <row r="2723" spans="8:31" x14ac:dyDescent="0.2"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AC2723" t="e">
        <f ca="1">RANK(AB2723,OFFSET($AB$2,0,0,#REF!,1))</f>
        <v>#REF!</v>
      </c>
      <c r="AD2723" s="4" t="e">
        <f>InsurerSize(#REF!)</f>
        <v>#VALUE!</v>
      </c>
      <c r="AE2723" s="4" t="e">
        <f t="shared" si="54"/>
        <v>#VALUE!</v>
      </c>
    </row>
    <row r="2724" spans="8:31" x14ac:dyDescent="0.2"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AC2724" t="e">
        <f ca="1">RANK(AB2724,OFFSET($AB$2,0,0,#REF!,1))</f>
        <v>#REF!</v>
      </c>
      <c r="AD2724" s="4" t="e">
        <f>InsurerSize(#REF!)</f>
        <v>#VALUE!</v>
      </c>
      <c r="AE2724" s="4" t="e">
        <f t="shared" si="54"/>
        <v>#VALUE!</v>
      </c>
    </row>
    <row r="2725" spans="8:31" x14ac:dyDescent="0.2"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AC2725" t="e">
        <f ca="1">RANK(AB2725,OFFSET($AB$2,0,0,#REF!,1))</f>
        <v>#REF!</v>
      </c>
      <c r="AD2725" s="4" t="e">
        <f>InsurerSize(#REF!)</f>
        <v>#VALUE!</v>
      </c>
      <c r="AE2725" s="4" t="e">
        <f t="shared" si="54"/>
        <v>#VALUE!</v>
      </c>
    </row>
    <row r="2726" spans="8:31" x14ac:dyDescent="0.2"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AC2726" t="e">
        <f ca="1">RANK(AB2726,OFFSET($AB$2,0,0,#REF!,1))</f>
        <v>#REF!</v>
      </c>
      <c r="AD2726" s="4" t="e">
        <f>InsurerSize(#REF!)</f>
        <v>#VALUE!</v>
      </c>
      <c r="AE2726" s="4" t="e">
        <f t="shared" si="54"/>
        <v>#VALUE!</v>
      </c>
    </row>
    <row r="2727" spans="8:31" x14ac:dyDescent="0.2"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AC2727" t="e">
        <f ca="1">RANK(AB2727,OFFSET($AB$2,0,0,#REF!,1))</f>
        <v>#REF!</v>
      </c>
      <c r="AD2727" s="4" t="e">
        <f>InsurerSize(#REF!)</f>
        <v>#VALUE!</v>
      </c>
      <c r="AE2727" s="4" t="e">
        <f t="shared" si="54"/>
        <v>#VALUE!</v>
      </c>
    </row>
    <row r="2728" spans="8:31" x14ac:dyDescent="0.2"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AC2728" t="e">
        <f ca="1">RANK(AB2728,OFFSET($AB$2,0,0,#REF!,1))</f>
        <v>#REF!</v>
      </c>
      <c r="AD2728" s="4" t="e">
        <f>InsurerSize(#REF!)</f>
        <v>#VALUE!</v>
      </c>
      <c r="AE2728" s="4" t="e">
        <f t="shared" si="54"/>
        <v>#VALUE!</v>
      </c>
    </row>
    <row r="2729" spans="8:31" x14ac:dyDescent="0.2"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AC2729" t="e">
        <f ca="1">RANK(AB2729,OFFSET($AB$2,0,0,#REF!,1))</f>
        <v>#REF!</v>
      </c>
      <c r="AD2729" s="4" t="e">
        <f>InsurerSize(#REF!)</f>
        <v>#VALUE!</v>
      </c>
      <c r="AE2729" s="4" t="e">
        <f t="shared" si="54"/>
        <v>#VALUE!</v>
      </c>
    </row>
    <row r="2730" spans="8:31" x14ac:dyDescent="0.2"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5"/>
      <c r="AC2730" t="e">
        <f ca="1">RANK(AB2730,OFFSET($AB$2,0,0,#REF!,1))</f>
        <v>#REF!</v>
      </c>
      <c r="AD2730" s="4" t="e">
        <f>InsurerSize(#REF!)</f>
        <v>#VALUE!</v>
      </c>
      <c r="AE2730" s="4" t="e">
        <f t="shared" si="54"/>
        <v>#VALUE!</v>
      </c>
    </row>
    <row r="2731" spans="8:31" x14ac:dyDescent="0.2"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AC2731" t="e">
        <f ca="1">RANK(AB2731,OFFSET($AB$2,0,0,#REF!,1))</f>
        <v>#REF!</v>
      </c>
      <c r="AD2731" s="4" t="e">
        <f>InsurerSize(#REF!)</f>
        <v>#VALUE!</v>
      </c>
      <c r="AE2731" s="4" t="e">
        <f t="shared" si="54"/>
        <v>#VALUE!</v>
      </c>
    </row>
    <row r="2732" spans="8:31" x14ac:dyDescent="0.2"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AC2732" t="e">
        <f ca="1">RANK(AB2732,OFFSET($AB$2,0,0,#REF!,1))</f>
        <v>#REF!</v>
      </c>
      <c r="AD2732" s="4" t="e">
        <f>InsurerSize(#REF!)</f>
        <v>#VALUE!</v>
      </c>
      <c r="AE2732" s="4" t="e">
        <f t="shared" si="54"/>
        <v>#VALUE!</v>
      </c>
    </row>
    <row r="2733" spans="8:31" x14ac:dyDescent="0.2"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5"/>
      <c r="AC2733" t="e">
        <f ca="1">RANK(AB2733,OFFSET($AB$2,0,0,#REF!,1))</f>
        <v>#REF!</v>
      </c>
      <c r="AD2733" s="4" t="e">
        <f>InsurerSize(#REF!)</f>
        <v>#VALUE!</v>
      </c>
      <c r="AE2733" s="4" t="e">
        <f t="shared" si="54"/>
        <v>#VALUE!</v>
      </c>
    </row>
    <row r="2734" spans="8:31" x14ac:dyDescent="0.2"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AC2734" t="e">
        <f ca="1">RANK(AB2734,OFFSET($AB$2,0,0,#REF!,1))</f>
        <v>#REF!</v>
      </c>
      <c r="AD2734" s="4" t="e">
        <f>InsurerSize(#REF!)</f>
        <v>#VALUE!</v>
      </c>
      <c r="AE2734" s="4" t="e">
        <f t="shared" si="54"/>
        <v>#VALUE!</v>
      </c>
    </row>
    <row r="2735" spans="8:31" x14ac:dyDescent="0.2"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AC2735" t="e">
        <f ca="1">RANK(AB2735,OFFSET($AB$2,0,0,#REF!,1))</f>
        <v>#REF!</v>
      </c>
      <c r="AD2735" s="4" t="e">
        <f>InsurerSize(#REF!)</f>
        <v>#VALUE!</v>
      </c>
      <c r="AE2735" s="4" t="e">
        <f t="shared" si="54"/>
        <v>#VALUE!</v>
      </c>
    </row>
    <row r="2736" spans="8:31" x14ac:dyDescent="0.2"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AC2736" t="e">
        <f ca="1">RANK(AB2736,OFFSET($AB$2,0,0,#REF!,1))</f>
        <v>#REF!</v>
      </c>
      <c r="AD2736" s="4" t="e">
        <f>InsurerSize(#REF!)</f>
        <v>#VALUE!</v>
      </c>
      <c r="AE2736" s="4" t="e">
        <f t="shared" si="54"/>
        <v>#VALUE!</v>
      </c>
    </row>
    <row r="2737" spans="8:31" x14ac:dyDescent="0.2"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AC2737" t="e">
        <f ca="1">RANK(AB2737,OFFSET($AB$2,0,0,#REF!,1))</f>
        <v>#REF!</v>
      </c>
      <c r="AD2737" s="4" t="e">
        <f>InsurerSize(#REF!)</f>
        <v>#VALUE!</v>
      </c>
      <c r="AE2737" s="4" t="e">
        <f t="shared" si="54"/>
        <v>#VALUE!</v>
      </c>
    </row>
    <row r="2738" spans="8:31" x14ac:dyDescent="0.2"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AC2738" t="e">
        <f ca="1">RANK(AB2738,OFFSET($AB$2,0,0,#REF!,1))</f>
        <v>#REF!</v>
      </c>
      <c r="AD2738" s="4" t="e">
        <f>InsurerSize(#REF!)</f>
        <v>#VALUE!</v>
      </c>
      <c r="AE2738" s="4" t="e">
        <f t="shared" si="54"/>
        <v>#VALUE!</v>
      </c>
    </row>
    <row r="2739" spans="8:31" x14ac:dyDescent="0.2"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AC2739" t="e">
        <f ca="1">RANK(AB2739,OFFSET($AB$2,0,0,#REF!,1))</f>
        <v>#REF!</v>
      </c>
      <c r="AD2739" s="4" t="e">
        <f>InsurerSize(#REF!)</f>
        <v>#VALUE!</v>
      </c>
      <c r="AE2739" s="4" t="e">
        <f t="shared" si="54"/>
        <v>#VALUE!</v>
      </c>
    </row>
    <row r="2740" spans="8:31" x14ac:dyDescent="0.2"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AC2740" t="e">
        <f ca="1">RANK(AB2740,OFFSET($AB$2,0,0,#REF!,1))</f>
        <v>#REF!</v>
      </c>
      <c r="AD2740" s="4" t="e">
        <f>InsurerSize(#REF!)</f>
        <v>#VALUE!</v>
      </c>
      <c r="AE2740" s="4" t="e">
        <f t="shared" si="54"/>
        <v>#VALUE!</v>
      </c>
    </row>
    <row r="2741" spans="8:31" x14ac:dyDescent="0.2"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AC2741" t="e">
        <f ca="1">RANK(AB2741,OFFSET($AB$2,0,0,#REF!,1))</f>
        <v>#REF!</v>
      </c>
      <c r="AD2741" s="4" t="e">
        <f>InsurerSize(#REF!)</f>
        <v>#VALUE!</v>
      </c>
      <c r="AE2741" s="4" t="e">
        <f t="shared" si="54"/>
        <v>#VALUE!</v>
      </c>
    </row>
    <row r="2742" spans="8:31" x14ac:dyDescent="0.2"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AC2742" t="e">
        <f ca="1">RANK(AB2742,OFFSET($AB$2,0,0,#REF!,1))</f>
        <v>#REF!</v>
      </c>
      <c r="AD2742" s="4" t="e">
        <f>InsurerSize(#REF!)</f>
        <v>#VALUE!</v>
      </c>
      <c r="AE2742" s="4" t="e">
        <f t="shared" si="54"/>
        <v>#VALUE!</v>
      </c>
    </row>
    <row r="2743" spans="8:31" x14ac:dyDescent="0.2"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AC2743" t="e">
        <f ca="1">RANK(AB2743,OFFSET($AB$2,0,0,#REF!,1))</f>
        <v>#REF!</v>
      </c>
      <c r="AD2743" s="4" t="e">
        <f>InsurerSize(#REF!)</f>
        <v>#VALUE!</v>
      </c>
      <c r="AE2743" s="4" t="e">
        <f t="shared" si="54"/>
        <v>#VALUE!</v>
      </c>
    </row>
    <row r="2744" spans="8:31" x14ac:dyDescent="0.2"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5"/>
      <c r="AC2744" t="e">
        <f ca="1">RANK(AB2744,OFFSET($AB$2,0,0,#REF!,1))</f>
        <v>#REF!</v>
      </c>
      <c r="AD2744" s="4" t="e">
        <f>InsurerSize(#REF!)</f>
        <v>#VALUE!</v>
      </c>
      <c r="AE2744" s="4" t="e">
        <f t="shared" si="54"/>
        <v>#VALUE!</v>
      </c>
    </row>
    <row r="2745" spans="8:31" x14ac:dyDescent="0.2"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AC2745" t="e">
        <f ca="1">RANK(AB2745,OFFSET($AB$2,0,0,#REF!,1))</f>
        <v>#REF!</v>
      </c>
      <c r="AD2745" s="4" t="e">
        <f>InsurerSize(#REF!)</f>
        <v>#VALUE!</v>
      </c>
      <c r="AE2745" s="4" t="e">
        <f t="shared" si="54"/>
        <v>#VALUE!</v>
      </c>
    </row>
    <row r="2746" spans="8:31" x14ac:dyDescent="0.2"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AC2746" t="e">
        <f ca="1">RANK(AB2746,OFFSET($AB$2,0,0,#REF!,1))</f>
        <v>#REF!</v>
      </c>
      <c r="AD2746" s="4" t="e">
        <f>InsurerSize(#REF!)</f>
        <v>#VALUE!</v>
      </c>
      <c r="AE2746" s="4" t="e">
        <f t="shared" si="54"/>
        <v>#VALUE!</v>
      </c>
    </row>
    <row r="2747" spans="8:31" x14ac:dyDescent="0.2"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AC2747" t="e">
        <f ca="1">RANK(AB2747,OFFSET($AB$2,0,0,#REF!,1))</f>
        <v>#REF!</v>
      </c>
      <c r="AD2747" s="4" t="e">
        <f>InsurerSize(#REF!)</f>
        <v>#VALUE!</v>
      </c>
      <c r="AE2747" s="4" t="e">
        <f t="shared" si="54"/>
        <v>#VALUE!</v>
      </c>
    </row>
    <row r="2748" spans="8:31" x14ac:dyDescent="0.2"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AC2748" t="e">
        <f ca="1">RANK(AB2748,OFFSET($AB$2,0,0,#REF!,1))</f>
        <v>#REF!</v>
      </c>
      <c r="AD2748" s="4" t="e">
        <f>InsurerSize(#REF!)</f>
        <v>#VALUE!</v>
      </c>
      <c r="AE2748" s="4" t="e">
        <f t="shared" si="54"/>
        <v>#VALUE!</v>
      </c>
    </row>
    <row r="2749" spans="8:31" x14ac:dyDescent="0.2"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AC2749" t="e">
        <f ca="1">RANK(AB2749,OFFSET($AB$2,0,0,#REF!,1))</f>
        <v>#REF!</v>
      </c>
      <c r="AD2749" s="4" t="e">
        <f>InsurerSize(#REF!)</f>
        <v>#VALUE!</v>
      </c>
      <c r="AE2749" s="4" t="e">
        <f t="shared" si="54"/>
        <v>#VALUE!</v>
      </c>
    </row>
    <row r="2750" spans="8:31" x14ac:dyDescent="0.2"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AC2750" t="e">
        <f ca="1">RANK(AB2750,OFFSET($AB$2,0,0,#REF!,1))</f>
        <v>#REF!</v>
      </c>
      <c r="AD2750" s="4" t="e">
        <f>InsurerSize(#REF!)</f>
        <v>#VALUE!</v>
      </c>
      <c r="AE2750" s="4" t="e">
        <f t="shared" si="54"/>
        <v>#VALUE!</v>
      </c>
    </row>
    <row r="2751" spans="8:31" x14ac:dyDescent="0.2"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AC2751" t="e">
        <f ca="1">RANK(AB2751,OFFSET($AB$2,0,0,#REF!,1))</f>
        <v>#REF!</v>
      </c>
      <c r="AD2751" s="4" t="e">
        <f>InsurerSize(#REF!)</f>
        <v>#VALUE!</v>
      </c>
      <c r="AE2751" s="4" t="e">
        <f t="shared" si="54"/>
        <v>#VALUE!</v>
      </c>
    </row>
    <row r="2752" spans="8:31" x14ac:dyDescent="0.2"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AC2752" t="e">
        <f ca="1">RANK(AB2752,OFFSET($AB$2,0,0,#REF!,1))</f>
        <v>#REF!</v>
      </c>
      <c r="AD2752" s="4" t="e">
        <f>InsurerSize(#REF!)</f>
        <v>#VALUE!</v>
      </c>
      <c r="AE2752" s="4" t="e">
        <f t="shared" si="54"/>
        <v>#VALUE!</v>
      </c>
    </row>
    <row r="2753" spans="8:31" x14ac:dyDescent="0.2"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AA2753" s="5"/>
      <c r="AC2753" t="e">
        <f ca="1">RANK(AB2753,OFFSET($AB$2,0,0,#REF!,1))</f>
        <v>#REF!</v>
      </c>
      <c r="AD2753" s="4" t="e">
        <f>InsurerSize(#REF!)</f>
        <v>#VALUE!</v>
      </c>
      <c r="AE2753" s="4" t="e">
        <f t="shared" si="54"/>
        <v>#VALUE!</v>
      </c>
    </row>
    <row r="2754" spans="8:31" x14ac:dyDescent="0.2"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AA2754" s="5"/>
      <c r="AC2754" t="e">
        <f ca="1">RANK(AB2754,OFFSET($AB$2,0,0,#REF!,1))</f>
        <v>#REF!</v>
      </c>
      <c r="AD2754" s="4" t="e">
        <f>InsurerSize(#REF!)</f>
        <v>#VALUE!</v>
      </c>
      <c r="AE2754" s="4" t="e">
        <f t="shared" ref="AE2754:AE2817" si="55">A2754&amp;AD2754</f>
        <v>#VALUE!</v>
      </c>
    </row>
    <row r="2755" spans="8:31" x14ac:dyDescent="0.2"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AA2755" s="5"/>
      <c r="AC2755" t="e">
        <f ca="1">RANK(AB2755,OFFSET($AB$2,0,0,#REF!,1))</f>
        <v>#REF!</v>
      </c>
      <c r="AD2755" s="4" t="e">
        <f>InsurerSize(#REF!)</f>
        <v>#VALUE!</v>
      </c>
      <c r="AE2755" s="4" t="e">
        <f t="shared" si="55"/>
        <v>#VALUE!</v>
      </c>
    </row>
    <row r="2756" spans="8:31" x14ac:dyDescent="0.2"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AA2756" s="5"/>
      <c r="AC2756" t="e">
        <f ca="1">RANK(AB2756,OFFSET($AB$2,0,0,#REF!,1))</f>
        <v>#REF!</v>
      </c>
      <c r="AD2756" s="4" t="e">
        <f>InsurerSize(#REF!)</f>
        <v>#VALUE!</v>
      </c>
      <c r="AE2756" s="4" t="e">
        <f t="shared" si="55"/>
        <v>#VALUE!</v>
      </c>
    </row>
    <row r="2757" spans="8:31" x14ac:dyDescent="0.2"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AA2757" s="5"/>
      <c r="AC2757" t="e">
        <f ca="1">RANK(AB2757,OFFSET($AB$2,0,0,#REF!,1))</f>
        <v>#REF!</v>
      </c>
      <c r="AD2757" s="4" t="e">
        <f>InsurerSize(#REF!)</f>
        <v>#VALUE!</v>
      </c>
      <c r="AE2757" s="4" t="e">
        <f t="shared" si="55"/>
        <v>#VALUE!</v>
      </c>
    </row>
    <row r="2758" spans="8:31" x14ac:dyDescent="0.2"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AA2758" s="5"/>
      <c r="AC2758" t="e">
        <f ca="1">RANK(AB2758,OFFSET($AB$2,0,0,#REF!,1))</f>
        <v>#REF!</v>
      </c>
      <c r="AD2758" s="4" t="e">
        <f>InsurerSize(#REF!)</f>
        <v>#VALUE!</v>
      </c>
      <c r="AE2758" s="4" t="e">
        <f t="shared" si="55"/>
        <v>#VALUE!</v>
      </c>
    </row>
    <row r="2759" spans="8:31" x14ac:dyDescent="0.2"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AA2759" s="5"/>
      <c r="AC2759" t="e">
        <f ca="1">RANK(AB2759,OFFSET($AB$2,0,0,#REF!,1))</f>
        <v>#REF!</v>
      </c>
      <c r="AD2759" s="4" t="e">
        <f>InsurerSize(#REF!)</f>
        <v>#VALUE!</v>
      </c>
      <c r="AE2759" s="4" t="e">
        <f t="shared" si="55"/>
        <v>#VALUE!</v>
      </c>
    </row>
    <row r="2760" spans="8:31" x14ac:dyDescent="0.2"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AA2760" s="5"/>
      <c r="AC2760" t="e">
        <f ca="1">RANK(AB2760,OFFSET($AB$2,0,0,#REF!,1))</f>
        <v>#REF!</v>
      </c>
      <c r="AD2760" s="4" t="e">
        <f>InsurerSize(#REF!)</f>
        <v>#VALUE!</v>
      </c>
      <c r="AE2760" s="4" t="e">
        <f t="shared" si="55"/>
        <v>#VALUE!</v>
      </c>
    </row>
    <row r="2761" spans="8:31" x14ac:dyDescent="0.2"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AA2761" s="5"/>
      <c r="AC2761" t="e">
        <f ca="1">RANK(AB2761,OFFSET($AB$2,0,0,#REF!,1))</f>
        <v>#REF!</v>
      </c>
      <c r="AD2761" s="4" t="e">
        <f>InsurerSize(#REF!)</f>
        <v>#VALUE!</v>
      </c>
      <c r="AE2761" s="4" t="e">
        <f t="shared" si="55"/>
        <v>#VALUE!</v>
      </c>
    </row>
    <row r="2762" spans="8:31" x14ac:dyDescent="0.2"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AA2762" s="5"/>
      <c r="AC2762" t="e">
        <f ca="1">RANK(AB2762,OFFSET($AB$2,0,0,#REF!,1))</f>
        <v>#REF!</v>
      </c>
      <c r="AD2762" s="4" t="e">
        <f>InsurerSize(#REF!)</f>
        <v>#VALUE!</v>
      </c>
      <c r="AE2762" s="4" t="e">
        <f t="shared" si="55"/>
        <v>#VALUE!</v>
      </c>
    </row>
    <row r="2763" spans="8:31" x14ac:dyDescent="0.2"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AA2763" s="5"/>
      <c r="AC2763" t="e">
        <f ca="1">RANK(AB2763,OFFSET($AB$2,0,0,#REF!,1))</f>
        <v>#REF!</v>
      </c>
      <c r="AD2763" s="4" t="e">
        <f>InsurerSize(#REF!)</f>
        <v>#VALUE!</v>
      </c>
      <c r="AE2763" s="4" t="e">
        <f t="shared" si="55"/>
        <v>#VALUE!</v>
      </c>
    </row>
    <row r="2764" spans="8:31" x14ac:dyDescent="0.2"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AA2764" s="5"/>
      <c r="AC2764" t="e">
        <f ca="1">RANK(AB2764,OFFSET($AB$2,0,0,#REF!,1))</f>
        <v>#REF!</v>
      </c>
      <c r="AD2764" s="4" t="e">
        <f>InsurerSize(#REF!)</f>
        <v>#VALUE!</v>
      </c>
      <c r="AE2764" s="4" t="e">
        <f t="shared" si="55"/>
        <v>#VALUE!</v>
      </c>
    </row>
    <row r="2765" spans="8:31" x14ac:dyDescent="0.2"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AA2765" s="5"/>
      <c r="AC2765" t="e">
        <f ca="1">RANK(AB2765,OFFSET($AB$2,0,0,#REF!,1))</f>
        <v>#REF!</v>
      </c>
      <c r="AD2765" s="4" t="e">
        <f>InsurerSize(#REF!)</f>
        <v>#VALUE!</v>
      </c>
      <c r="AE2765" s="4" t="e">
        <f t="shared" si="55"/>
        <v>#VALUE!</v>
      </c>
    </row>
    <row r="2766" spans="8:31" x14ac:dyDescent="0.2"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AA2766" s="5"/>
      <c r="AC2766" t="e">
        <f ca="1">RANK(AB2766,OFFSET($AB$2,0,0,#REF!,1))</f>
        <v>#REF!</v>
      </c>
      <c r="AD2766" s="4" t="e">
        <f>InsurerSize(#REF!)</f>
        <v>#VALUE!</v>
      </c>
      <c r="AE2766" s="4" t="e">
        <f t="shared" si="55"/>
        <v>#VALUE!</v>
      </c>
    </row>
    <row r="2767" spans="8:31" x14ac:dyDescent="0.2"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AA2767" s="5"/>
      <c r="AC2767" t="e">
        <f ca="1">RANK(AB2767,OFFSET($AB$2,0,0,#REF!,1))</f>
        <v>#REF!</v>
      </c>
      <c r="AD2767" s="4" t="e">
        <f>InsurerSize(#REF!)</f>
        <v>#VALUE!</v>
      </c>
      <c r="AE2767" s="4" t="e">
        <f t="shared" si="55"/>
        <v>#VALUE!</v>
      </c>
    </row>
    <row r="2768" spans="8:31" x14ac:dyDescent="0.2"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AA2768" s="5"/>
      <c r="AC2768" t="e">
        <f ca="1">RANK(AB2768,OFFSET($AB$2,0,0,#REF!,1))</f>
        <v>#REF!</v>
      </c>
      <c r="AD2768" s="4" t="e">
        <f>InsurerSize(#REF!)</f>
        <v>#VALUE!</v>
      </c>
      <c r="AE2768" s="4" t="e">
        <f t="shared" si="55"/>
        <v>#VALUE!</v>
      </c>
    </row>
    <row r="2769" spans="8:31" x14ac:dyDescent="0.2"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AA2769" s="5"/>
      <c r="AC2769" t="e">
        <f ca="1">RANK(AB2769,OFFSET($AB$2,0,0,#REF!,1))</f>
        <v>#REF!</v>
      </c>
      <c r="AD2769" s="4" t="e">
        <f>InsurerSize(#REF!)</f>
        <v>#VALUE!</v>
      </c>
      <c r="AE2769" s="4" t="e">
        <f t="shared" si="55"/>
        <v>#VALUE!</v>
      </c>
    </row>
    <row r="2770" spans="8:31" x14ac:dyDescent="0.2"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5"/>
      <c r="AA2770" s="5"/>
      <c r="AC2770" t="e">
        <f ca="1">RANK(AB2770,OFFSET($AB$2,0,0,#REF!,1))</f>
        <v>#REF!</v>
      </c>
      <c r="AD2770" s="4" t="e">
        <f>InsurerSize(#REF!)</f>
        <v>#VALUE!</v>
      </c>
      <c r="AE2770" s="4" t="e">
        <f t="shared" si="55"/>
        <v>#VALUE!</v>
      </c>
    </row>
    <row r="2771" spans="8:31" x14ac:dyDescent="0.2"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AA2771" s="5"/>
      <c r="AC2771" t="e">
        <f ca="1">RANK(AB2771,OFFSET($AB$2,0,0,#REF!,1))</f>
        <v>#REF!</v>
      </c>
      <c r="AD2771" s="4" t="e">
        <f>InsurerSize(#REF!)</f>
        <v>#VALUE!</v>
      </c>
      <c r="AE2771" s="4" t="e">
        <f t="shared" si="55"/>
        <v>#VALUE!</v>
      </c>
    </row>
    <row r="2772" spans="8:31" x14ac:dyDescent="0.2"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AA2772" s="5"/>
      <c r="AC2772" t="e">
        <f ca="1">RANK(AB2772,OFFSET($AB$2,0,0,#REF!,1))</f>
        <v>#REF!</v>
      </c>
      <c r="AD2772" s="4" t="e">
        <f>InsurerSize(#REF!)</f>
        <v>#VALUE!</v>
      </c>
      <c r="AE2772" s="4" t="e">
        <f t="shared" si="55"/>
        <v>#VALUE!</v>
      </c>
    </row>
    <row r="2773" spans="8:31" x14ac:dyDescent="0.2"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AA2773" s="5"/>
      <c r="AC2773" t="e">
        <f ca="1">RANK(AB2773,OFFSET($AB$2,0,0,#REF!,1))</f>
        <v>#REF!</v>
      </c>
      <c r="AD2773" s="4" t="e">
        <f>InsurerSize(#REF!)</f>
        <v>#VALUE!</v>
      </c>
      <c r="AE2773" s="4" t="e">
        <f t="shared" si="55"/>
        <v>#VALUE!</v>
      </c>
    </row>
    <row r="2774" spans="8:31" x14ac:dyDescent="0.2"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5"/>
      <c r="AA2774" s="5"/>
      <c r="AC2774" t="e">
        <f ca="1">RANK(AB2774,OFFSET($AB$2,0,0,#REF!,1))</f>
        <v>#REF!</v>
      </c>
      <c r="AD2774" s="4" t="e">
        <f>InsurerSize(#REF!)</f>
        <v>#VALUE!</v>
      </c>
      <c r="AE2774" s="4" t="e">
        <f t="shared" si="55"/>
        <v>#VALUE!</v>
      </c>
    </row>
    <row r="2775" spans="8:31" x14ac:dyDescent="0.2"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AA2775" s="5"/>
      <c r="AC2775" t="e">
        <f ca="1">RANK(AB2775,OFFSET($AB$2,0,0,#REF!,1))</f>
        <v>#REF!</v>
      </c>
      <c r="AD2775" s="4" t="e">
        <f>InsurerSize(#REF!)</f>
        <v>#VALUE!</v>
      </c>
      <c r="AE2775" s="4" t="e">
        <f t="shared" si="55"/>
        <v>#VALUE!</v>
      </c>
    </row>
    <row r="2776" spans="8:31" x14ac:dyDescent="0.2"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AA2776" s="5"/>
      <c r="AC2776" t="e">
        <f ca="1">RANK(AB2776,OFFSET($AB$2,0,0,#REF!,1))</f>
        <v>#REF!</v>
      </c>
      <c r="AD2776" s="4" t="e">
        <f>InsurerSize(#REF!)</f>
        <v>#VALUE!</v>
      </c>
      <c r="AE2776" s="4" t="e">
        <f t="shared" si="55"/>
        <v>#VALUE!</v>
      </c>
    </row>
    <row r="2777" spans="8:31" x14ac:dyDescent="0.2"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AA2777" s="5"/>
      <c r="AC2777" t="e">
        <f ca="1">RANK(AB2777,OFFSET($AB$2,0,0,#REF!,1))</f>
        <v>#REF!</v>
      </c>
      <c r="AD2777" s="4" t="e">
        <f>InsurerSize(#REF!)</f>
        <v>#VALUE!</v>
      </c>
      <c r="AE2777" s="4" t="e">
        <f t="shared" si="55"/>
        <v>#VALUE!</v>
      </c>
    </row>
    <row r="2778" spans="8:31" x14ac:dyDescent="0.2"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AA2778" s="5"/>
      <c r="AC2778" t="e">
        <f ca="1">RANK(AB2778,OFFSET($AB$2,0,0,#REF!,1))</f>
        <v>#REF!</v>
      </c>
      <c r="AD2778" s="4" t="e">
        <f>InsurerSize(#REF!)</f>
        <v>#VALUE!</v>
      </c>
      <c r="AE2778" s="4" t="e">
        <f t="shared" si="55"/>
        <v>#VALUE!</v>
      </c>
    </row>
    <row r="2779" spans="8:31" x14ac:dyDescent="0.2"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AA2779" s="5"/>
      <c r="AC2779" t="e">
        <f ca="1">RANK(AB2779,OFFSET($AB$2,0,0,#REF!,1))</f>
        <v>#REF!</v>
      </c>
      <c r="AD2779" s="4" t="e">
        <f>InsurerSize(#REF!)</f>
        <v>#VALUE!</v>
      </c>
      <c r="AE2779" s="4" t="e">
        <f t="shared" si="55"/>
        <v>#VALUE!</v>
      </c>
    </row>
    <row r="2780" spans="8:31" x14ac:dyDescent="0.2"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AA2780" s="5"/>
      <c r="AC2780" t="e">
        <f ca="1">RANK(AB2780,OFFSET($AB$2,0,0,#REF!,1))</f>
        <v>#REF!</v>
      </c>
      <c r="AD2780" s="4" t="e">
        <f>InsurerSize(#REF!)</f>
        <v>#VALUE!</v>
      </c>
      <c r="AE2780" s="4" t="e">
        <f t="shared" si="55"/>
        <v>#VALUE!</v>
      </c>
    </row>
    <row r="2781" spans="8:31" x14ac:dyDescent="0.2"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AA2781" s="5"/>
      <c r="AC2781" t="e">
        <f ca="1">RANK(AB2781,OFFSET($AB$2,0,0,#REF!,1))</f>
        <v>#REF!</v>
      </c>
      <c r="AD2781" s="4" t="e">
        <f>InsurerSize(#REF!)</f>
        <v>#VALUE!</v>
      </c>
      <c r="AE2781" s="4" t="e">
        <f t="shared" si="55"/>
        <v>#VALUE!</v>
      </c>
    </row>
    <row r="2782" spans="8:31" x14ac:dyDescent="0.2"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AA2782" s="5"/>
      <c r="AC2782" t="e">
        <f ca="1">RANK(AB2782,OFFSET($AB$2,0,0,#REF!,1))</f>
        <v>#REF!</v>
      </c>
      <c r="AD2782" s="4" t="e">
        <f>InsurerSize(#REF!)</f>
        <v>#VALUE!</v>
      </c>
      <c r="AE2782" s="4" t="e">
        <f t="shared" si="55"/>
        <v>#VALUE!</v>
      </c>
    </row>
    <row r="2783" spans="8:31" x14ac:dyDescent="0.2"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AA2783" s="5"/>
      <c r="AC2783" t="e">
        <f ca="1">RANK(AB2783,OFFSET($AB$2,0,0,#REF!,1))</f>
        <v>#REF!</v>
      </c>
      <c r="AD2783" s="4" t="e">
        <f>InsurerSize(#REF!)</f>
        <v>#VALUE!</v>
      </c>
      <c r="AE2783" s="4" t="e">
        <f t="shared" si="55"/>
        <v>#VALUE!</v>
      </c>
    </row>
    <row r="2784" spans="8:31" x14ac:dyDescent="0.2"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AA2784" s="5"/>
      <c r="AC2784" t="e">
        <f ca="1">RANK(AB2784,OFFSET($AB$2,0,0,#REF!,1))</f>
        <v>#REF!</v>
      </c>
      <c r="AD2784" s="4" t="e">
        <f>InsurerSize(#REF!)</f>
        <v>#VALUE!</v>
      </c>
      <c r="AE2784" s="4" t="e">
        <f t="shared" si="55"/>
        <v>#VALUE!</v>
      </c>
    </row>
    <row r="2785" spans="8:31" x14ac:dyDescent="0.2"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AA2785" s="5"/>
      <c r="AC2785" t="e">
        <f ca="1">RANK(AB2785,OFFSET($AB$2,0,0,#REF!,1))</f>
        <v>#REF!</v>
      </c>
      <c r="AD2785" s="4" t="e">
        <f>InsurerSize(#REF!)</f>
        <v>#VALUE!</v>
      </c>
      <c r="AE2785" s="4" t="e">
        <f t="shared" si="55"/>
        <v>#VALUE!</v>
      </c>
    </row>
    <row r="2786" spans="8:31" x14ac:dyDescent="0.2"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AA2786" s="5"/>
      <c r="AC2786" t="e">
        <f ca="1">RANK(AB2786,OFFSET($AB$2,0,0,#REF!,1))</f>
        <v>#REF!</v>
      </c>
      <c r="AD2786" s="4" t="e">
        <f>InsurerSize(#REF!)</f>
        <v>#VALUE!</v>
      </c>
      <c r="AE2786" s="4" t="e">
        <f t="shared" si="55"/>
        <v>#VALUE!</v>
      </c>
    </row>
    <row r="2787" spans="8:31" x14ac:dyDescent="0.2"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5"/>
      <c r="AA2787" s="5"/>
      <c r="AC2787" t="e">
        <f ca="1">RANK(AB2787,OFFSET($AB$2,0,0,#REF!,1))</f>
        <v>#REF!</v>
      </c>
      <c r="AD2787" s="4" t="e">
        <f>InsurerSize(#REF!)</f>
        <v>#VALUE!</v>
      </c>
      <c r="AE2787" s="4" t="e">
        <f t="shared" si="55"/>
        <v>#VALUE!</v>
      </c>
    </row>
    <row r="2788" spans="8:31" x14ac:dyDescent="0.2"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5"/>
      <c r="AA2788" s="5"/>
      <c r="AC2788" t="e">
        <f ca="1">RANK(AB2788,OFFSET($AB$2,0,0,#REF!,1))</f>
        <v>#REF!</v>
      </c>
      <c r="AD2788" s="4" t="e">
        <f>InsurerSize(#REF!)</f>
        <v>#VALUE!</v>
      </c>
      <c r="AE2788" s="4" t="e">
        <f t="shared" si="55"/>
        <v>#VALUE!</v>
      </c>
    </row>
    <row r="2789" spans="8:31" x14ac:dyDescent="0.2"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AA2789" s="5"/>
      <c r="AC2789" t="e">
        <f ca="1">RANK(AB2789,OFFSET($AB$2,0,0,#REF!,1))</f>
        <v>#REF!</v>
      </c>
      <c r="AD2789" s="4" t="e">
        <f>InsurerSize(#REF!)</f>
        <v>#VALUE!</v>
      </c>
      <c r="AE2789" s="4" t="e">
        <f t="shared" si="55"/>
        <v>#VALUE!</v>
      </c>
    </row>
    <row r="2790" spans="8:31" x14ac:dyDescent="0.2"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AA2790" s="5"/>
      <c r="AC2790" t="e">
        <f ca="1">RANK(AB2790,OFFSET($AB$2,0,0,#REF!,1))</f>
        <v>#REF!</v>
      </c>
      <c r="AD2790" s="4" t="e">
        <f>InsurerSize(#REF!)</f>
        <v>#VALUE!</v>
      </c>
      <c r="AE2790" s="4" t="e">
        <f t="shared" si="55"/>
        <v>#VALUE!</v>
      </c>
    </row>
    <row r="2791" spans="8:31" x14ac:dyDescent="0.2"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AA2791" s="5"/>
      <c r="AC2791" t="e">
        <f ca="1">RANK(AB2791,OFFSET($AB$2,0,0,#REF!,1))</f>
        <v>#REF!</v>
      </c>
      <c r="AD2791" s="4" t="e">
        <f>InsurerSize(#REF!)</f>
        <v>#VALUE!</v>
      </c>
      <c r="AE2791" s="4" t="e">
        <f t="shared" si="55"/>
        <v>#VALUE!</v>
      </c>
    </row>
    <row r="2792" spans="8:31" x14ac:dyDescent="0.2"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AA2792" s="5"/>
      <c r="AC2792" t="e">
        <f ca="1">RANK(AB2792,OFFSET($AB$2,0,0,#REF!,1))</f>
        <v>#REF!</v>
      </c>
      <c r="AD2792" s="4" t="e">
        <f>InsurerSize(#REF!)</f>
        <v>#VALUE!</v>
      </c>
      <c r="AE2792" s="4" t="e">
        <f t="shared" si="55"/>
        <v>#VALUE!</v>
      </c>
    </row>
    <row r="2793" spans="8:31" x14ac:dyDescent="0.2"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AA2793" s="5"/>
      <c r="AC2793" t="e">
        <f ca="1">RANK(AB2793,OFFSET($AB$2,0,0,#REF!,1))</f>
        <v>#REF!</v>
      </c>
      <c r="AD2793" s="4" t="e">
        <f>InsurerSize(#REF!)</f>
        <v>#VALUE!</v>
      </c>
      <c r="AE2793" s="4" t="e">
        <f t="shared" si="55"/>
        <v>#VALUE!</v>
      </c>
    </row>
    <row r="2794" spans="8:31" x14ac:dyDescent="0.2"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AA2794" s="5"/>
      <c r="AC2794" t="e">
        <f ca="1">RANK(AB2794,OFFSET($AB$2,0,0,#REF!,1))</f>
        <v>#REF!</v>
      </c>
      <c r="AD2794" s="4" t="e">
        <f>InsurerSize(#REF!)</f>
        <v>#VALUE!</v>
      </c>
      <c r="AE2794" s="4" t="e">
        <f t="shared" si="55"/>
        <v>#VALUE!</v>
      </c>
    </row>
    <row r="2795" spans="8:31" x14ac:dyDescent="0.2"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AA2795" s="5"/>
      <c r="AC2795" t="e">
        <f ca="1">RANK(AB2795,OFFSET($AB$2,0,0,#REF!,1))</f>
        <v>#REF!</v>
      </c>
      <c r="AD2795" s="4" t="e">
        <f>InsurerSize(#REF!)</f>
        <v>#VALUE!</v>
      </c>
      <c r="AE2795" s="4" t="e">
        <f t="shared" si="55"/>
        <v>#VALUE!</v>
      </c>
    </row>
    <row r="2796" spans="8:31" x14ac:dyDescent="0.2"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AA2796" s="5"/>
      <c r="AC2796" t="e">
        <f ca="1">RANK(AB2796,OFFSET($AB$2,0,0,#REF!,1))</f>
        <v>#REF!</v>
      </c>
      <c r="AD2796" s="4" t="e">
        <f>InsurerSize(#REF!)</f>
        <v>#VALUE!</v>
      </c>
      <c r="AE2796" s="4" t="e">
        <f t="shared" si="55"/>
        <v>#VALUE!</v>
      </c>
    </row>
    <row r="2797" spans="8:31" x14ac:dyDescent="0.2"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AA2797" s="5"/>
      <c r="AC2797" t="e">
        <f ca="1">RANK(AB2797,OFFSET($AB$2,0,0,#REF!,1))</f>
        <v>#REF!</v>
      </c>
      <c r="AD2797" s="4" t="e">
        <f>InsurerSize(#REF!)</f>
        <v>#VALUE!</v>
      </c>
      <c r="AE2797" s="4" t="e">
        <f t="shared" si="55"/>
        <v>#VALUE!</v>
      </c>
    </row>
    <row r="2798" spans="8:31" x14ac:dyDescent="0.2"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AA2798" s="5"/>
      <c r="AC2798" t="e">
        <f ca="1">RANK(AB2798,OFFSET($AB$2,0,0,#REF!,1))</f>
        <v>#REF!</v>
      </c>
      <c r="AD2798" s="4" t="e">
        <f>InsurerSize(#REF!)</f>
        <v>#VALUE!</v>
      </c>
      <c r="AE2798" s="4" t="e">
        <f t="shared" si="55"/>
        <v>#VALUE!</v>
      </c>
    </row>
    <row r="2799" spans="8:31" x14ac:dyDescent="0.2"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AA2799" s="5"/>
      <c r="AC2799" t="e">
        <f ca="1">RANK(AB2799,OFFSET($AB$2,0,0,#REF!,1))</f>
        <v>#REF!</v>
      </c>
      <c r="AD2799" s="4" t="e">
        <f>InsurerSize(#REF!)</f>
        <v>#VALUE!</v>
      </c>
      <c r="AE2799" s="4" t="e">
        <f t="shared" si="55"/>
        <v>#VALUE!</v>
      </c>
    </row>
    <row r="2800" spans="8:31" x14ac:dyDescent="0.2"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AA2800" s="5"/>
      <c r="AC2800" t="e">
        <f ca="1">RANK(AB2800,OFFSET($AB$2,0,0,#REF!,1))</f>
        <v>#REF!</v>
      </c>
      <c r="AD2800" s="4" t="e">
        <f>InsurerSize(#REF!)</f>
        <v>#VALUE!</v>
      </c>
      <c r="AE2800" s="4" t="e">
        <f t="shared" si="55"/>
        <v>#VALUE!</v>
      </c>
    </row>
    <row r="2801" spans="8:31" x14ac:dyDescent="0.2"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  <c r="AA2801" s="5"/>
      <c r="AC2801" t="e">
        <f ca="1">RANK(AB2801,OFFSET($AB$2,0,0,#REF!,1))</f>
        <v>#REF!</v>
      </c>
      <c r="AD2801" s="4" t="e">
        <f>InsurerSize(#REF!)</f>
        <v>#VALUE!</v>
      </c>
      <c r="AE2801" s="4" t="e">
        <f t="shared" si="55"/>
        <v>#VALUE!</v>
      </c>
    </row>
    <row r="2802" spans="8:31" x14ac:dyDescent="0.2"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  <c r="AA2802" s="5"/>
      <c r="AC2802" t="e">
        <f ca="1">RANK(AB2802,OFFSET($AB$2,0,0,#REF!,1))</f>
        <v>#REF!</v>
      </c>
      <c r="AD2802" s="4" t="e">
        <f>InsurerSize(#REF!)</f>
        <v>#VALUE!</v>
      </c>
      <c r="AE2802" s="4" t="e">
        <f t="shared" si="55"/>
        <v>#VALUE!</v>
      </c>
    </row>
    <row r="2803" spans="8:31" x14ac:dyDescent="0.2"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  <c r="AA2803" s="5"/>
      <c r="AC2803" t="e">
        <f ca="1">RANK(AB2803,OFFSET($AB$2,0,0,#REF!,1))</f>
        <v>#REF!</v>
      </c>
      <c r="AD2803" s="4" t="e">
        <f>InsurerSize(#REF!)</f>
        <v>#VALUE!</v>
      </c>
      <c r="AE2803" s="4" t="e">
        <f t="shared" si="55"/>
        <v>#VALUE!</v>
      </c>
    </row>
    <row r="2804" spans="8:31" x14ac:dyDescent="0.2"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  <c r="AA2804" s="5"/>
      <c r="AC2804" t="e">
        <f ca="1">RANK(AB2804,OFFSET($AB$2,0,0,#REF!,1))</f>
        <v>#REF!</v>
      </c>
      <c r="AD2804" s="4" t="e">
        <f>InsurerSize(#REF!)</f>
        <v>#VALUE!</v>
      </c>
      <c r="AE2804" s="4" t="e">
        <f t="shared" si="55"/>
        <v>#VALUE!</v>
      </c>
    </row>
    <row r="2805" spans="8:31" x14ac:dyDescent="0.2"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5"/>
      <c r="Z2805" s="5"/>
      <c r="AA2805" s="5"/>
      <c r="AC2805" t="e">
        <f ca="1">RANK(AB2805,OFFSET($AB$2,0,0,#REF!,1))</f>
        <v>#REF!</v>
      </c>
      <c r="AD2805" s="4" t="e">
        <f>InsurerSize(#REF!)</f>
        <v>#VALUE!</v>
      </c>
      <c r="AE2805" s="4" t="e">
        <f t="shared" si="55"/>
        <v>#VALUE!</v>
      </c>
    </row>
    <row r="2806" spans="8:31" x14ac:dyDescent="0.2"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  <c r="AA2806" s="5"/>
      <c r="AC2806" t="e">
        <f ca="1">RANK(AB2806,OFFSET($AB$2,0,0,#REF!,1))</f>
        <v>#REF!</v>
      </c>
      <c r="AD2806" s="4" t="e">
        <f>InsurerSize(#REF!)</f>
        <v>#VALUE!</v>
      </c>
      <c r="AE2806" s="4" t="e">
        <f t="shared" si="55"/>
        <v>#VALUE!</v>
      </c>
    </row>
    <row r="2807" spans="8:31" x14ac:dyDescent="0.2"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  <c r="AA2807" s="5"/>
      <c r="AC2807" t="e">
        <f ca="1">RANK(AB2807,OFFSET($AB$2,0,0,#REF!,1))</f>
        <v>#REF!</v>
      </c>
      <c r="AD2807" s="4" t="e">
        <f>InsurerSize(#REF!)</f>
        <v>#VALUE!</v>
      </c>
      <c r="AE2807" s="4" t="e">
        <f t="shared" si="55"/>
        <v>#VALUE!</v>
      </c>
    </row>
    <row r="2808" spans="8:31" x14ac:dyDescent="0.2"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  <c r="AA2808" s="5"/>
      <c r="AC2808" t="e">
        <f ca="1">RANK(AB2808,OFFSET($AB$2,0,0,#REF!,1))</f>
        <v>#REF!</v>
      </c>
      <c r="AD2808" s="4" t="e">
        <f>InsurerSize(#REF!)</f>
        <v>#VALUE!</v>
      </c>
      <c r="AE2808" s="4" t="e">
        <f t="shared" si="55"/>
        <v>#VALUE!</v>
      </c>
    </row>
    <row r="2809" spans="8:31" x14ac:dyDescent="0.2"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5"/>
      <c r="Z2809" s="5"/>
      <c r="AA2809" s="5"/>
      <c r="AC2809" t="e">
        <f ca="1">RANK(AB2809,OFFSET($AB$2,0,0,#REF!,1))</f>
        <v>#REF!</v>
      </c>
      <c r="AD2809" s="4" t="e">
        <f>InsurerSize(#REF!)</f>
        <v>#VALUE!</v>
      </c>
      <c r="AE2809" s="4" t="e">
        <f t="shared" si="55"/>
        <v>#VALUE!</v>
      </c>
    </row>
    <row r="2810" spans="8:31" x14ac:dyDescent="0.2"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  <c r="AA2810" s="5"/>
      <c r="AC2810" t="e">
        <f ca="1">RANK(AB2810,OFFSET($AB$2,0,0,#REF!,1))</f>
        <v>#REF!</v>
      </c>
      <c r="AD2810" s="4" t="e">
        <f>InsurerSize(#REF!)</f>
        <v>#VALUE!</v>
      </c>
      <c r="AE2810" s="4" t="e">
        <f t="shared" si="55"/>
        <v>#VALUE!</v>
      </c>
    </row>
    <row r="2811" spans="8:31" x14ac:dyDescent="0.2"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  <c r="AA2811" s="5"/>
      <c r="AC2811" t="e">
        <f ca="1">RANK(AB2811,OFFSET($AB$2,0,0,#REF!,1))</f>
        <v>#REF!</v>
      </c>
      <c r="AD2811" s="4" t="e">
        <f>InsurerSize(#REF!)</f>
        <v>#VALUE!</v>
      </c>
      <c r="AE2811" s="4" t="e">
        <f t="shared" si="55"/>
        <v>#VALUE!</v>
      </c>
    </row>
    <row r="2812" spans="8:31" x14ac:dyDescent="0.2"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  <c r="AA2812" s="5"/>
      <c r="AC2812" t="e">
        <f ca="1">RANK(AB2812,OFFSET($AB$2,0,0,#REF!,1))</f>
        <v>#REF!</v>
      </c>
      <c r="AD2812" s="4" t="e">
        <f>InsurerSize(#REF!)</f>
        <v>#VALUE!</v>
      </c>
      <c r="AE2812" s="4" t="e">
        <f t="shared" si="55"/>
        <v>#VALUE!</v>
      </c>
    </row>
    <row r="2813" spans="8:31" x14ac:dyDescent="0.2"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  <c r="AA2813" s="5"/>
      <c r="AC2813" t="e">
        <f ca="1">RANK(AB2813,OFFSET($AB$2,0,0,#REF!,1))</f>
        <v>#REF!</v>
      </c>
      <c r="AD2813" s="4" t="e">
        <f>InsurerSize(#REF!)</f>
        <v>#VALUE!</v>
      </c>
      <c r="AE2813" s="4" t="e">
        <f t="shared" si="55"/>
        <v>#VALUE!</v>
      </c>
    </row>
    <row r="2814" spans="8:31" x14ac:dyDescent="0.2"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  <c r="AA2814" s="5"/>
      <c r="AC2814" t="e">
        <f ca="1">RANK(AB2814,OFFSET($AB$2,0,0,#REF!,1))</f>
        <v>#REF!</v>
      </c>
      <c r="AD2814" s="4" t="e">
        <f>InsurerSize(#REF!)</f>
        <v>#VALUE!</v>
      </c>
      <c r="AE2814" s="4" t="e">
        <f t="shared" si="55"/>
        <v>#VALUE!</v>
      </c>
    </row>
    <row r="2815" spans="8:31" x14ac:dyDescent="0.2"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  <c r="AA2815" s="5"/>
      <c r="AC2815" t="e">
        <f ca="1">RANK(AB2815,OFFSET($AB$2,0,0,#REF!,1))</f>
        <v>#REF!</v>
      </c>
      <c r="AD2815" s="4" t="e">
        <f>InsurerSize(#REF!)</f>
        <v>#VALUE!</v>
      </c>
      <c r="AE2815" s="4" t="e">
        <f t="shared" si="55"/>
        <v>#VALUE!</v>
      </c>
    </row>
    <row r="2816" spans="8:31" x14ac:dyDescent="0.2"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  <c r="AA2816" s="5"/>
      <c r="AC2816" t="e">
        <f ca="1">RANK(AB2816,OFFSET($AB$2,0,0,#REF!,1))</f>
        <v>#REF!</v>
      </c>
      <c r="AD2816" s="4" t="e">
        <f>InsurerSize(#REF!)</f>
        <v>#VALUE!</v>
      </c>
      <c r="AE2816" s="4" t="e">
        <f t="shared" si="55"/>
        <v>#VALUE!</v>
      </c>
    </row>
    <row r="2817" spans="8:31" x14ac:dyDescent="0.2"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  <c r="AA2817" s="5"/>
      <c r="AC2817" t="e">
        <f ca="1">RANK(AB2817,OFFSET($AB$2,0,0,#REF!,1))</f>
        <v>#REF!</v>
      </c>
      <c r="AD2817" s="4" t="e">
        <f>InsurerSize(#REF!)</f>
        <v>#VALUE!</v>
      </c>
      <c r="AE2817" s="4" t="e">
        <f t="shared" si="55"/>
        <v>#VALUE!</v>
      </c>
    </row>
    <row r="2818" spans="8:31" x14ac:dyDescent="0.2"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  <c r="AA2818" s="5"/>
      <c r="AC2818" t="e">
        <f ca="1">RANK(AB2818,OFFSET($AB$2,0,0,#REF!,1))</f>
        <v>#REF!</v>
      </c>
      <c r="AD2818" s="4" t="e">
        <f>InsurerSize(#REF!)</f>
        <v>#VALUE!</v>
      </c>
      <c r="AE2818" s="4" t="e">
        <f t="shared" ref="AE2818:AE2881" si="56">A2818&amp;AD2818</f>
        <v>#VALUE!</v>
      </c>
    </row>
    <row r="2819" spans="8:31" x14ac:dyDescent="0.2"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  <c r="AA2819" s="5"/>
      <c r="AC2819" t="e">
        <f ca="1">RANK(AB2819,OFFSET($AB$2,0,0,#REF!,1))</f>
        <v>#REF!</v>
      </c>
      <c r="AD2819" s="4" t="e">
        <f>InsurerSize(#REF!)</f>
        <v>#VALUE!</v>
      </c>
      <c r="AE2819" s="4" t="e">
        <f t="shared" si="56"/>
        <v>#VALUE!</v>
      </c>
    </row>
    <row r="2820" spans="8:31" x14ac:dyDescent="0.2"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  <c r="AA2820" s="5"/>
      <c r="AC2820" t="e">
        <f ca="1">RANK(AB2820,OFFSET($AB$2,0,0,#REF!,1))</f>
        <v>#REF!</v>
      </c>
      <c r="AD2820" s="4" t="e">
        <f>InsurerSize(#REF!)</f>
        <v>#VALUE!</v>
      </c>
      <c r="AE2820" s="4" t="e">
        <f t="shared" si="56"/>
        <v>#VALUE!</v>
      </c>
    </row>
    <row r="2821" spans="8:31" x14ac:dyDescent="0.2"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  <c r="AA2821" s="5"/>
      <c r="AC2821" t="e">
        <f ca="1">RANK(AB2821,OFFSET($AB$2,0,0,#REF!,1))</f>
        <v>#REF!</v>
      </c>
      <c r="AD2821" s="4" t="e">
        <f>InsurerSize(#REF!)</f>
        <v>#VALUE!</v>
      </c>
      <c r="AE2821" s="4" t="e">
        <f t="shared" si="56"/>
        <v>#VALUE!</v>
      </c>
    </row>
    <row r="2822" spans="8:31" x14ac:dyDescent="0.2"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  <c r="AA2822" s="5"/>
      <c r="AC2822" t="e">
        <f ca="1">RANK(AB2822,OFFSET($AB$2,0,0,#REF!,1))</f>
        <v>#REF!</v>
      </c>
      <c r="AD2822" s="4" t="e">
        <f>InsurerSize(#REF!)</f>
        <v>#VALUE!</v>
      </c>
      <c r="AE2822" s="4" t="e">
        <f t="shared" si="56"/>
        <v>#VALUE!</v>
      </c>
    </row>
    <row r="2823" spans="8:31" x14ac:dyDescent="0.2"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  <c r="AA2823" s="5"/>
      <c r="AC2823" t="e">
        <f ca="1">RANK(AB2823,OFFSET($AB$2,0,0,#REF!,1))</f>
        <v>#REF!</v>
      </c>
      <c r="AD2823" s="4" t="e">
        <f>InsurerSize(#REF!)</f>
        <v>#VALUE!</v>
      </c>
      <c r="AE2823" s="4" t="e">
        <f t="shared" si="56"/>
        <v>#VALUE!</v>
      </c>
    </row>
    <row r="2824" spans="8:31" x14ac:dyDescent="0.2"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  <c r="AA2824" s="5"/>
      <c r="AC2824" t="e">
        <f ca="1">RANK(AB2824,OFFSET($AB$2,0,0,#REF!,1))</f>
        <v>#REF!</v>
      </c>
      <c r="AD2824" s="4" t="e">
        <f>InsurerSize(#REF!)</f>
        <v>#VALUE!</v>
      </c>
      <c r="AE2824" s="4" t="e">
        <f t="shared" si="56"/>
        <v>#VALUE!</v>
      </c>
    </row>
    <row r="2825" spans="8:31" x14ac:dyDescent="0.2"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  <c r="AA2825" s="5"/>
      <c r="AC2825" t="e">
        <f ca="1">RANK(AB2825,OFFSET($AB$2,0,0,#REF!,1))</f>
        <v>#REF!</v>
      </c>
      <c r="AD2825" s="4" t="e">
        <f>InsurerSize(#REF!)</f>
        <v>#VALUE!</v>
      </c>
      <c r="AE2825" s="4" t="e">
        <f t="shared" si="56"/>
        <v>#VALUE!</v>
      </c>
    </row>
    <row r="2826" spans="8:31" x14ac:dyDescent="0.2"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  <c r="AA2826" s="5"/>
      <c r="AC2826" t="e">
        <f ca="1">RANK(AB2826,OFFSET($AB$2,0,0,#REF!,1))</f>
        <v>#REF!</v>
      </c>
      <c r="AD2826" s="4" t="e">
        <f>InsurerSize(#REF!)</f>
        <v>#VALUE!</v>
      </c>
      <c r="AE2826" s="4" t="e">
        <f t="shared" si="56"/>
        <v>#VALUE!</v>
      </c>
    </row>
    <row r="2827" spans="8:31" x14ac:dyDescent="0.2"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  <c r="AA2827" s="5"/>
      <c r="AC2827" t="e">
        <f ca="1">RANK(AB2827,OFFSET($AB$2,0,0,#REF!,1))</f>
        <v>#REF!</v>
      </c>
      <c r="AD2827" s="4" t="e">
        <f>InsurerSize(#REF!)</f>
        <v>#VALUE!</v>
      </c>
      <c r="AE2827" s="4" t="e">
        <f t="shared" si="56"/>
        <v>#VALUE!</v>
      </c>
    </row>
    <row r="2828" spans="8:31" x14ac:dyDescent="0.2"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5"/>
      <c r="Z2828" s="5"/>
      <c r="AA2828" s="5"/>
      <c r="AC2828" t="e">
        <f ca="1">RANK(AB2828,OFFSET($AB$2,0,0,#REF!,1))</f>
        <v>#REF!</v>
      </c>
      <c r="AD2828" s="4" t="e">
        <f>InsurerSize(#REF!)</f>
        <v>#VALUE!</v>
      </c>
      <c r="AE2828" s="4" t="e">
        <f t="shared" si="56"/>
        <v>#VALUE!</v>
      </c>
    </row>
    <row r="2829" spans="8:31" x14ac:dyDescent="0.2"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  <c r="AA2829" s="5"/>
      <c r="AC2829" t="e">
        <f ca="1">RANK(AB2829,OFFSET($AB$2,0,0,#REF!,1))</f>
        <v>#REF!</v>
      </c>
      <c r="AD2829" s="4" t="e">
        <f>InsurerSize(#REF!)</f>
        <v>#VALUE!</v>
      </c>
      <c r="AE2829" s="4" t="e">
        <f t="shared" si="56"/>
        <v>#VALUE!</v>
      </c>
    </row>
    <row r="2830" spans="8:31" x14ac:dyDescent="0.2"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  <c r="AA2830" s="5"/>
      <c r="AC2830" t="e">
        <f ca="1">RANK(AB2830,OFFSET($AB$2,0,0,#REF!,1))</f>
        <v>#REF!</v>
      </c>
      <c r="AD2830" s="4" t="e">
        <f>InsurerSize(#REF!)</f>
        <v>#VALUE!</v>
      </c>
      <c r="AE2830" s="4" t="e">
        <f t="shared" si="56"/>
        <v>#VALUE!</v>
      </c>
    </row>
    <row r="2831" spans="8:31" x14ac:dyDescent="0.2"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  <c r="AA2831" s="5"/>
      <c r="AC2831" t="e">
        <f ca="1">RANK(AB2831,OFFSET($AB$2,0,0,#REF!,1))</f>
        <v>#REF!</v>
      </c>
      <c r="AD2831" s="4" t="e">
        <f>InsurerSize(#REF!)</f>
        <v>#VALUE!</v>
      </c>
      <c r="AE2831" s="4" t="e">
        <f t="shared" si="56"/>
        <v>#VALUE!</v>
      </c>
    </row>
    <row r="2832" spans="8:31" x14ac:dyDescent="0.2"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  <c r="AA2832" s="5"/>
      <c r="AC2832" t="e">
        <f ca="1">RANK(AB2832,OFFSET($AB$2,0,0,#REF!,1))</f>
        <v>#REF!</v>
      </c>
      <c r="AD2832" s="4" t="e">
        <f>InsurerSize(#REF!)</f>
        <v>#VALUE!</v>
      </c>
      <c r="AE2832" s="4" t="e">
        <f t="shared" si="56"/>
        <v>#VALUE!</v>
      </c>
    </row>
    <row r="2833" spans="8:31" x14ac:dyDescent="0.2"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5"/>
      <c r="AA2833" s="5"/>
      <c r="AC2833" t="e">
        <f ca="1">RANK(AB2833,OFFSET($AB$2,0,0,#REF!,1))</f>
        <v>#REF!</v>
      </c>
      <c r="AD2833" s="4" t="e">
        <f>InsurerSize(#REF!)</f>
        <v>#VALUE!</v>
      </c>
      <c r="AE2833" s="4" t="e">
        <f t="shared" si="56"/>
        <v>#VALUE!</v>
      </c>
    </row>
    <row r="2834" spans="8:31" x14ac:dyDescent="0.2"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  <c r="AA2834" s="5"/>
      <c r="AC2834" t="e">
        <f ca="1">RANK(AB2834,OFFSET($AB$2,0,0,#REF!,1))</f>
        <v>#REF!</v>
      </c>
      <c r="AD2834" s="4" t="e">
        <f>InsurerSize(#REF!)</f>
        <v>#VALUE!</v>
      </c>
      <c r="AE2834" s="4" t="e">
        <f t="shared" si="56"/>
        <v>#VALUE!</v>
      </c>
    </row>
    <row r="2835" spans="8:31" x14ac:dyDescent="0.2"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  <c r="AA2835" s="5"/>
      <c r="AC2835" t="e">
        <f ca="1">RANK(AB2835,OFFSET($AB$2,0,0,#REF!,1))</f>
        <v>#REF!</v>
      </c>
      <c r="AD2835" s="4" t="e">
        <f>InsurerSize(#REF!)</f>
        <v>#VALUE!</v>
      </c>
      <c r="AE2835" s="4" t="e">
        <f t="shared" si="56"/>
        <v>#VALUE!</v>
      </c>
    </row>
    <row r="2836" spans="8:31" x14ac:dyDescent="0.2"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  <c r="AA2836" s="5"/>
      <c r="AC2836" t="e">
        <f ca="1">RANK(AB2836,OFFSET($AB$2,0,0,#REF!,1))</f>
        <v>#REF!</v>
      </c>
      <c r="AD2836" s="4" t="e">
        <f>InsurerSize(#REF!)</f>
        <v>#VALUE!</v>
      </c>
      <c r="AE2836" s="4" t="e">
        <f t="shared" si="56"/>
        <v>#VALUE!</v>
      </c>
    </row>
    <row r="2837" spans="8:31" x14ac:dyDescent="0.2"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  <c r="AA2837" s="5"/>
      <c r="AC2837" t="e">
        <f ca="1">RANK(AB2837,OFFSET($AB$2,0,0,#REF!,1))</f>
        <v>#REF!</v>
      </c>
      <c r="AD2837" s="4" t="e">
        <f>InsurerSize(#REF!)</f>
        <v>#VALUE!</v>
      </c>
      <c r="AE2837" s="4" t="e">
        <f t="shared" si="56"/>
        <v>#VALUE!</v>
      </c>
    </row>
    <row r="2838" spans="8:31" x14ac:dyDescent="0.2"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  <c r="AA2838" s="5"/>
      <c r="AC2838" t="e">
        <f ca="1">RANK(AB2838,OFFSET($AB$2,0,0,#REF!,1))</f>
        <v>#REF!</v>
      </c>
      <c r="AD2838" s="4" t="e">
        <f>InsurerSize(#REF!)</f>
        <v>#VALUE!</v>
      </c>
      <c r="AE2838" s="4" t="e">
        <f t="shared" si="56"/>
        <v>#VALUE!</v>
      </c>
    </row>
    <row r="2839" spans="8:31" x14ac:dyDescent="0.2"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  <c r="AA2839" s="5"/>
      <c r="AC2839" t="e">
        <f ca="1">RANK(AB2839,OFFSET($AB$2,0,0,#REF!,1))</f>
        <v>#REF!</v>
      </c>
      <c r="AD2839" s="4" t="e">
        <f>InsurerSize(#REF!)</f>
        <v>#VALUE!</v>
      </c>
      <c r="AE2839" s="4" t="e">
        <f t="shared" si="56"/>
        <v>#VALUE!</v>
      </c>
    </row>
    <row r="2840" spans="8:31" x14ac:dyDescent="0.2"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  <c r="AA2840" s="5"/>
      <c r="AC2840" t="e">
        <f ca="1">RANK(AB2840,OFFSET($AB$2,0,0,#REF!,1))</f>
        <v>#REF!</v>
      </c>
      <c r="AD2840" s="4" t="e">
        <f>InsurerSize(#REF!)</f>
        <v>#VALUE!</v>
      </c>
      <c r="AE2840" s="4" t="e">
        <f t="shared" si="56"/>
        <v>#VALUE!</v>
      </c>
    </row>
    <row r="2841" spans="8:31" x14ac:dyDescent="0.2"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  <c r="AA2841" s="5"/>
      <c r="AC2841" t="e">
        <f ca="1">RANK(AB2841,OFFSET($AB$2,0,0,#REF!,1))</f>
        <v>#REF!</v>
      </c>
      <c r="AD2841" s="4" t="e">
        <f>InsurerSize(#REF!)</f>
        <v>#VALUE!</v>
      </c>
      <c r="AE2841" s="4" t="e">
        <f t="shared" si="56"/>
        <v>#VALUE!</v>
      </c>
    </row>
    <row r="2842" spans="8:31" x14ac:dyDescent="0.2"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  <c r="AA2842" s="5"/>
      <c r="AC2842" t="e">
        <f ca="1">RANK(AB2842,OFFSET($AB$2,0,0,#REF!,1))</f>
        <v>#REF!</v>
      </c>
      <c r="AD2842" s="4" t="e">
        <f>InsurerSize(#REF!)</f>
        <v>#VALUE!</v>
      </c>
      <c r="AE2842" s="4" t="e">
        <f t="shared" si="56"/>
        <v>#VALUE!</v>
      </c>
    </row>
    <row r="2843" spans="8:31" x14ac:dyDescent="0.2"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  <c r="AA2843" s="5"/>
      <c r="AC2843" t="e">
        <f ca="1">RANK(AB2843,OFFSET($AB$2,0,0,#REF!,1))</f>
        <v>#REF!</v>
      </c>
      <c r="AD2843" s="4" t="e">
        <f>InsurerSize(#REF!)</f>
        <v>#VALUE!</v>
      </c>
      <c r="AE2843" s="4" t="e">
        <f t="shared" si="56"/>
        <v>#VALUE!</v>
      </c>
    </row>
    <row r="2844" spans="8:31" x14ac:dyDescent="0.2"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  <c r="AA2844" s="5"/>
      <c r="AC2844" t="e">
        <f ca="1">RANK(AB2844,OFFSET($AB$2,0,0,#REF!,1))</f>
        <v>#REF!</v>
      </c>
      <c r="AD2844" s="4" t="e">
        <f>InsurerSize(#REF!)</f>
        <v>#VALUE!</v>
      </c>
      <c r="AE2844" s="4" t="e">
        <f t="shared" si="56"/>
        <v>#VALUE!</v>
      </c>
    </row>
    <row r="2845" spans="8:31" x14ac:dyDescent="0.2"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  <c r="AA2845" s="5"/>
      <c r="AC2845" t="e">
        <f ca="1">RANK(AB2845,OFFSET($AB$2,0,0,#REF!,1))</f>
        <v>#REF!</v>
      </c>
      <c r="AD2845" s="4" t="e">
        <f>InsurerSize(#REF!)</f>
        <v>#VALUE!</v>
      </c>
      <c r="AE2845" s="4" t="e">
        <f t="shared" si="56"/>
        <v>#VALUE!</v>
      </c>
    </row>
    <row r="2846" spans="8:31" x14ac:dyDescent="0.2"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  <c r="AA2846" s="5"/>
      <c r="AC2846" t="e">
        <f ca="1">RANK(AB2846,OFFSET($AB$2,0,0,#REF!,1))</f>
        <v>#REF!</v>
      </c>
      <c r="AD2846" s="4" t="e">
        <f>InsurerSize(#REF!)</f>
        <v>#VALUE!</v>
      </c>
      <c r="AE2846" s="4" t="e">
        <f t="shared" si="56"/>
        <v>#VALUE!</v>
      </c>
    </row>
    <row r="2847" spans="8:31" x14ac:dyDescent="0.2"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  <c r="AA2847" s="5"/>
      <c r="AC2847" t="e">
        <f ca="1">RANK(AB2847,OFFSET($AB$2,0,0,#REF!,1))</f>
        <v>#REF!</v>
      </c>
      <c r="AD2847" s="4" t="e">
        <f>InsurerSize(#REF!)</f>
        <v>#VALUE!</v>
      </c>
      <c r="AE2847" s="4" t="e">
        <f t="shared" si="56"/>
        <v>#VALUE!</v>
      </c>
    </row>
    <row r="2848" spans="8:31" x14ac:dyDescent="0.2"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  <c r="AA2848" s="5"/>
      <c r="AC2848" t="e">
        <f ca="1">RANK(AB2848,OFFSET($AB$2,0,0,#REF!,1))</f>
        <v>#REF!</v>
      </c>
      <c r="AD2848" s="4" t="e">
        <f>InsurerSize(#REF!)</f>
        <v>#VALUE!</v>
      </c>
      <c r="AE2848" s="4" t="e">
        <f t="shared" si="56"/>
        <v>#VALUE!</v>
      </c>
    </row>
    <row r="2849" spans="8:31" x14ac:dyDescent="0.2"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  <c r="AC2849" t="e">
        <f ca="1">RANK(AB2849,OFFSET($AB$2,0,0,#REF!,1))</f>
        <v>#REF!</v>
      </c>
      <c r="AD2849" s="4" t="e">
        <f>InsurerSize(#REF!)</f>
        <v>#VALUE!</v>
      </c>
      <c r="AE2849" s="4" t="e">
        <f t="shared" si="56"/>
        <v>#VALUE!</v>
      </c>
    </row>
    <row r="2850" spans="8:31" x14ac:dyDescent="0.2"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  <c r="AA2850" s="5"/>
      <c r="AC2850" t="e">
        <f ca="1">RANK(AB2850,OFFSET($AB$2,0,0,#REF!,1))</f>
        <v>#REF!</v>
      </c>
      <c r="AD2850" s="4" t="e">
        <f>InsurerSize(#REF!)</f>
        <v>#VALUE!</v>
      </c>
      <c r="AE2850" s="4" t="e">
        <f t="shared" si="56"/>
        <v>#VALUE!</v>
      </c>
    </row>
    <row r="2851" spans="8:31" x14ac:dyDescent="0.2"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  <c r="AA2851" s="5"/>
      <c r="AC2851" t="e">
        <f ca="1">RANK(AB2851,OFFSET($AB$2,0,0,#REF!,1))</f>
        <v>#REF!</v>
      </c>
      <c r="AD2851" s="4" t="e">
        <f>InsurerSize(#REF!)</f>
        <v>#VALUE!</v>
      </c>
      <c r="AE2851" s="4" t="e">
        <f t="shared" si="56"/>
        <v>#VALUE!</v>
      </c>
    </row>
    <row r="2852" spans="8:31" x14ac:dyDescent="0.2"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  <c r="AA2852" s="5"/>
      <c r="AC2852" t="e">
        <f ca="1">RANK(AB2852,OFFSET($AB$2,0,0,#REF!,1))</f>
        <v>#REF!</v>
      </c>
      <c r="AD2852" s="4" t="e">
        <f>InsurerSize(#REF!)</f>
        <v>#VALUE!</v>
      </c>
      <c r="AE2852" s="4" t="e">
        <f t="shared" si="56"/>
        <v>#VALUE!</v>
      </c>
    </row>
    <row r="2853" spans="8:31" x14ac:dyDescent="0.2"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  <c r="AA2853" s="5"/>
      <c r="AC2853" t="e">
        <f ca="1">RANK(AB2853,OFFSET($AB$2,0,0,#REF!,1))</f>
        <v>#REF!</v>
      </c>
      <c r="AD2853" s="4" t="e">
        <f>InsurerSize(#REF!)</f>
        <v>#VALUE!</v>
      </c>
      <c r="AE2853" s="4" t="e">
        <f t="shared" si="56"/>
        <v>#VALUE!</v>
      </c>
    </row>
    <row r="2854" spans="8:31" x14ac:dyDescent="0.2"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  <c r="AA2854" s="5"/>
      <c r="AC2854" t="e">
        <f ca="1">RANK(AB2854,OFFSET($AB$2,0,0,#REF!,1))</f>
        <v>#REF!</v>
      </c>
      <c r="AD2854" s="4" t="e">
        <f>InsurerSize(#REF!)</f>
        <v>#VALUE!</v>
      </c>
      <c r="AE2854" s="4" t="e">
        <f t="shared" si="56"/>
        <v>#VALUE!</v>
      </c>
    </row>
    <row r="2855" spans="8:31" x14ac:dyDescent="0.2"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  <c r="AA2855" s="5"/>
      <c r="AC2855" t="e">
        <f ca="1">RANK(AB2855,OFFSET($AB$2,0,0,#REF!,1))</f>
        <v>#REF!</v>
      </c>
      <c r="AD2855" s="4" t="e">
        <f>InsurerSize(#REF!)</f>
        <v>#VALUE!</v>
      </c>
      <c r="AE2855" s="4" t="e">
        <f t="shared" si="56"/>
        <v>#VALUE!</v>
      </c>
    </row>
    <row r="2856" spans="8:31" x14ac:dyDescent="0.2"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  <c r="AA2856" s="5"/>
      <c r="AC2856" t="e">
        <f ca="1">RANK(AB2856,OFFSET($AB$2,0,0,#REF!,1))</f>
        <v>#REF!</v>
      </c>
      <c r="AD2856" s="4" t="e">
        <f>InsurerSize(#REF!)</f>
        <v>#VALUE!</v>
      </c>
      <c r="AE2856" s="4" t="e">
        <f t="shared" si="56"/>
        <v>#VALUE!</v>
      </c>
    </row>
    <row r="2857" spans="8:31" x14ac:dyDescent="0.2"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  <c r="AA2857" s="5"/>
      <c r="AC2857" t="e">
        <f ca="1">RANK(AB2857,OFFSET($AB$2,0,0,#REF!,1))</f>
        <v>#REF!</v>
      </c>
      <c r="AD2857" s="4" t="e">
        <f>InsurerSize(#REF!)</f>
        <v>#VALUE!</v>
      </c>
      <c r="AE2857" s="4" t="e">
        <f t="shared" si="56"/>
        <v>#VALUE!</v>
      </c>
    </row>
    <row r="2858" spans="8:31" x14ac:dyDescent="0.2"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  <c r="AA2858" s="5"/>
      <c r="AC2858" t="e">
        <f ca="1">RANK(AB2858,OFFSET($AB$2,0,0,#REF!,1))</f>
        <v>#REF!</v>
      </c>
      <c r="AD2858" s="4" t="e">
        <f>InsurerSize(#REF!)</f>
        <v>#VALUE!</v>
      </c>
      <c r="AE2858" s="4" t="e">
        <f t="shared" si="56"/>
        <v>#VALUE!</v>
      </c>
    </row>
    <row r="2859" spans="8:31" x14ac:dyDescent="0.2"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  <c r="AA2859" s="5"/>
      <c r="AC2859" t="e">
        <f ca="1">RANK(AB2859,OFFSET($AB$2,0,0,#REF!,1))</f>
        <v>#REF!</v>
      </c>
      <c r="AD2859" s="4" t="e">
        <f>InsurerSize(#REF!)</f>
        <v>#VALUE!</v>
      </c>
      <c r="AE2859" s="4" t="e">
        <f t="shared" si="56"/>
        <v>#VALUE!</v>
      </c>
    </row>
    <row r="2860" spans="8:31" x14ac:dyDescent="0.2"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  <c r="AA2860" s="5"/>
      <c r="AC2860" t="e">
        <f ca="1">RANK(AB2860,OFFSET($AB$2,0,0,#REF!,1))</f>
        <v>#REF!</v>
      </c>
      <c r="AD2860" s="4" t="e">
        <f>InsurerSize(#REF!)</f>
        <v>#VALUE!</v>
      </c>
      <c r="AE2860" s="4" t="e">
        <f t="shared" si="56"/>
        <v>#VALUE!</v>
      </c>
    </row>
    <row r="2861" spans="8:31" x14ac:dyDescent="0.2"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  <c r="AA2861" s="5"/>
      <c r="AC2861" t="e">
        <f ca="1">RANK(AB2861,OFFSET($AB$2,0,0,#REF!,1))</f>
        <v>#REF!</v>
      </c>
      <c r="AD2861" s="4" t="e">
        <f>InsurerSize(#REF!)</f>
        <v>#VALUE!</v>
      </c>
      <c r="AE2861" s="4" t="e">
        <f t="shared" si="56"/>
        <v>#VALUE!</v>
      </c>
    </row>
    <row r="2862" spans="8:31" x14ac:dyDescent="0.2"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5"/>
      <c r="Z2862" s="5"/>
      <c r="AA2862" s="5"/>
      <c r="AC2862" t="e">
        <f ca="1">RANK(AB2862,OFFSET($AB$2,0,0,#REF!,1))</f>
        <v>#REF!</v>
      </c>
      <c r="AD2862" s="4" t="e">
        <f>InsurerSize(#REF!)</f>
        <v>#VALUE!</v>
      </c>
      <c r="AE2862" s="4" t="e">
        <f t="shared" si="56"/>
        <v>#VALUE!</v>
      </c>
    </row>
    <row r="2863" spans="8:31" x14ac:dyDescent="0.2"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  <c r="AA2863" s="5"/>
      <c r="AC2863" t="e">
        <f ca="1">RANK(AB2863,OFFSET($AB$2,0,0,#REF!,1))</f>
        <v>#REF!</v>
      </c>
      <c r="AD2863" s="4" t="e">
        <f>InsurerSize(#REF!)</f>
        <v>#VALUE!</v>
      </c>
      <c r="AE2863" s="4" t="e">
        <f t="shared" si="56"/>
        <v>#VALUE!</v>
      </c>
    </row>
    <row r="2864" spans="8:31" x14ac:dyDescent="0.2"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  <c r="AA2864" s="5"/>
      <c r="AC2864" t="e">
        <f ca="1">RANK(AB2864,OFFSET($AB$2,0,0,#REF!,1))</f>
        <v>#REF!</v>
      </c>
      <c r="AD2864" s="4" t="e">
        <f>InsurerSize(#REF!)</f>
        <v>#VALUE!</v>
      </c>
      <c r="AE2864" s="4" t="e">
        <f t="shared" si="56"/>
        <v>#VALUE!</v>
      </c>
    </row>
    <row r="2865" spans="8:31" x14ac:dyDescent="0.2"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  <c r="AA2865" s="5"/>
      <c r="AC2865" t="e">
        <f ca="1">RANK(AB2865,OFFSET($AB$2,0,0,#REF!,1))</f>
        <v>#REF!</v>
      </c>
      <c r="AD2865" s="4" t="e">
        <f>InsurerSize(#REF!)</f>
        <v>#VALUE!</v>
      </c>
      <c r="AE2865" s="4" t="e">
        <f t="shared" si="56"/>
        <v>#VALUE!</v>
      </c>
    </row>
    <row r="2866" spans="8:31" x14ac:dyDescent="0.2"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  <c r="AA2866" s="5"/>
      <c r="AC2866" t="e">
        <f ca="1">RANK(AB2866,OFFSET($AB$2,0,0,#REF!,1))</f>
        <v>#REF!</v>
      </c>
      <c r="AD2866" s="4" t="e">
        <f>InsurerSize(#REF!)</f>
        <v>#VALUE!</v>
      </c>
      <c r="AE2866" s="4" t="e">
        <f t="shared" si="56"/>
        <v>#VALUE!</v>
      </c>
    </row>
    <row r="2867" spans="8:31" x14ac:dyDescent="0.2"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5"/>
      <c r="Z2867" s="5"/>
      <c r="AA2867" s="5"/>
      <c r="AC2867" t="e">
        <f ca="1">RANK(AB2867,OFFSET($AB$2,0,0,#REF!,1))</f>
        <v>#REF!</v>
      </c>
      <c r="AD2867" s="4" t="e">
        <f>InsurerSize(#REF!)</f>
        <v>#VALUE!</v>
      </c>
      <c r="AE2867" s="4" t="e">
        <f t="shared" si="56"/>
        <v>#VALUE!</v>
      </c>
    </row>
    <row r="2868" spans="8:31" x14ac:dyDescent="0.2"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  <c r="AA2868" s="5"/>
      <c r="AC2868" t="e">
        <f ca="1">RANK(AB2868,OFFSET($AB$2,0,0,#REF!,1))</f>
        <v>#REF!</v>
      </c>
      <c r="AD2868" s="4" t="e">
        <f>InsurerSize(#REF!)</f>
        <v>#VALUE!</v>
      </c>
      <c r="AE2868" s="4" t="e">
        <f t="shared" si="56"/>
        <v>#VALUE!</v>
      </c>
    </row>
    <row r="2869" spans="8:31" x14ac:dyDescent="0.2"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  <c r="AA2869" s="5"/>
      <c r="AC2869" t="e">
        <f ca="1">RANK(AB2869,OFFSET($AB$2,0,0,#REF!,1))</f>
        <v>#REF!</v>
      </c>
      <c r="AD2869" s="4" t="e">
        <f>InsurerSize(#REF!)</f>
        <v>#VALUE!</v>
      </c>
      <c r="AE2869" s="4" t="e">
        <f t="shared" si="56"/>
        <v>#VALUE!</v>
      </c>
    </row>
    <row r="2870" spans="8:31" x14ac:dyDescent="0.2"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  <c r="AA2870" s="5"/>
      <c r="AC2870" t="e">
        <f ca="1">RANK(AB2870,OFFSET($AB$2,0,0,#REF!,1))</f>
        <v>#REF!</v>
      </c>
      <c r="AD2870" s="4" t="e">
        <f>InsurerSize(#REF!)</f>
        <v>#VALUE!</v>
      </c>
      <c r="AE2870" s="4" t="e">
        <f t="shared" si="56"/>
        <v>#VALUE!</v>
      </c>
    </row>
    <row r="2871" spans="8:31" x14ac:dyDescent="0.2"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  <c r="AA2871" s="5"/>
      <c r="AC2871" t="e">
        <f ca="1">RANK(AB2871,OFFSET($AB$2,0,0,#REF!,1))</f>
        <v>#REF!</v>
      </c>
      <c r="AD2871" s="4" t="e">
        <f>InsurerSize(#REF!)</f>
        <v>#VALUE!</v>
      </c>
      <c r="AE2871" s="4" t="e">
        <f t="shared" si="56"/>
        <v>#VALUE!</v>
      </c>
    </row>
    <row r="2872" spans="8:31" x14ac:dyDescent="0.2"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5"/>
      <c r="Z2872" s="5"/>
      <c r="AA2872" s="5"/>
      <c r="AC2872" t="e">
        <f ca="1">RANK(AB2872,OFFSET($AB$2,0,0,#REF!,1))</f>
        <v>#REF!</v>
      </c>
      <c r="AD2872" s="4" t="e">
        <f>InsurerSize(#REF!)</f>
        <v>#VALUE!</v>
      </c>
      <c r="AE2872" s="4" t="e">
        <f t="shared" si="56"/>
        <v>#VALUE!</v>
      </c>
    </row>
    <row r="2873" spans="8:31" x14ac:dyDescent="0.2"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5"/>
      <c r="Z2873" s="5"/>
      <c r="AA2873" s="5"/>
      <c r="AC2873" t="e">
        <f ca="1">RANK(AB2873,OFFSET($AB$2,0,0,#REF!,1))</f>
        <v>#REF!</v>
      </c>
      <c r="AD2873" s="4" t="e">
        <f>InsurerSize(#REF!)</f>
        <v>#VALUE!</v>
      </c>
      <c r="AE2873" s="4" t="e">
        <f t="shared" si="56"/>
        <v>#VALUE!</v>
      </c>
    </row>
    <row r="2874" spans="8:31" x14ac:dyDescent="0.2"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  <c r="AA2874" s="5"/>
      <c r="AC2874" t="e">
        <f ca="1">RANK(AB2874,OFFSET($AB$2,0,0,#REF!,1))</f>
        <v>#REF!</v>
      </c>
      <c r="AD2874" s="4" t="e">
        <f>InsurerSize(#REF!)</f>
        <v>#VALUE!</v>
      </c>
      <c r="AE2874" s="4" t="e">
        <f t="shared" si="56"/>
        <v>#VALUE!</v>
      </c>
    </row>
    <row r="2875" spans="8:31" x14ac:dyDescent="0.2"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  <c r="AA2875" s="5"/>
      <c r="AC2875" t="e">
        <f ca="1">RANK(AB2875,OFFSET($AB$2,0,0,#REF!,1))</f>
        <v>#REF!</v>
      </c>
      <c r="AD2875" s="4" t="e">
        <f>InsurerSize(#REF!)</f>
        <v>#VALUE!</v>
      </c>
      <c r="AE2875" s="4" t="e">
        <f t="shared" si="56"/>
        <v>#VALUE!</v>
      </c>
    </row>
    <row r="2876" spans="8:31" x14ac:dyDescent="0.2"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  <c r="AA2876" s="5"/>
      <c r="AC2876" t="e">
        <f ca="1">RANK(AB2876,OFFSET($AB$2,0,0,#REF!,1))</f>
        <v>#REF!</v>
      </c>
      <c r="AD2876" s="4" t="e">
        <f>InsurerSize(#REF!)</f>
        <v>#VALUE!</v>
      </c>
      <c r="AE2876" s="4" t="e">
        <f t="shared" si="56"/>
        <v>#VALUE!</v>
      </c>
    </row>
    <row r="2877" spans="8:31" x14ac:dyDescent="0.2"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  <c r="AA2877" s="5"/>
      <c r="AC2877" t="e">
        <f ca="1">RANK(AB2877,OFFSET($AB$2,0,0,#REF!,1))</f>
        <v>#REF!</v>
      </c>
      <c r="AD2877" s="4" t="e">
        <f>InsurerSize(#REF!)</f>
        <v>#VALUE!</v>
      </c>
      <c r="AE2877" s="4" t="e">
        <f t="shared" si="56"/>
        <v>#VALUE!</v>
      </c>
    </row>
    <row r="2878" spans="8:31" x14ac:dyDescent="0.2"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5"/>
      <c r="Z2878" s="5"/>
      <c r="AA2878" s="5"/>
      <c r="AC2878" t="e">
        <f ca="1">RANK(AB2878,OFFSET($AB$2,0,0,#REF!,1))</f>
        <v>#REF!</v>
      </c>
      <c r="AD2878" s="4" t="e">
        <f>InsurerSize(#REF!)</f>
        <v>#VALUE!</v>
      </c>
      <c r="AE2878" s="4" t="e">
        <f t="shared" si="56"/>
        <v>#VALUE!</v>
      </c>
    </row>
    <row r="2879" spans="8:31" x14ac:dyDescent="0.2"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  <c r="AA2879" s="5"/>
      <c r="AC2879" t="e">
        <f ca="1">RANK(AB2879,OFFSET($AB$2,0,0,#REF!,1))</f>
        <v>#REF!</v>
      </c>
      <c r="AD2879" s="4" t="e">
        <f>InsurerSize(#REF!)</f>
        <v>#VALUE!</v>
      </c>
      <c r="AE2879" s="4" t="e">
        <f t="shared" si="56"/>
        <v>#VALUE!</v>
      </c>
    </row>
    <row r="2880" spans="8:31" x14ac:dyDescent="0.2"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  <c r="AA2880" s="5"/>
      <c r="AC2880" t="e">
        <f ca="1">RANK(AB2880,OFFSET($AB$2,0,0,#REF!,1))</f>
        <v>#REF!</v>
      </c>
      <c r="AD2880" s="4" t="e">
        <f>InsurerSize(#REF!)</f>
        <v>#VALUE!</v>
      </c>
      <c r="AE2880" s="4" t="e">
        <f t="shared" si="56"/>
        <v>#VALUE!</v>
      </c>
    </row>
    <row r="2881" spans="8:31" x14ac:dyDescent="0.2"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  <c r="AA2881" s="5"/>
      <c r="AC2881" t="e">
        <f ca="1">RANK(AB2881,OFFSET($AB$2,0,0,#REF!,1))</f>
        <v>#REF!</v>
      </c>
      <c r="AD2881" s="4" t="e">
        <f>InsurerSize(#REF!)</f>
        <v>#VALUE!</v>
      </c>
      <c r="AE2881" s="4" t="e">
        <f t="shared" si="56"/>
        <v>#VALUE!</v>
      </c>
    </row>
    <row r="2882" spans="8:31" x14ac:dyDescent="0.2"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  <c r="AA2882" s="5"/>
      <c r="AC2882" t="e">
        <f ca="1">RANK(AB2882,OFFSET($AB$2,0,0,#REF!,1))</f>
        <v>#REF!</v>
      </c>
      <c r="AD2882" s="4" t="e">
        <f>InsurerSize(#REF!)</f>
        <v>#VALUE!</v>
      </c>
      <c r="AE2882" s="4" t="e">
        <f t="shared" ref="AE2882:AE2945" si="57">A2882&amp;AD2882</f>
        <v>#VALUE!</v>
      </c>
    </row>
    <row r="2883" spans="8:31" x14ac:dyDescent="0.2"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  <c r="AA2883" s="5"/>
      <c r="AC2883" t="e">
        <f ca="1">RANK(AB2883,OFFSET($AB$2,0,0,#REF!,1))</f>
        <v>#REF!</v>
      </c>
      <c r="AD2883" s="4" t="e">
        <f>InsurerSize(#REF!)</f>
        <v>#VALUE!</v>
      </c>
      <c r="AE2883" s="4" t="e">
        <f t="shared" si="57"/>
        <v>#VALUE!</v>
      </c>
    </row>
    <row r="2884" spans="8:31" x14ac:dyDescent="0.2"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  <c r="AA2884" s="5"/>
      <c r="AC2884" t="e">
        <f ca="1">RANK(AB2884,OFFSET($AB$2,0,0,#REF!,1))</f>
        <v>#REF!</v>
      </c>
      <c r="AD2884" s="4" t="e">
        <f>InsurerSize(#REF!)</f>
        <v>#VALUE!</v>
      </c>
      <c r="AE2884" s="4" t="e">
        <f t="shared" si="57"/>
        <v>#VALUE!</v>
      </c>
    </row>
    <row r="2885" spans="8:31" x14ac:dyDescent="0.2"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  <c r="AC2885" t="e">
        <f ca="1">RANK(AB2885,OFFSET($AB$2,0,0,#REF!,1))</f>
        <v>#REF!</v>
      </c>
      <c r="AD2885" s="4" t="e">
        <f>InsurerSize(#REF!)</f>
        <v>#VALUE!</v>
      </c>
      <c r="AE2885" s="4" t="e">
        <f t="shared" si="57"/>
        <v>#VALUE!</v>
      </c>
    </row>
    <row r="2886" spans="8:31" x14ac:dyDescent="0.2"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5"/>
      <c r="Z2886" s="5"/>
      <c r="AA2886" s="5"/>
      <c r="AC2886" t="e">
        <f ca="1">RANK(AB2886,OFFSET($AB$2,0,0,#REF!,1))</f>
        <v>#REF!</v>
      </c>
      <c r="AD2886" s="4" t="e">
        <f>InsurerSize(#REF!)</f>
        <v>#VALUE!</v>
      </c>
      <c r="AE2886" s="4" t="e">
        <f t="shared" si="57"/>
        <v>#VALUE!</v>
      </c>
    </row>
    <row r="2887" spans="8:31" x14ac:dyDescent="0.2"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  <c r="AA2887" s="5"/>
      <c r="AC2887" t="e">
        <f ca="1">RANK(AB2887,OFFSET($AB$2,0,0,#REF!,1))</f>
        <v>#REF!</v>
      </c>
      <c r="AD2887" s="4" t="e">
        <f>InsurerSize(#REF!)</f>
        <v>#VALUE!</v>
      </c>
      <c r="AE2887" s="4" t="e">
        <f t="shared" si="57"/>
        <v>#VALUE!</v>
      </c>
    </row>
    <row r="2888" spans="8:31" x14ac:dyDescent="0.2"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  <c r="AA2888" s="5"/>
      <c r="AC2888" t="e">
        <f ca="1">RANK(AB2888,OFFSET($AB$2,0,0,#REF!,1))</f>
        <v>#REF!</v>
      </c>
      <c r="AD2888" s="4" t="e">
        <f>InsurerSize(#REF!)</f>
        <v>#VALUE!</v>
      </c>
      <c r="AE2888" s="4" t="e">
        <f t="shared" si="57"/>
        <v>#VALUE!</v>
      </c>
    </row>
    <row r="2889" spans="8:31" x14ac:dyDescent="0.2"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  <c r="AA2889" s="5"/>
      <c r="AC2889" t="e">
        <f ca="1">RANK(AB2889,OFFSET($AB$2,0,0,#REF!,1))</f>
        <v>#REF!</v>
      </c>
      <c r="AD2889" s="4" t="e">
        <f>InsurerSize(#REF!)</f>
        <v>#VALUE!</v>
      </c>
      <c r="AE2889" s="4" t="e">
        <f t="shared" si="57"/>
        <v>#VALUE!</v>
      </c>
    </row>
    <row r="2890" spans="8:31" x14ac:dyDescent="0.2"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  <c r="AA2890" s="5"/>
      <c r="AC2890" t="e">
        <f ca="1">RANK(AB2890,OFFSET($AB$2,0,0,#REF!,1))</f>
        <v>#REF!</v>
      </c>
      <c r="AD2890" s="4" t="e">
        <f>InsurerSize(#REF!)</f>
        <v>#VALUE!</v>
      </c>
      <c r="AE2890" s="4" t="e">
        <f t="shared" si="57"/>
        <v>#VALUE!</v>
      </c>
    </row>
    <row r="2891" spans="8:31" x14ac:dyDescent="0.2"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5"/>
      <c r="Z2891" s="5"/>
      <c r="AA2891" s="5"/>
      <c r="AC2891" t="e">
        <f ca="1">RANK(AB2891,OFFSET($AB$2,0,0,#REF!,1))</f>
        <v>#REF!</v>
      </c>
      <c r="AD2891" s="4" t="e">
        <f>InsurerSize(#REF!)</f>
        <v>#VALUE!</v>
      </c>
      <c r="AE2891" s="4" t="e">
        <f t="shared" si="57"/>
        <v>#VALUE!</v>
      </c>
    </row>
    <row r="2892" spans="8:31" x14ac:dyDescent="0.2"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  <c r="AA2892" s="5"/>
      <c r="AC2892" t="e">
        <f ca="1">RANK(AB2892,OFFSET($AB$2,0,0,#REF!,1))</f>
        <v>#REF!</v>
      </c>
      <c r="AD2892" s="4" t="e">
        <f>InsurerSize(#REF!)</f>
        <v>#VALUE!</v>
      </c>
      <c r="AE2892" s="4" t="e">
        <f t="shared" si="57"/>
        <v>#VALUE!</v>
      </c>
    </row>
    <row r="2893" spans="8:31" x14ac:dyDescent="0.2"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  <c r="AA2893" s="5"/>
      <c r="AC2893" t="e">
        <f ca="1">RANK(AB2893,OFFSET($AB$2,0,0,#REF!,1))</f>
        <v>#REF!</v>
      </c>
      <c r="AD2893" s="4" t="e">
        <f>InsurerSize(#REF!)</f>
        <v>#VALUE!</v>
      </c>
      <c r="AE2893" s="4" t="e">
        <f t="shared" si="57"/>
        <v>#VALUE!</v>
      </c>
    </row>
    <row r="2894" spans="8:31" x14ac:dyDescent="0.2"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  <c r="AA2894" s="5"/>
      <c r="AC2894" t="e">
        <f ca="1">RANK(AB2894,OFFSET($AB$2,0,0,#REF!,1))</f>
        <v>#REF!</v>
      </c>
      <c r="AD2894" s="4" t="e">
        <f>InsurerSize(#REF!)</f>
        <v>#VALUE!</v>
      </c>
      <c r="AE2894" s="4" t="e">
        <f t="shared" si="57"/>
        <v>#VALUE!</v>
      </c>
    </row>
    <row r="2895" spans="8:31" x14ac:dyDescent="0.2"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  <c r="AA2895" s="5"/>
      <c r="AC2895" t="e">
        <f ca="1">RANK(AB2895,OFFSET($AB$2,0,0,#REF!,1))</f>
        <v>#REF!</v>
      </c>
      <c r="AD2895" s="4" t="e">
        <f>InsurerSize(#REF!)</f>
        <v>#VALUE!</v>
      </c>
      <c r="AE2895" s="4" t="e">
        <f t="shared" si="57"/>
        <v>#VALUE!</v>
      </c>
    </row>
    <row r="2896" spans="8:31" x14ac:dyDescent="0.2"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  <c r="AA2896" s="5"/>
      <c r="AC2896" t="e">
        <f ca="1">RANK(AB2896,OFFSET($AB$2,0,0,#REF!,1))</f>
        <v>#REF!</v>
      </c>
      <c r="AD2896" s="4" t="e">
        <f>InsurerSize(#REF!)</f>
        <v>#VALUE!</v>
      </c>
      <c r="AE2896" s="4" t="e">
        <f t="shared" si="57"/>
        <v>#VALUE!</v>
      </c>
    </row>
    <row r="2897" spans="8:31" x14ac:dyDescent="0.2"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  <c r="AA2897" s="5"/>
      <c r="AC2897" t="e">
        <f ca="1">RANK(AB2897,OFFSET($AB$2,0,0,#REF!,1))</f>
        <v>#REF!</v>
      </c>
      <c r="AD2897" s="4" t="e">
        <f>InsurerSize(#REF!)</f>
        <v>#VALUE!</v>
      </c>
      <c r="AE2897" s="4" t="e">
        <f t="shared" si="57"/>
        <v>#VALUE!</v>
      </c>
    </row>
    <row r="2898" spans="8:31" x14ac:dyDescent="0.2"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  <c r="AA2898" s="5"/>
      <c r="AC2898" t="e">
        <f ca="1">RANK(AB2898,OFFSET($AB$2,0,0,#REF!,1))</f>
        <v>#REF!</v>
      </c>
      <c r="AD2898" s="4" t="e">
        <f>InsurerSize(#REF!)</f>
        <v>#VALUE!</v>
      </c>
      <c r="AE2898" s="4" t="e">
        <f t="shared" si="57"/>
        <v>#VALUE!</v>
      </c>
    </row>
    <row r="2899" spans="8:31" x14ac:dyDescent="0.2"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  <c r="AA2899" s="5"/>
      <c r="AC2899" t="e">
        <f ca="1">RANK(AB2899,OFFSET($AB$2,0,0,#REF!,1))</f>
        <v>#REF!</v>
      </c>
      <c r="AD2899" s="4" t="e">
        <f>InsurerSize(#REF!)</f>
        <v>#VALUE!</v>
      </c>
      <c r="AE2899" s="4" t="e">
        <f t="shared" si="57"/>
        <v>#VALUE!</v>
      </c>
    </row>
    <row r="2900" spans="8:31" x14ac:dyDescent="0.2"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  <c r="AA2900" s="5"/>
      <c r="AC2900" t="e">
        <f ca="1">RANK(AB2900,OFFSET($AB$2,0,0,#REF!,1))</f>
        <v>#REF!</v>
      </c>
      <c r="AD2900" s="4" t="e">
        <f>InsurerSize(#REF!)</f>
        <v>#VALUE!</v>
      </c>
      <c r="AE2900" s="4" t="e">
        <f t="shared" si="57"/>
        <v>#VALUE!</v>
      </c>
    </row>
    <row r="2901" spans="8:31" x14ac:dyDescent="0.2"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  <c r="AA2901" s="5"/>
      <c r="AC2901" t="e">
        <f ca="1">RANK(AB2901,OFFSET($AB$2,0,0,#REF!,1))</f>
        <v>#REF!</v>
      </c>
      <c r="AD2901" s="4" t="e">
        <f>InsurerSize(#REF!)</f>
        <v>#VALUE!</v>
      </c>
      <c r="AE2901" s="4" t="e">
        <f t="shared" si="57"/>
        <v>#VALUE!</v>
      </c>
    </row>
    <row r="2902" spans="8:31" x14ac:dyDescent="0.2"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  <c r="AA2902" s="5"/>
      <c r="AC2902" t="e">
        <f ca="1">RANK(AB2902,OFFSET($AB$2,0,0,#REF!,1))</f>
        <v>#REF!</v>
      </c>
      <c r="AD2902" s="4" t="e">
        <f>InsurerSize(#REF!)</f>
        <v>#VALUE!</v>
      </c>
      <c r="AE2902" s="4" t="e">
        <f t="shared" si="57"/>
        <v>#VALUE!</v>
      </c>
    </row>
    <row r="2903" spans="8:31" x14ac:dyDescent="0.2"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  <c r="AA2903" s="5"/>
      <c r="AC2903" t="e">
        <f ca="1">RANK(AB2903,OFFSET($AB$2,0,0,#REF!,1))</f>
        <v>#REF!</v>
      </c>
      <c r="AD2903" s="4" t="e">
        <f>InsurerSize(#REF!)</f>
        <v>#VALUE!</v>
      </c>
      <c r="AE2903" s="4" t="e">
        <f t="shared" si="57"/>
        <v>#VALUE!</v>
      </c>
    </row>
    <row r="2904" spans="8:31" x14ac:dyDescent="0.2"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  <c r="AC2904" t="e">
        <f ca="1">RANK(AB2904,OFFSET($AB$2,0,0,#REF!,1))</f>
        <v>#REF!</v>
      </c>
      <c r="AD2904" s="4" t="e">
        <f>InsurerSize(#REF!)</f>
        <v>#VALUE!</v>
      </c>
      <c r="AE2904" s="4" t="e">
        <f t="shared" si="57"/>
        <v>#VALUE!</v>
      </c>
    </row>
    <row r="2905" spans="8:31" x14ac:dyDescent="0.2"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  <c r="AA2905" s="5"/>
      <c r="AC2905" t="e">
        <f ca="1">RANK(AB2905,OFFSET($AB$2,0,0,#REF!,1))</f>
        <v>#REF!</v>
      </c>
      <c r="AD2905" s="4" t="e">
        <f>InsurerSize(#REF!)</f>
        <v>#VALUE!</v>
      </c>
      <c r="AE2905" s="4" t="e">
        <f t="shared" si="57"/>
        <v>#VALUE!</v>
      </c>
    </row>
    <row r="2906" spans="8:31" x14ac:dyDescent="0.2"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  <c r="AA2906" s="5"/>
      <c r="AC2906" t="e">
        <f ca="1">RANK(AB2906,OFFSET($AB$2,0,0,#REF!,1))</f>
        <v>#REF!</v>
      </c>
      <c r="AD2906" s="4" t="e">
        <f>InsurerSize(#REF!)</f>
        <v>#VALUE!</v>
      </c>
      <c r="AE2906" s="4" t="e">
        <f t="shared" si="57"/>
        <v>#VALUE!</v>
      </c>
    </row>
    <row r="2907" spans="8:31" x14ac:dyDescent="0.2"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  <c r="AA2907" s="5"/>
      <c r="AC2907" t="e">
        <f ca="1">RANK(AB2907,OFFSET($AB$2,0,0,#REF!,1))</f>
        <v>#REF!</v>
      </c>
      <c r="AD2907" s="4" t="e">
        <f>InsurerSize(#REF!)</f>
        <v>#VALUE!</v>
      </c>
      <c r="AE2907" s="4" t="e">
        <f t="shared" si="57"/>
        <v>#VALUE!</v>
      </c>
    </row>
    <row r="2908" spans="8:31" x14ac:dyDescent="0.2"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  <c r="AA2908" s="5"/>
      <c r="AC2908" t="e">
        <f ca="1">RANK(AB2908,OFFSET($AB$2,0,0,#REF!,1))</f>
        <v>#REF!</v>
      </c>
      <c r="AD2908" s="4" t="e">
        <f>InsurerSize(#REF!)</f>
        <v>#VALUE!</v>
      </c>
      <c r="AE2908" s="4" t="e">
        <f t="shared" si="57"/>
        <v>#VALUE!</v>
      </c>
    </row>
    <row r="2909" spans="8:31" x14ac:dyDescent="0.2"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  <c r="AA2909" s="5"/>
      <c r="AC2909" t="e">
        <f ca="1">RANK(AB2909,OFFSET($AB$2,0,0,#REF!,1))</f>
        <v>#REF!</v>
      </c>
      <c r="AD2909" s="4" t="e">
        <f>InsurerSize(#REF!)</f>
        <v>#VALUE!</v>
      </c>
      <c r="AE2909" s="4" t="e">
        <f t="shared" si="57"/>
        <v>#VALUE!</v>
      </c>
    </row>
    <row r="2910" spans="8:31" x14ac:dyDescent="0.2"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  <c r="AA2910" s="5"/>
      <c r="AC2910" t="e">
        <f ca="1">RANK(AB2910,OFFSET($AB$2,0,0,#REF!,1))</f>
        <v>#REF!</v>
      </c>
      <c r="AD2910" s="4" t="e">
        <f>InsurerSize(#REF!)</f>
        <v>#VALUE!</v>
      </c>
      <c r="AE2910" s="4" t="e">
        <f t="shared" si="57"/>
        <v>#VALUE!</v>
      </c>
    </row>
    <row r="2911" spans="8:31" x14ac:dyDescent="0.2"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  <c r="AA2911" s="5"/>
      <c r="AC2911" t="e">
        <f ca="1">RANK(AB2911,OFFSET($AB$2,0,0,#REF!,1))</f>
        <v>#REF!</v>
      </c>
      <c r="AD2911" s="4" t="e">
        <f>InsurerSize(#REF!)</f>
        <v>#VALUE!</v>
      </c>
      <c r="AE2911" s="4" t="e">
        <f t="shared" si="57"/>
        <v>#VALUE!</v>
      </c>
    </row>
    <row r="2912" spans="8:31" x14ac:dyDescent="0.2"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  <c r="AA2912" s="5"/>
      <c r="AC2912" t="e">
        <f ca="1">RANK(AB2912,OFFSET($AB$2,0,0,#REF!,1))</f>
        <v>#REF!</v>
      </c>
      <c r="AD2912" s="4" t="e">
        <f>InsurerSize(#REF!)</f>
        <v>#VALUE!</v>
      </c>
      <c r="AE2912" s="4" t="e">
        <f t="shared" si="57"/>
        <v>#VALUE!</v>
      </c>
    </row>
    <row r="2913" spans="8:31" x14ac:dyDescent="0.2"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  <c r="AA2913" s="5"/>
      <c r="AC2913" t="e">
        <f ca="1">RANK(AB2913,OFFSET($AB$2,0,0,#REF!,1))</f>
        <v>#REF!</v>
      </c>
      <c r="AD2913" s="4" t="e">
        <f>InsurerSize(#REF!)</f>
        <v>#VALUE!</v>
      </c>
      <c r="AE2913" s="4" t="e">
        <f t="shared" si="57"/>
        <v>#VALUE!</v>
      </c>
    </row>
    <row r="2914" spans="8:31" x14ac:dyDescent="0.2"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  <c r="AA2914" s="5"/>
      <c r="AC2914" t="e">
        <f ca="1">RANK(AB2914,OFFSET($AB$2,0,0,#REF!,1))</f>
        <v>#REF!</v>
      </c>
      <c r="AD2914" s="4" t="e">
        <f>InsurerSize(#REF!)</f>
        <v>#VALUE!</v>
      </c>
      <c r="AE2914" s="4" t="e">
        <f t="shared" si="57"/>
        <v>#VALUE!</v>
      </c>
    </row>
    <row r="2915" spans="8:31" x14ac:dyDescent="0.2"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  <c r="AA2915" s="5"/>
      <c r="AC2915" t="e">
        <f ca="1">RANK(AB2915,OFFSET($AB$2,0,0,#REF!,1))</f>
        <v>#REF!</v>
      </c>
      <c r="AD2915" s="4" t="e">
        <f>InsurerSize(#REF!)</f>
        <v>#VALUE!</v>
      </c>
      <c r="AE2915" s="4" t="e">
        <f t="shared" si="57"/>
        <v>#VALUE!</v>
      </c>
    </row>
    <row r="2916" spans="8:31" x14ac:dyDescent="0.2"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  <c r="AA2916" s="5"/>
      <c r="AC2916" t="e">
        <f ca="1">RANK(AB2916,OFFSET($AB$2,0,0,#REF!,1))</f>
        <v>#REF!</v>
      </c>
      <c r="AD2916" s="4" t="e">
        <f>InsurerSize(#REF!)</f>
        <v>#VALUE!</v>
      </c>
      <c r="AE2916" s="4" t="e">
        <f t="shared" si="57"/>
        <v>#VALUE!</v>
      </c>
    </row>
    <row r="2917" spans="8:31" x14ac:dyDescent="0.2"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  <c r="AA2917" s="5"/>
      <c r="AC2917" t="e">
        <f ca="1">RANK(AB2917,OFFSET($AB$2,0,0,#REF!,1))</f>
        <v>#REF!</v>
      </c>
      <c r="AD2917" s="4" t="e">
        <f>InsurerSize(#REF!)</f>
        <v>#VALUE!</v>
      </c>
      <c r="AE2917" s="4" t="e">
        <f t="shared" si="57"/>
        <v>#VALUE!</v>
      </c>
    </row>
    <row r="2918" spans="8:31" x14ac:dyDescent="0.2"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  <c r="AA2918" s="5"/>
      <c r="AC2918" t="e">
        <f ca="1">RANK(AB2918,OFFSET($AB$2,0,0,#REF!,1))</f>
        <v>#REF!</v>
      </c>
      <c r="AD2918" s="4" t="e">
        <f>InsurerSize(#REF!)</f>
        <v>#VALUE!</v>
      </c>
      <c r="AE2918" s="4" t="e">
        <f t="shared" si="57"/>
        <v>#VALUE!</v>
      </c>
    </row>
    <row r="2919" spans="8:31" x14ac:dyDescent="0.2"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  <c r="AA2919" s="5"/>
      <c r="AC2919" t="e">
        <f ca="1">RANK(AB2919,OFFSET($AB$2,0,0,#REF!,1))</f>
        <v>#REF!</v>
      </c>
      <c r="AD2919" s="4" t="e">
        <f>InsurerSize(#REF!)</f>
        <v>#VALUE!</v>
      </c>
      <c r="AE2919" s="4" t="e">
        <f t="shared" si="57"/>
        <v>#VALUE!</v>
      </c>
    </row>
    <row r="2920" spans="8:31" x14ac:dyDescent="0.2"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  <c r="AA2920" s="5"/>
      <c r="AC2920" t="e">
        <f ca="1">RANK(AB2920,OFFSET($AB$2,0,0,#REF!,1))</f>
        <v>#REF!</v>
      </c>
      <c r="AD2920" s="4" t="e">
        <f>InsurerSize(#REF!)</f>
        <v>#VALUE!</v>
      </c>
      <c r="AE2920" s="4" t="e">
        <f t="shared" si="57"/>
        <v>#VALUE!</v>
      </c>
    </row>
    <row r="2921" spans="8:31" x14ac:dyDescent="0.2"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C2921" t="e">
        <f ca="1">RANK(AB2921,OFFSET($AB$2,0,0,#REF!,1))</f>
        <v>#REF!</v>
      </c>
      <c r="AD2921" s="4" t="e">
        <f>InsurerSize(#REF!)</f>
        <v>#VALUE!</v>
      </c>
      <c r="AE2921" s="4" t="e">
        <f t="shared" si="57"/>
        <v>#VALUE!</v>
      </c>
    </row>
    <row r="2922" spans="8:31" x14ac:dyDescent="0.2"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  <c r="AA2922" s="5"/>
      <c r="AC2922" t="e">
        <f ca="1">RANK(AB2922,OFFSET($AB$2,0,0,#REF!,1))</f>
        <v>#REF!</v>
      </c>
      <c r="AD2922" s="4" t="e">
        <f>InsurerSize(#REF!)</f>
        <v>#VALUE!</v>
      </c>
      <c r="AE2922" s="4" t="e">
        <f t="shared" si="57"/>
        <v>#VALUE!</v>
      </c>
    </row>
    <row r="2923" spans="8:31" x14ac:dyDescent="0.2"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  <c r="AA2923" s="5"/>
      <c r="AC2923" t="e">
        <f ca="1">RANK(AB2923,OFFSET($AB$2,0,0,#REF!,1))</f>
        <v>#REF!</v>
      </c>
      <c r="AD2923" s="4" t="e">
        <f>InsurerSize(#REF!)</f>
        <v>#VALUE!</v>
      </c>
      <c r="AE2923" s="4" t="e">
        <f t="shared" si="57"/>
        <v>#VALUE!</v>
      </c>
    </row>
    <row r="2924" spans="8:31" x14ac:dyDescent="0.2"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  <c r="AA2924" s="5"/>
      <c r="AC2924" t="e">
        <f ca="1">RANK(AB2924,OFFSET($AB$2,0,0,#REF!,1))</f>
        <v>#REF!</v>
      </c>
      <c r="AD2924" s="4" t="e">
        <f>InsurerSize(#REF!)</f>
        <v>#VALUE!</v>
      </c>
      <c r="AE2924" s="4" t="e">
        <f t="shared" si="57"/>
        <v>#VALUE!</v>
      </c>
    </row>
    <row r="2925" spans="8:31" x14ac:dyDescent="0.2"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  <c r="AA2925" s="5"/>
      <c r="AC2925" t="e">
        <f ca="1">RANK(AB2925,OFFSET($AB$2,0,0,#REF!,1))</f>
        <v>#REF!</v>
      </c>
      <c r="AD2925" s="4" t="e">
        <f>InsurerSize(#REF!)</f>
        <v>#VALUE!</v>
      </c>
      <c r="AE2925" s="4" t="e">
        <f t="shared" si="57"/>
        <v>#VALUE!</v>
      </c>
    </row>
    <row r="2926" spans="8:31" x14ac:dyDescent="0.2"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  <c r="AA2926" s="5"/>
      <c r="AC2926" t="e">
        <f ca="1">RANK(AB2926,OFFSET($AB$2,0,0,#REF!,1))</f>
        <v>#REF!</v>
      </c>
      <c r="AD2926" s="4" t="e">
        <f>InsurerSize(#REF!)</f>
        <v>#VALUE!</v>
      </c>
      <c r="AE2926" s="4" t="e">
        <f t="shared" si="57"/>
        <v>#VALUE!</v>
      </c>
    </row>
    <row r="2927" spans="8:31" x14ac:dyDescent="0.2"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  <c r="AC2927" t="e">
        <f ca="1">RANK(AB2927,OFFSET($AB$2,0,0,#REF!,1))</f>
        <v>#REF!</v>
      </c>
      <c r="AD2927" s="4" t="e">
        <f>InsurerSize(#REF!)</f>
        <v>#VALUE!</v>
      </c>
      <c r="AE2927" s="4" t="e">
        <f t="shared" si="57"/>
        <v>#VALUE!</v>
      </c>
    </row>
    <row r="2928" spans="8:31" x14ac:dyDescent="0.2"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  <c r="AA2928" s="5"/>
      <c r="AC2928" t="e">
        <f ca="1">RANK(AB2928,OFFSET($AB$2,0,0,#REF!,1))</f>
        <v>#REF!</v>
      </c>
      <c r="AD2928" s="4" t="e">
        <f>InsurerSize(#REF!)</f>
        <v>#VALUE!</v>
      </c>
      <c r="AE2928" s="4" t="e">
        <f t="shared" si="57"/>
        <v>#VALUE!</v>
      </c>
    </row>
    <row r="2929" spans="8:31" x14ac:dyDescent="0.2"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  <c r="AA2929" s="5"/>
      <c r="AC2929" t="e">
        <f ca="1">RANK(AB2929,OFFSET($AB$2,0,0,#REF!,1))</f>
        <v>#REF!</v>
      </c>
      <c r="AD2929" s="4" t="e">
        <f>InsurerSize(#REF!)</f>
        <v>#VALUE!</v>
      </c>
      <c r="AE2929" s="4" t="e">
        <f t="shared" si="57"/>
        <v>#VALUE!</v>
      </c>
    </row>
    <row r="2930" spans="8:31" x14ac:dyDescent="0.2"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  <c r="AA2930" s="5"/>
      <c r="AC2930" t="e">
        <f ca="1">RANK(AB2930,OFFSET($AB$2,0,0,#REF!,1))</f>
        <v>#REF!</v>
      </c>
      <c r="AD2930" s="4" t="e">
        <f>InsurerSize(#REF!)</f>
        <v>#VALUE!</v>
      </c>
      <c r="AE2930" s="4" t="e">
        <f t="shared" si="57"/>
        <v>#VALUE!</v>
      </c>
    </row>
    <row r="2931" spans="8:31" x14ac:dyDescent="0.2"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  <c r="AA2931" s="5"/>
      <c r="AC2931" t="e">
        <f ca="1">RANK(AB2931,OFFSET($AB$2,0,0,#REF!,1))</f>
        <v>#REF!</v>
      </c>
      <c r="AD2931" s="4" t="e">
        <f>InsurerSize(#REF!)</f>
        <v>#VALUE!</v>
      </c>
      <c r="AE2931" s="4" t="e">
        <f t="shared" si="57"/>
        <v>#VALUE!</v>
      </c>
    </row>
    <row r="2932" spans="8:31" x14ac:dyDescent="0.2"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  <c r="AA2932" s="5"/>
      <c r="AC2932" t="e">
        <f ca="1">RANK(AB2932,OFFSET($AB$2,0,0,#REF!,1))</f>
        <v>#REF!</v>
      </c>
      <c r="AD2932" s="4" t="e">
        <f>InsurerSize(#REF!)</f>
        <v>#VALUE!</v>
      </c>
      <c r="AE2932" s="4" t="e">
        <f t="shared" si="57"/>
        <v>#VALUE!</v>
      </c>
    </row>
    <row r="2933" spans="8:31" x14ac:dyDescent="0.2"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  <c r="AA2933" s="5"/>
      <c r="AC2933" t="e">
        <f ca="1">RANK(AB2933,OFFSET($AB$2,0,0,#REF!,1))</f>
        <v>#REF!</v>
      </c>
      <c r="AD2933" s="4" t="e">
        <f>InsurerSize(#REF!)</f>
        <v>#VALUE!</v>
      </c>
      <c r="AE2933" s="4" t="e">
        <f t="shared" si="57"/>
        <v>#VALUE!</v>
      </c>
    </row>
    <row r="2934" spans="8:31" x14ac:dyDescent="0.2"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  <c r="AA2934" s="5"/>
      <c r="AC2934" t="e">
        <f ca="1">RANK(AB2934,OFFSET($AB$2,0,0,#REF!,1))</f>
        <v>#REF!</v>
      </c>
      <c r="AD2934" s="4" t="e">
        <f>InsurerSize(#REF!)</f>
        <v>#VALUE!</v>
      </c>
      <c r="AE2934" s="4" t="e">
        <f t="shared" si="57"/>
        <v>#VALUE!</v>
      </c>
    </row>
    <row r="2935" spans="8:31" x14ac:dyDescent="0.2"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  <c r="AA2935" s="5"/>
      <c r="AC2935" t="e">
        <f ca="1">RANK(AB2935,OFFSET($AB$2,0,0,#REF!,1))</f>
        <v>#REF!</v>
      </c>
      <c r="AD2935" s="4" t="e">
        <f>InsurerSize(#REF!)</f>
        <v>#VALUE!</v>
      </c>
      <c r="AE2935" s="4" t="e">
        <f t="shared" si="57"/>
        <v>#VALUE!</v>
      </c>
    </row>
    <row r="2936" spans="8:31" x14ac:dyDescent="0.2"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  <c r="AA2936" s="5"/>
      <c r="AC2936" t="e">
        <f ca="1">RANK(AB2936,OFFSET($AB$2,0,0,#REF!,1))</f>
        <v>#REF!</v>
      </c>
      <c r="AD2936" s="4" t="e">
        <f>InsurerSize(#REF!)</f>
        <v>#VALUE!</v>
      </c>
      <c r="AE2936" s="4" t="e">
        <f t="shared" si="57"/>
        <v>#VALUE!</v>
      </c>
    </row>
    <row r="2937" spans="8:31" x14ac:dyDescent="0.2"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  <c r="AA2937" s="5"/>
      <c r="AC2937" t="e">
        <f ca="1">RANK(AB2937,OFFSET($AB$2,0,0,#REF!,1))</f>
        <v>#REF!</v>
      </c>
      <c r="AD2937" s="4" t="e">
        <f>InsurerSize(#REF!)</f>
        <v>#VALUE!</v>
      </c>
      <c r="AE2937" s="4" t="e">
        <f t="shared" si="57"/>
        <v>#VALUE!</v>
      </c>
    </row>
    <row r="2938" spans="8:31" x14ac:dyDescent="0.2"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  <c r="AA2938" s="5"/>
      <c r="AC2938" t="e">
        <f ca="1">RANK(AB2938,OFFSET($AB$2,0,0,#REF!,1))</f>
        <v>#REF!</v>
      </c>
      <c r="AD2938" s="4" t="e">
        <f>InsurerSize(#REF!)</f>
        <v>#VALUE!</v>
      </c>
      <c r="AE2938" s="4" t="e">
        <f t="shared" si="57"/>
        <v>#VALUE!</v>
      </c>
    </row>
    <row r="2939" spans="8:31" x14ac:dyDescent="0.2"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  <c r="AA2939" s="5"/>
      <c r="AC2939" t="e">
        <f ca="1">RANK(AB2939,OFFSET($AB$2,0,0,#REF!,1))</f>
        <v>#REF!</v>
      </c>
      <c r="AD2939" s="4" t="e">
        <f>InsurerSize(#REF!)</f>
        <v>#VALUE!</v>
      </c>
      <c r="AE2939" s="4" t="e">
        <f t="shared" si="57"/>
        <v>#VALUE!</v>
      </c>
    </row>
    <row r="2940" spans="8:31" x14ac:dyDescent="0.2"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  <c r="AA2940" s="5"/>
      <c r="AC2940" t="e">
        <f ca="1">RANK(AB2940,OFFSET($AB$2,0,0,#REF!,1))</f>
        <v>#REF!</v>
      </c>
      <c r="AD2940" s="4" t="e">
        <f>InsurerSize(#REF!)</f>
        <v>#VALUE!</v>
      </c>
      <c r="AE2940" s="4" t="e">
        <f t="shared" si="57"/>
        <v>#VALUE!</v>
      </c>
    </row>
    <row r="2941" spans="8:31" x14ac:dyDescent="0.2"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  <c r="AA2941" s="5"/>
      <c r="AC2941" t="e">
        <f ca="1">RANK(AB2941,OFFSET($AB$2,0,0,#REF!,1))</f>
        <v>#REF!</v>
      </c>
      <c r="AD2941" s="4" t="e">
        <f>InsurerSize(#REF!)</f>
        <v>#VALUE!</v>
      </c>
      <c r="AE2941" s="4" t="e">
        <f t="shared" si="57"/>
        <v>#VALUE!</v>
      </c>
    </row>
    <row r="2942" spans="8:31" x14ac:dyDescent="0.2"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  <c r="AA2942" s="5"/>
      <c r="AC2942" t="e">
        <f ca="1">RANK(AB2942,OFFSET($AB$2,0,0,#REF!,1))</f>
        <v>#REF!</v>
      </c>
      <c r="AD2942" s="4" t="e">
        <f>InsurerSize(#REF!)</f>
        <v>#VALUE!</v>
      </c>
      <c r="AE2942" s="4" t="e">
        <f t="shared" si="57"/>
        <v>#VALUE!</v>
      </c>
    </row>
    <row r="2943" spans="8:31" x14ac:dyDescent="0.2"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  <c r="AA2943" s="5"/>
      <c r="AC2943" t="e">
        <f ca="1">RANK(AB2943,OFFSET($AB$2,0,0,#REF!,1))</f>
        <v>#REF!</v>
      </c>
      <c r="AD2943" s="4" t="e">
        <f>InsurerSize(#REF!)</f>
        <v>#VALUE!</v>
      </c>
      <c r="AE2943" s="4" t="e">
        <f t="shared" si="57"/>
        <v>#VALUE!</v>
      </c>
    </row>
    <row r="2944" spans="8:31" x14ac:dyDescent="0.2"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  <c r="AA2944" s="5"/>
      <c r="AC2944" t="e">
        <f ca="1">RANK(AB2944,OFFSET($AB$2,0,0,#REF!,1))</f>
        <v>#REF!</v>
      </c>
      <c r="AD2944" s="4" t="e">
        <f>InsurerSize(#REF!)</f>
        <v>#VALUE!</v>
      </c>
      <c r="AE2944" s="4" t="e">
        <f t="shared" si="57"/>
        <v>#VALUE!</v>
      </c>
    </row>
    <row r="2945" spans="8:31" x14ac:dyDescent="0.2"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  <c r="AA2945" s="5"/>
      <c r="AC2945" t="e">
        <f ca="1">RANK(AB2945,OFFSET($AB$2,0,0,#REF!,1))</f>
        <v>#REF!</v>
      </c>
      <c r="AD2945" s="4" t="e">
        <f>InsurerSize(#REF!)</f>
        <v>#VALUE!</v>
      </c>
      <c r="AE2945" s="4" t="e">
        <f t="shared" si="57"/>
        <v>#VALUE!</v>
      </c>
    </row>
    <row r="2946" spans="8:31" x14ac:dyDescent="0.2"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  <c r="AA2946" s="5"/>
      <c r="AC2946" t="e">
        <f ca="1">RANK(AB2946,OFFSET($AB$2,0,0,#REF!,1))</f>
        <v>#REF!</v>
      </c>
      <c r="AD2946" s="4" t="e">
        <f>InsurerSize(#REF!)</f>
        <v>#VALUE!</v>
      </c>
      <c r="AE2946" s="4" t="e">
        <f t="shared" ref="AE2946:AE3009" si="58">A2946&amp;AD2946</f>
        <v>#VALUE!</v>
      </c>
    </row>
    <row r="2947" spans="8:31" x14ac:dyDescent="0.2"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  <c r="AA2947" s="5"/>
      <c r="AC2947" t="e">
        <f ca="1">RANK(AB2947,OFFSET($AB$2,0,0,#REF!,1))</f>
        <v>#REF!</v>
      </c>
      <c r="AD2947" s="4" t="e">
        <f>InsurerSize(#REF!)</f>
        <v>#VALUE!</v>
      </c>
      <c r="AE2947" s="4" t="e">
        <f t="shared" si="58"/>
        <v>#VALUE!</v>
      </c>
    </row>
    <row r="2948" spans="8:31" x14ac:dyDescent="0.2"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  <c r="AA2948" s="5"/>
      <c r="AC2948" t="e">
        <f ca="1">RANK(AB2948,OFFSET($AB$2,0,0,#REF!,1))</f>
        <v>#REF!</v>
      </c>
      <c r="AD2948" s="4" t="e">
        <f>InsurerSize(#REF!)</f>
        <v>#VALUE!</v>
      </c>
      <c r="AE2948" s="4" t="e">
        <f t="shared" si="58"/>
        <v>#VALUE!</v>
      </c>
    </row>
    <row r="2949" spans="8:31" x14ac:dyDescent="0.2"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  <c r="AA2949" s="5"/>
      <c r="AC2949" t="e">
        <f ca="1">RANK(AB2949,OFFSET($AB$2,0,0,#REF!,1))</f>
        <v>#REF!</v>
      </c>
      <c r="AD2949" s="4" t="e">
        <f>InsurerSize(#REF!)</f>
        <v>#VALUE!</v>
      </c>
      <c r="AE2949" s="4" t="e">
        <f t="shared" si="58"/>
        <v>#VALUE!</v>
      </c>
    </row>
    <row r="2950" spans="8:31" x14ac:dyDescent="0.2"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  <c r="AA2950" s="5"/>
      <c r="AC2950" t="e">
        <f ca="1">RANK(AB2950,OFFSET($AB$2,0,0,#REF!,1))</f>
        <v>#REF!</v>
      </c>
      <c r="AD2950" s="4" t="e">
        <f>InsurerSize(#REF!)</f>
        <v>#VALUE!</v>
      </c>
      <c r="AE2950" s="4" t="e">
        <f t="shared" si="58"/>
        <v>#VALUE!</v>
      </c>
    </row>
    <row r="2951" spans="8:31" x14ac:dyDescent="0.2"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  <c r="AA2951" s="5"/>
      <c r="AC2951" t="e">
        <f ca="1">RANK(AB2951,OFFSET($AB$2,0,0,#REF!,1))</f>
        <v>#REF!</v>
      </c>
      <c r="AD2951" s="4" t="e">
        <f>InsurerSize(#REF!)</f>
        <v>#VALUE!</v>
      </c>
      <c r="AE2951" s="4" t="e">
        <f t="shared" si="58"/>
        <v>#VALUE!</v>
      </c>
    </row>
    <row r="2952" spans="8:31" x14ac:dyDescent="0.2"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  <c r="AA2952" s="5"/>
      <c r="AC2952" t="e">
        <f ca="1">RANK(AB2952,OFFSET($AB$2,0,0,#REF!,1))</f>
        <v>#REF!</v>
      </c>
      <c r="AD2952" s="4" t="e">
        <f>InsurerSize(#REF!)</f>
        <v>#VALUE!</v>
      </c>
      <c r="AE2952" s="4" t="e">
        <f t="shared" si="58"/>
        <v>#VALUE!</v>
      </c>
    </row>
    <row r="2953" spans="8:31" x14ac:dyDescent="0.2"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  <c r="AA2953" s="5"/>
      <c r="AC2953" t="e">
        <f ca="1">RANK(AB2953,OFFSET($AB$2,0,0,#REF!,1))</f>
        <v>#REF!</v>
      </c>
      <c r="AD2953" s="4" t="e">
        <f>InsurerSize(#REF!)</f>
        <v>#VALUE!</v>
      </c>
      <c r="AE2953" s="4" t="e">
        <f t="shared" si="58"/>
        <v>#VALUE!</v>
      </c>
    </row>
    <row r="2954" spans="8:31" x14ac:dyDescent="0.2"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  <c r="AA2954" s="5"/>
      <c r="AC2954" t="e">
        <f ca="1">RANK(AB2954,OFFSET($AB$2,0,0,#REF!,1))</f>
        <v>#REF!</v>
      </c>
      <c r="AD2954" s="4" t="e">
        <f>InsurerSize(#REF!)</f>
        <v>#VALUE!</v>
      </c>
      <c r="AE2954" s="4" t="e">
        <f t="shared" si="58"/>
        <v>#VALUE!</v>
      </c>
    </row>
    <row r="2955" spans="8:31" x14ac:dyDescent="0.2"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  <c r="AA2955" s="5"/>
      <c r="AC2955" t="e">
        <f ca="1">RANK(AB2955,OFFSET($AB$2,0,0,#REF!,1))</f>
        <v>#REF!</v>
      </c>
      <c r="AD2955" s="4" t="e">
        <f>InsurerSize(#REF!)</f>
        <v>#VALUE!</v>
      </c>
      <c r="AE2955" s="4" t="e">
        <f t="shared" si="58"/>
        <v>#VALUE!</v>
      </c>
    </row>
    <row r="2956" spans="8:31" x14ac:dyDescent="0.2"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  <c r="AA2956" s="5"/>
      <c r="AC2956" t="e">
        <f ca="1">RANK(AB2956,OFFSET($AB$2,0,0,#REF!,1))</f>
        <v>#REF!</v>
      </c>
      <c r="AD2956" s="4" t="e">
        <f>InsurerSize(#REF!)</f>
        <v>#VALUE!</v>
      </c>
      <c r="AE2956" s="4" t="e">
        <f t="shared" si="58"/>
        <v>#VALUE!</v>
      </c>
    </row>
    <row r="2957" spans="8:31" x14ac:dyDescent="0.2"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C2957" t="e">
        <f ca="1">RANK(AB2957,OFFSET($AB$2,0,0,#REF!,1))</f>
        <v>#REF!</v>
      </c>
      <c r="AD2957" s="4" t="e">
        <f>InsurerSize(#REF!)</f>
        <v>#VALUE!</v>
      </c>
      <c r="AE2957" s="4" t="e">
        <f t="shared" si="58"/>
        <v>#VALUE!</v>
      </c>
    </row>
    <row r="2958" spans="8:31" x14ac:dyDescent="0.2"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  <c r="AA2958" s="5"/>
      <c r="AC2958" t="e">
        <f ca="1">RANK(AB2958,OFFSET($AB$2,0,0,#REF!,1))</f>
        <v>#REF!</v>
      </c>
      <c r="AD2958" s="4" t="e">
        <f>InsurerSize(#REF!)</f>
        <v>#VALUE!</v>
      </c>
      <c r="AE2958" s="4" t="e">
        <f t="shared" si="58"/>
        <v>#VALUE!</v>
      </c>
    </row>
    <row r="2959" spans="8:31" x14ac:dyDescent="0.2"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  <c r="AA2959" s="5"/>
      <c r="AC2959" t="e">
        <f ca="1">RANK(AB2959,OFFSET($AB$2,0,0,#REF!,1))</f>
        <v>#REF!</v>
      </c>
      <c r="AD2959" s="4" t="e">
        <f>InsurerSize(#REF!)</f>
        <v>#VALUE!</v>
      </c>
      <c r="AE2959" s="4" t="e">
        <f t="shared" si="58"/>
        <v>#VALUE!</v>
      </c>
    </row>
    <row r="2960" spans="8:31" x14ac:dyDescent="0.2"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  <c r="AA2960" s="5"/>
      <c r="AC2960" t="e">
        <f ca="1">RANK(AB2960,OFFSET($AB$2,0,0,#REF!,1))</f>
        <v>#REF!</v>
      </c>
      <c r="AD2960" s="4" t="e">
        <f>InsurerSize(#REF!)</f>
        <v>#VALUE!</v>
      </c>
      <c r="AE2960" s="4" t="e">
        <f t="shared" si="58"/>
        <v>#VALUE!</v>
      </c>
    </row>
    <row r="2961" spans="8:31" x14ac:dyDescent="0.2"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  <c r="AA2961" s="5"/>
      <c r="AC2961" t="e">
        <f ca="1">RANK(AB2961,OFFSET($AB$2,0,0,#REF!,1))</f>
        <v>#REF!</v>
      </c>
      <c r="AD2961" s="4" t="e">
        <f>InsurerSize(#REF!)</f>
        <v>#VALUE!</v>
      </c>
      <c r="AE2961" s="4" t="e">
        <f t="shared" si="58"/>
        <v>#VALUE!</v>
      </c>
    </row>
    <row r="2962" spans="8:31" x14ac:dyDescent="0.2"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  <c r="AA2962" s="5"/>
      <c r="AC2962" t="e">
        <f ca="1">RANK(AB2962,OFFSET($AB$2,0,0,#REF!,1))</f>
        <v>#REF!</v>
      </c>
      <c r="AD2962" s="4" t="e">
        <f>InsurerSize(#REF!)</f>
        <v>#VALUE!</v>
      </c>
      <c r="AE2962" s="4" t="e">
        <f t="shared" si="58"/>
        <v>#VALUE!</v>
      </c>
    </row>
    <row r="2963" spans="8:31" x14ac:dyDescent="0.2"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  <c r="AA2963" s="5"/>
      <c r="AC2963" t="e">
        <f ca="1">RANK(AB2963,OFFSET($AB$2,0,0,#REF!,1))</f>
        <v>#REF!</v>
      </c>
      <c r="AD2963" s="4" t="e">
        <f>InsurerSize(#REF!)</f>
        <v>#VALUE!</v>
      </c>
      <c r="AE2963" s="4" t="e">
        <f t="shared" si="58"/>
        <v>#VALUE!</v>
      </c>
    </row>
    <row r="2964" spans="8:31" x14ac:dyDescent="0.2"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  <c r="AA2964" s="5"/>
      <c r="AC2964" t="e">
        <f ca="1">RANK(AB2964,OFFSET($AB$2,0,0,#REF!,1))</f>
        <v>#REF!</v>
      </c>
      <c r="AD2964" s="4" t="e">
        <f>InsurerSize(#REF!)</f>
        <v>#VALUE!</v>
      </c>
      <c r="AE2964" s="4" t="e">
        <f t="shared" si="58"/>
        <v>#VALUE!</v>
      </c>
    </row>
    <row r="2965" spans="8:31" x14ac:dyDescent="0.2"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  <c r="AA2965" s="5"/>
      <c r="AC2965" t="e">
        <f ca="1">RANK(AB2965,OFFSET($AB$2,0,0,#REF!,1))</f>
        <v>#REF!</v>
      </c>
      <c r="AD2965" s="4" t="e">
        <f>InsurerSize(#REF!)</f>
        <v>#VALUE!</v>
      </c>
      <c r="AE2965" s="4" t="e">
        <f t="shared" si="58"/>
        <v>#VALUE!</v>
      </c>
    </row>
    <row r="2966" spans="8:31" x14ac:dyDescent="0.2"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  <c r="AA2966" s="5"/>
      <c r="AC2966" t="e">
        <f ca="1">RANK(AB2966,OFFSET($AB$2,0,0,#REF!,1))</f>
        <v>#REF!</v>
      </c>
      <c r="AD2966" s="4" t="e">
        <f>InsurerSize(#REF!)</f>
        <v>#VALUE!</v>
      </c>
      <c r="AE2966" s="4" t="e">
        <f t="shared" si="58"/>
        <v>#VALUE!</v>
      </c>
    </row>
    <row r="2967" spans="8:31" x14ac:dyDescent="0.2"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  <c r="AA2967" s="5"/>
      <c r="AC2967" t="e">
        <f ca="1">RANK(AB2967,OFFSET($AB$2,0,0,#REF!,1))</f>
        <v>#REF!</v>
      </c>
      <c r="AD2967" s="4" t="e">
        <f>InsurerSize(#REF!)</f>
        <v>#VALUE!</v>
      </c>
      <c r="AE2967" s="4" t="e">
        <f t="shared" si="58"/>
        <v>#VALUE!</v>
      </c>
    </row>
    <row r="2968" spans="8:31" x14ac:dyDescent="0.2"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  <c r="AA2968" s="5"/>
      <c r="AC2968" t="e">
        <f ca="1">RANK(AB2968,OFFSET($AB$2,0,0,#REF!,1))</f>
        <v>#REF!</v>
      </c>
      <c r="AD2968" s="4" t="e">
        <f>InsurerSize(#REF!)</f>
        <v>#VALUE!</v>
      </c>
      <c r="AE2968" s="4" t="e">
        <f t="shared" si="58"/>
        <v>#VALUE!</v>
      </c>
    </row>
    <row r="2969" spans="8:31" x14ac:dyDescent="0.2"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  <c r="AA2969" s="5"/>
      <c r="AC2969" t="e">
        <f ca="1">RANK(AB2969,OFFSET($AB$2,0,0,#REF!,1))</f>
        <v>#REF!</v>
      </c>
      <c r="AD2969" s="4" t="e">
        <f>InsurerSize(#REF!)</f>
        <v>#VALUE!</v>
      </c>
      <c r="AE2969" s="4" t="e">
        <f t="shared" si="58"/>
        <v>#VALUE!</v>
      </c>
    </row>
    <row r="2970" spans="8:31" x14ac:dyDescent="0.2"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5"/>
      <c r="AC2970" t="e">
        <f ca="1">RANK(AB2970,OFFSET($AB$2,0,0,#REF!,1))</f>
        <v>#REF!</v>
      </c>
      <c r="AD2970" s="4" t="e">
        <f>InsurerSize(#REF!)</f>
        <v>#VALUE!</v>
      </c>
      <c r="AE2970" s="4" t="e">
        <f t="shared" si="58"/>
        <v>#VALUE!</v>
      </c>
    </row>
    <row r="2971" spans="8:31" x14ac:dyDescent="0.2"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  <c r="AA2971" s="5"/>
      <c r="AC2971" t="e">
        <f ca="1">RANK(AB2971,OFFSET($AB$2,0,0,#REF!,1))</f>
        <v>#REF!</v>
      </c>
      <c r="AD2971" s="4" t="e">
        <f>InsurerSize(#REF!)</f>
        <v>#VALUE!</v>
      </c>
      <c r="AE2971" s="4" t="e">
        <f t="shared" si="58"/>
        <v>#VALUE!</v>
      </c>
    </row>
    <row r="2972" spans="8:31" x14ac:dyDescent="0.2"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  <c r="AA2972" s="5"/>
      <c r="AC2972" t="e">
        <f ca="1">RANK(AB2972,OFFSET($AB$2,0,0,#REF!,1))</f>
        <v>#REF!</v>
      </c>
      <c r="AD2972" s="4" t="e">
        <f>InsurerSize(#REF!)</f>
        <v>#VALUE!</v>
      </c>
      <c r="AE2972" s="4" t="e">
        <f t="shared" si="58"/>
        <v>#VALUE!</v>
      </c>
    </row>
    <row r="2973" spans="8:31" x14ac:dyDescent="0.2"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  <c r="AA2973" s="5"/>
      <c r="AC2973" t="e">
        <f ca="1">RANK(AB2973,OFFSET($AB$2,0,0,#REF!,1))</f>
        <v>#REF!</v>
      </c>
      <c r="AD2973" s="4" t="e">
        <f>InsurerSize(#REF!)</f>
        <v>#VALUE!</v>
      </c>
      <c r="AE2973" s="4" t="e">
        <f t="shared" si="58"/>
        <v>#VALUE!</v>
      </c>
    </row>
    <row r="2974" spans="8:31" x14ac:dyDescent="0.2"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  <c r="AA2974" s="5"/>
      <c r="AC2974" t="e">
        <f ca="1">RANK(AB2974,OFFSET($AB$2,0,0,#REF!,1))</f>
        <v>#REF!</v>
      </c>
      <c r="AD2974" s="4" t="e">
        <f>InsurerSize(#REF!)</f>
        <v>#VALUE!</v>
      </c>
      <c r="AE2974" s="4" t="e">
        <f t="shared" si="58"/>
        <v>#VALUE!</v>
      </c>
    </row>
    <row r="2975" spans="8:31" x14ac:dyDescent="0.2"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  <c r="AA2975" s="5"/>
      <c r="AC2975" t="e">
        <f ca="1">RANK(AB2975,OFFSET($AB$2,0,0,#REF!,1))</f>
        <v>#REF!</v>
      </c>
      <c r="AD2975" s="4" t="e">
        <f>InsurerSize(#REF!)</f>
        <v>#VALUE!</v>
      </c>
      <c r="AE2975" s="4" t="e">
        <f t="shared" si="58"/>
        <v>#VALUE!</v>
      </c>
    </row>
    <row r="2976" spans="8:31" x14ac:dyDescent="0.2"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  <c r="AA2976" s="5"/>
      <c r="AC2976" t="e">
        <f ca="1">RANK(AB2976,OFFSET($AB$2,0,0,#REF!,1))</f>
        <v>#REF!</v>
      </c>
      <c r="AD2976" s="4" t="e">
        <f>InsurerSize(#REF!)</f>
        <v>#VALUE!</v>
      </c>
      <c r="AE2976" s="4" t="e">
        <f t="shared" si="58"/>
        <v>#VALUE!</v>
      </c>
    </row>
    <row r="2977" spans="8:31" x14ac:dyDescent="0.2"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  <c r="AA2977" s="5"/>
      <c r="AC2977" t="e">
        <f ca="1">RANK(AB2977,OFFSET($AB$2,0,0,#REF!,1))</f>
        <v>#REF!</v>
      </c>
      <c r="AD2977" s="4" t="e">
        <f>InsurerSize(#REF!)</f>
        <v>#VALUE!</v>
      </c>
      <c r="AE2977" s="4" t="e">
        <f t="shared" si="58"/>
        <v>#VALUE!</v>
      </c>
    </row>
    <row r="2978" spans="8:31" x14ac:dyDescent="0.2"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  <c r="AA2978" s="5"/>
      <c r="AC2978" t="e">
        <f ca="1">RANK(AB2978,OFFSET($AB$2,0,0,#REF!,1))</f>
        <v>#REF!</v>
      </c>
      <c r="AD2978" s="4" t="e">
        <f>InsurerSize(#REF!)</f>
        <v>#VALUE!</v>
      </c>
      <c r="AE2978" s="4" t="e">
        <f t="shared" si="58"/>
        <v>#VALUE!</v>
      </c>
    </row>
    <row r="2979" spans="8:31" x14ac:dyDescent="0.2"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  <c r="AA2979" s="5"/>
      <c r="AC2979" t="e">
        <f ca="1">RANK(AB2979,OFFSET($AB$2,0,0,#REF!,1))</f>
        <v>#REF!</v>
      </c>
      <c r="AD2979" s="4" t="e">
        <f>InsurerSize(#REF!)</f>
        <v>#VALUE!</v>
      </c>
      <c r="AE2979" s="4" t="e">
        <f t="shared" si="58"/>
        <v>#VALUE!</v>
      </c>
    </row>
    <row r="2980" spans="8:31" x14ac:dyDescent="0.2"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  <c r="AA2980" s="5"/>
      <c r="AC2980" t="e">
        <f ca="1">RANK(AB2980,OFFSET($AB$2,0,0,#REF!,1))</f>
        <v>#REF!</v>
      </c>
      <c r="AD2980" s="4" t="e">
        <f>InsurerSize(#REF!)</f>
        <v>#VALUE!</v>
      </c>
      <c r="AE2980" s="4" t="e">
        <f t="shared" si="58"/>
        <v>#VALUE!</v>
      </c>
    </row>
    <row r="2981" spans="8:31" x14ac:dyDescent="0.2"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  <c r="AA2981" s="5"/>
      <c r="AC2981" t="e">
        <f ca="1">RANK(AB2981,OFFSET($AB$2,0,0,#REF!,1))</f>
        <v>#REF!</v>
      </c>
      <c r="AD2981" s="4" t="e">
        <f>InsurerSize(#REF!)</f>
        <v>#VALUE!</v>
      </c>
      <c r="AE2981" s="4" t="e">
        <f t="shared" si="58"/>
        <v>#VALUE!</v>
      </c>
    </row>
    <row r="2982" spans="8:31" x14ac:dyDescent="0.2"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  <c r="AA2982" s="5"/>
      <c r="AC2982" t="e">
        <f ca="1">RANK(AB2982,OFFSET($AB$2,0,0,#REF!,1))</f>
        <v>#REF!</v>
      </c>
      <c r="AD2982" s="4" t="e">
        <f>InsurerSize(#REF!)</f>
        <v>#VALUE!</v>
      </c>
      <c r="AE2982" s="4" t="e">
        <f t="shared" si="58"/>
        <v>#VALUE!</v>
      </c>
    </row>
    <row r="2983" spans="8:31" x14ac:dyDescent="0.2"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  <c r="AA2983" s="5"/>
      <c r="AC2983" t="e">
        <f ca="1">RANK(AB2983,OFFSET($AB$2,0,0,#REF!,1))</f>
        <v>#REF!</v>
      </c>
      <c r="AD2983" s="4" t="e">
        <f>InsurerSize(#REF!)</f>
        <v>#VALUE!</v>
      </c>
      <c r="AE2983" s="4" t="e">
        <f t="shared" si="58"/>
        <v>#VALUE!</v>
      </c>
    </row>
    <row r="2984" spans="8:31" x14ac:dyDescent="0.2"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  <c r="AA2984" s="5"/>
      <c r="AC2984" t="e">
        <f ca="1">RANK(AB2984,OFFSET($AB$2,0,0,#REF!,1))</f>
        <v>#REF!</v>
      </c>
      <c r="AD2984" s="4" t="e">
        <f>InsurerSize(#REF!)</f>
        <v>#VALUE!</v>
      </c>
      <c r="AE2984" s="4" t="e">
        <f t="shared" si="58"/>
        <v>#VALUE!</v>
      </c>
    </row>
    <row r="2985" spans="8:31" x14ac:dyDescent="0.2"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  <c r="AA2985" s="5"/>
      <c r="AC2985" t="e">
        <f ca="1">RANK(AB2985,OFFSET($AB$2,0,0,#REF!,1))</f>
        <v>#REF!</v>
      </c>
      <c r="AD2985" s="4" t="e">
        <f>InsurerSize(#REF!)</f>
        <v>#VALUE!</v>
      </c>
      <c r="AE2985" s="4" t="e">
        <f t="shared" si="58"/>
        <v>#VALUE!</v>
      </c>
    </row>
    <row r="2986" spans="8:31" x14ac:dyDescent="0.2"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  <c r="AA2986" s="5"/>
      <c r="AC2986" t="e">
        <f ca="1">RANK(AB2986,OFFSET($AB$2,0,0,#REF!,1))</f>
        <v>#REF!</v>
      </c>
      <c r="AD2986" s="4" t="e">
        <f>InsurerSize(#REF!)</f>
        <v>#VALUE!</v>
      </c>
      <c r="AE2986" s="4" t="e">
        <f t="shared" si="58"/>
        <v>#VALUE!</v>
      </c>
    </row>
    <row r="2987" spans="8:31" x14ac:dyDescent="0.2"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  <c r="AA2987" s="5"/>
      <c r="AC2987" t="e">
        <f ca="1">RANK(AB2987,OFFSET($AB$2,0,0,#REF!,1))</f>
        <v>#REF!</v>
      </c>
      <c r="AD2987" s="4" t="e">
        <f>InsurerSize(#REF!)</f>
        <v>#VALUE!</v>
      </c>
      <c r="AE2987" s="4" t="e">
        <f t="shared" si="58"/>
        <v>#VALUE!</v>
      </c>
    </row>
    <row r="2988" spans="8:31" x14ac:dyDescent="0.2"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  <c r="AA2988" s="5"/>
      <c r="AC2988" t="e">
        <f ca="1">RANK(AB2988,OFFSET($AB$2,0,0,#REF!,1))</f>
        <v>#REF!</v>
      </c>
      <c r="AD2988" s="4" t="e">
        <f>InsurerSize(#REF!)</f>
        <v>#VALUE!</v>
      </c>
      <c r="AE2988" s="4" t="e">
        <f t="shared" si="58"/>
        <v>#VALUE!</v>
      </c>
    </row>
    <row r="2989" spans="8:31" x14ac:dyDescent="0.2"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  <c r="AA2989" s="5"/>
      <c r="AC2989" t="e">
        <f ca="1">RANK(AB2989,OFFSET($AB$2,0,0,#REF!,1))</f>
        <v>#REF!</v>
      </c>
      <c r="AD2989" s="4" t="e">
        <f>InsurerSize(#REF!)</f>
        <v>#VALUE!</v>
      </c>
      <c r="AE2989" s="4" t="e">
        <f t="shared" si="58"/>
        <v>#VALUE!</v>
      </c>
    </row>
    <row r="2990" spans="8:31" x14ac:dyDescent="0.2"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  <c r="AA2990" s="5"/>
      <c r="AC2990" t="e">
        <f ca="1">RANK(AB2990,OFFSET($AB$2,0,0,#REF!,1))</f>
        <v>#REF!</v>
      </c>
      <c r="AD2990" s="4" t="e">
        <f>InsurerSize(#REF!)</f>
        <v>#VALUE!</v>
      </c>
      <c r="AE2990" s="4" t="e">
        <f t="shared" si="58"/>
        <v>#VALUE!</v>
      </c>
    </row>
    <row r="2991" spans="8:31" x14ac:dyDescent="0.2"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  <c r="AA2991" s="5"/>
      <c r="AC2991" t="e">
        <f ca="1">RANK(AB2991,OFFSET($AB$2,0,0,#REF!,1))</f>
        <v>#REF!</v>
      </c>
      <c r="AD2991" s="4" t="e">
        <f>InsurerSize(#REF!)</f>
        <v>#VALUE!</v>
      </c>
      <c r="AE2991" s="4" t="e">
        <f t="shared" si="58"/>
        <v>#VALUE!</v>
      </c>
    </row>
    <row r="2992" spans="8:31" x14ac:dyDescent="0.2"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  <c r="AA2992" s="5"/>
      <c r="AC2992" t="e">
        <f ca="1">RANK(AB2992,OFFSET($AB$2,0,0,#REF!,1))</f>
        <v>#REF!</v>
      </c>
      <c r="AD2992" s="4" t="e">
        <f>InsurerSize(#REF!)</f>
        <v>#VALUE!</v>
      </c>
      <c r="AE2992" s="4" t="e">
        <f t="shared" si="58"/>
        <v>#VALUE!</v>
      </c>
    </row>
    <row r="2993" spans="8:31" x14ac:dyDescent="0.2"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C2993" t="e">
        <f ca="1">RANK(AB2993,OFFSET($AB$2,0,0,#REF!,1))</f>
        <v>#REF!</v>
      </c>
      <c r="AD2993" s="4" t="e">
        <f>InsurerSize(#REF!)</f>
        <v>#VALUE!</v>
      </c>
      <c r="AE2993" s="4" t="e">
        <f t="shared" si="58"/>
        <v>#VALUE!</v>
      </c>
    </row>
    <row r="2994" spans="8:31" x14ac:dyDescent="0.2"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  <c r="AA2994" s="5"/>
      <c r="AC2994" t="e">
        <f ca="1">RANK(AB2994,OFFSET($AB$2,0,0,#REF!,1))</f>
        <v>#REF!</v>
      </c>
      <c r="AD2994" s="4" t="e">
        <f>InsurerSize(#REF!)</f>
        <v>#VALUE!</v>
      </c>
      <c r="AE2994" s="4" t="e">
        <f t="shared" si="58"/>
        <v>#VALUE!</v>
      </c>
    </row>
    <row r="2995" spans="8:31" x14ac:dyDescent="0.2"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  <c r="AA2995" s="5"/>
      <c r="AC2995" t="e">
        <f ca="1">RANK(AB2995,OFFSET($AB$2,0,0,#REF!,1))</f>
        <v>#REF!</v>
      </c>
      <c r="AD2995" s="4" t="e">
        <f>InsurerSize(#REF!)</f>
        <v>#VALUE!</v>
      </c>
      <c r="AE2995" s="4" t="e">
        <f t="shared" si="58"/>
        <v>#VALUE!</v>
      </c>
    </row>
    <row r="2996" spans="8:31" x14ac:dyDescent="0.2"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  <c r="AA2996" s="5"/>
      <c r="AC2996" t="e">
        <f ca="1">RANK(AB2996,OFFSET($AB$2,0,0,#REF!,1))</f>
        <v>#REF!</v>
      </c>
      <c r="AD2996" s="4" t="e">
        <f>InsurerSize(#REF!)</f>
        <v>#VALUE!</v>
      </c>
      <c r="AE2996" s="4" t="e">
        <f t="shared" si="58"/>
        <v>#VALUE!</v>
      </c>
    </row>
    <row r="2997" spans="8:31" x14ac:dyDescent="0.2"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  <c r="AA2997" s="5"/>
      <c r="AC2997" t="e">
        <f ca="1">RANK(AB2997,OFFSET($AB$2,0,0,#REF!,1))</f>
        <v>#REF!</v>
      </c>
      <c r="AD2997" s="4" t="e">
        <f>InsurerSize(#REF!)</f>
        <v>#VALUE!</v>
      </c>
      <c r="AE2997" s="4" t="e">
        <f t="shared" si="58"/>
        <v>#VALUE!</v>
      </c>
    </row>
    <row r="2998" spans="8:31" x14ac:dyDescent="0.2"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  <c r="AA2998" s="5"/>
      <c r="AC2998" t="e">
        <f ca="1">RANK(AB2998,OFFSET($AB$2,0,0,#REF!,1))</f>
        <v>#REF!</v>
      </c>
      <c r="AD2998" s="4" t="e">
        <f>InsurerSize(#REF!)</f>
        <v>#VALUE!</v>
      </c>
      <c r="AE2998" s="4" t="e">
        <f t="shared" si="58"/>
        <v>#VALUE!</v>
      </c>
    </row>
    <row r="2999" spans="8:31" x14ac:dyDescent="0.2"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  <c r="AA2999" s="5"/>
      <c r="AC2999" t="e">
        <f ca="1">RANK(AB2999,OFFSET($AB$2,0,0,#REF!,1))</f>
        <v>#REF!</v>
      </c>
      <c r="AD2999" s="4" t="e">
        <f>InsurerSize(#REF!)</f>
        <v>#VALUE!</v>
      </c>
      <c r="AE2999" s="4" t="e">
        <f t="shared" si="58"/>
        <v>#VALUE!</v>
      </c>
    </row>
    <row r="3000" spans="8:31" x14ac:dyDescent="0.2"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  <c r="AA3000" s="5"/>
      <c r="AC3000" t="e">
        <f ca="1">RANK(AB3000,OFFSET($AB$2,0,0,#REF!,1))</f>
        <v>#REF!</v>
      </c>
      <c r="AD3000" s="4" t="e">
        <f>InsurerSize(#REF!)</f>
        <v>#VALUE!</v>
      </c>
      <c r="AE3000" s="4" t="e">
        <f t="shared" si="58"/>
        <v>#VALUE!</v>
      </c>
    </row>
    <row r="3001" spans="8:31" x14ac:dyDescent="0.2"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  <c r="AA3001" s="5"/>
      <c r="AC3001" t="e">
        <f ca="1">RANK(AB3001,OFFSET($AB$2,0,0,#REF!,1))</f>
        <v>#REF!</v>
      </c>
      <c r="AD3001" s="4" t="e">
        <f>InsurerSize(#REF!)</f>
        <v>#VALUE!</v>
      </c>
      <c r="AE3001" s="4" t="e">
        <f t="shared" si="58"/>
        <v>#VALUE!</v>
      </c>
    </row>
    <row r="3002" spans="8:31" x14ac:dyDescent="0.2"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  <c r="AC3002" t="e">
        <f ca="1">RANK(AB3002,OFFSET($AB$2,0,0,#REF!,1))</f>
        <v>#REF!</v>
      </c>
      <c r="AD3002" s="4" t="e">
        <f>InsurerSize(#REF!)</f>
        <v>#VALUE!</v>
      </c>
      <c r="AE3002" s="4" t="e">
        <f t="shared" si="58"/>
        <v>#VALUE!</v>
      </c>
    </row>
    <row r="3003" spans="8:31" x14ac:dyDescent="0.2"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  <c r="AC3003" t="e">
        <f ca="1">RANK(AB3003,OFFSET($AB$2,0,0,#REF!,1))</f>
        <v>#REF!</v>
      </c>
      <c r="AD3003" s="4" t="e">
        <f>InsurerSize(#REF!)</f>
        <v>#VALUE!</v>
      </c>
      <c r="AE3003" s="4" t="e">
        <f t="shared" si="58"/>
        <v>#VALUE!</v>
      </c>
    </row>
    <row r="3004" spans="8:31" x14ac:dyDescent="0.2"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  <c r="AC3004" t="e">
        <f ca="1">RANK(AB3004,OFFSET($AB$2,0,0,#REF!,1))</f>
        <v>#REF!</v>
      </c>
      <c r="AD3004" s="4" t="e">
        <f>InsurerSize(#REF!)</f>
        <v>#VALUE!</v>
      </c>
      <c r="AE3004" s="4" t="e">
        <f t="shared" si="58"/>
        <v>#VALUE!</v>
      </c>
    </row>
    <row r="3005" spans="8:31" x14ac:dyDescent="0.2"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  <c r="AC3005" t="e">
        <f ca="1">RANK(AB3005,OFFSET($AB$2,0,0,#REF!,1))</f>
        <v>#REF!</v>
      </c>
      <c r="AD3005" s="4" t="e">
        <f>InsurerSize(#REF!)</f>
        <v>#VALUE!</v>
      </c>
      <c r="AE3005" s="4" t="e">
        <f t="shared" si="58"/>
        <v>#VALUE!</v>
      </c>
    </row>
    <row r="3006" spans="8:31" x14ac:dyDescent="0.2"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  <c r="AC3006" t="e">
        <f ca="1">RANK(AB3006,OFFSET($AB$2,0,0,#REF!,1))</f>
        <v>#REF!</v>
      </c>
      <c r="AD3006" s="4" t="e">
        <f>InsurerSize(#REF!)</f>
        <v>#VALUE!</v>
      </c>
      <c r="AE3006" s="4" t="e">
        <f t="shared" si="58"/>
        <v>#VALUE!</v>
      </c>
    </row>
    <row r="3007" spans="8:31" x14ac:dyDescent="0.2"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  <c r="AC3007" t="e">
        <f ca="1">RANK(AB3007,OFFSET($AB$2,0,0,#REF!,1))</f>
        <v>#REF!</v>
      </c>
      <c r="AD3007" s="4" t="e">
        <f>InsurerSize(#REF!)</f>
        <v>#VALUE!</v>
      </c>
      <c r="AE3007" s="4" t="e">
        <f t="shared" si="58"/>
        <v>#VALUE!</v>
      </c>
    </row>
    <row r="3008" spans="8:31" x14ac:dyDescent="0.2"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  <c r="AC3008" t="e">
        <f ca="1">RANK(AB3008,OFFSET($AB$2,0,0,#REF!,1))</f>
        <v>#REF!</v>
      </c>
      <c r="AD3008" s="4" t="e">
        <f>InsurerSize(#REF!)</f>
        <v>#VALUE!</v>
      </c>
      <c r="AE3008" s="4" t="e">
        <f t="shared" si="58"/>
        <v>#VALUE!</v>
      </c>
    </row>
    <row r="3009" spans="8:31" x14ac:dyDescent="0.2"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  <c r="AC3009" t="e">
        <f ca="1">RANK(AB3009,OFFSET($AB$2,0,0,#REF!,1))</f>
        <v>#REF!</v>
      </c>
      <c r="AD3009" s="4" t="e">
        <f>InsurerSize(#REF!)</f>
        <v>#VALUE!</v>
      </c>
      <c r="AE3009" s="4" t="e">
        <f t="shared" si="58"/>
        <v>#VALUE!</v>
      </c>
    </row>
    <row r="3010" spans="8:31" x14ac:dyDescent="0.2"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  <c r="AC3010" t="e">
        <f ca="1">RANK(AB3010,OFFSET($AB$2,0,0,#REF!,1))</f>
        <v>#REF!</v>
      </c>
      <c r="AD3010" s="4" t="e">
        <f>InsurerSize(#REF!)</f>
        <v>#VALUE!</v>
      </c>
      <c r="AE3010" s="4" t="e">
        <f t="shared" ref="AE3010:AE3073" si="59">A3010&amp;AD3010</f>
        <v>#VALUE!</v>
      </c>
    </row>
    <row r="3011" spans="8:31" x14ac:dyDescent="0.2"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  <c r="AC3011" t="e">
        <f ca="1">RANK(AB3011,OFFSET($AB$2,0,0,#REF!,1))</f>
        <v>#REF!</v>
      </c>
      <c r="AD3011" s="4" t="e">
        <f>InsurerSize(#REF!)</f>
        <v>#VALUE!</v>
      </c>
      <c r="AE3011" s="4" t="e">
        <f t="shared" si="59"/>
        <v>#VALUE!</v>
      </c>
    </row>
    <row r="3012" spans="8:31" x14ac:dyDescent="0.2"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  <c r="AC3012" t="e">
        <f ca="1">RANK(AB3012,OFFSET($AB$2,0,0,#REF!,1))</f>
        <v>#REF!</v>
      </c>
      <c r="AD3012" s="4" t="e">
        <f>InsurerSize(#REF!)</f>
        <v>#VALUE!</v>
      </c>
      <c r="AE3012" s="4" t="e">
        <f t="shared" si="59"/>
        <v>#VALUE!</v>
      </c>
    </row>
    <row r="3013" spans="8:31" x14ac:dyDescent="0.2"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C3013" t="e">
        <f ca="1">RANK(AB3013,OFFSET($AB$2,0,0,#REF!,1))</f>
        <v>#REF!</v>
      </c>
      <c r="AD3013" s="4" t="e">
        <f>InsurerSize(#REF!)</f>
        <v>#VALUE!</v>
      </c>
      <c r="AE3013" s="4" t="e">
        <f t="shared" si="59"/>
        <v>#VALUE!</v>
      </c>
    </row>
    <row r="3014" spans="8:31" x14ac:dyDescent="0.2"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  <c r="AC3014" t="e">
        <f ca="1">RANK(AB3014,OFFSET($AB$2,0,0,#REF!,1))</f>
        <v>#REF!</v>
      </c>
      <c r="AD3014" s="4" t="e">
        <f>InsurerSize(#REF!)</f>
        <v>#VALUE!</v>
      </c>
      <c r="AE3014" s="4" t="e">
        <f t="shared" si="59"/>
        <v>#VALUE!</v>
      </c>
    </row>
    <row r="3015" spans="8:31" x14ac:dyDescent="0.2"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  <c r="AC3015" t="e">
        <f ca="1">RANK(AB3015,OFFSET($AB$2,0,0,#REF!,1))</f>
        <v>#REF!</v>
      </c>
      <c r="AD3015" s="4" t="e">
        <f>InsurerSize(#REF!)</f>
        <v>#VALUE!</v>
      </c>
      <c r="AE3015" s="4" t="e">
        <f t="shared" si="59"/>
        <v>#VALUE!</v>
      </c>
    </row>
    <row r="3016" spans="8:31" x14ac:dyDescent="0.2"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  <c r="AC3016" t="e">
        <f ca="1">RANK(AB3016,OFFSET($AB$2,0,0,#REF!,1))</f>
        <v>#REF!</v>
      </c>
      <c r="AD3016" s="4" t="e">
        <f>InsurerSize(#REF!)</f>
        <v>#VALUE!</v>
      </c>
      <c r="AE3016" s="4" t="e">
        <f t="shared" si="59"/>
        <v>#VALUE!</v>
      </c>
    </row>
    <row r="3017" spans="8:31" x14ac:dyDescent="0.2"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  <c r="AC3017" t="e">
        <f ca="1">RANK(AB3017,OFFSET($AB$2,0,0,#REF!,1))</f>
        <v>#REF!</v>
      </c>
      <c r="AD3017" s="4" t="e">
        <f>InsurerSize(#REF!)</f>
        <v>#VALUE!</v>
      </c>
      <c r="AE3017" s="4" t="e">
        <f t="shared" si="59"/>
        <v>#VALUE!</v>
      </c>
    </row>
    <row r="3018" spans="8:31" x14ac:dyDescent="0.2"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  <c r="AC3018" t="e">
        <f ca="1">RANK(AB3018,OFFSET($AB$2,0,0,#REF!,1))</f>
        <v>#REF!</v>
      </c>
      <c r="AD3018" s="4" t="e">
        <f>InsurerSize(#REF!)</f>
        <v>#VALUE!</v>
      </c>
      <c r="AE3018" s="4" t="e">
        <f t="shared" si="59"/>
        <v>#VALUE!</v>
      </c>
    </row>
    <row r="3019" spans="8:31" x14ac:dyDescent="0.2"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  <c r="AC3019" t="e">
        <f ca="1">RANK(AB3019,OFFSET($AB$2,0,0,#REF!,1))</f>
        <v>#REF!</v>
      </c>
      <c r="AD3019" s="4" t="e">
        <f>InsurerSize(#REF!)</f>
        <v>#VALUE!</v>
      </c>
      <c r="AE3019" s="4" t="e">
        <f t="shared" si="59"/>
        <v>#VALUE!</v>
      </c>
    </row>
    <row r="3020" spans="8:31" x14ac:dyDescent="0.2"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  <c r="AC3020" t="e">
        <f ca="1">RANK(AB3020,OFFSET($AB$2,0,0,#REF!,1))</f>
        <v>#REF!</v>
      </c>
      <c r="AD3020" s="4" t="e">
        <f>InsurerSize(#REF!)</f>
        <v>#VALUE!</v>
      </c>
      <c r="AE3020" s="4" t="e">
        <f t="shared" si="59"/>
        <v>#VALUE!</v>
      </c>
    </row>
    <row r="3021" spans="8:31" x14ac:dyDescent="0.2"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  <c r="AC3021" t="e">
        <f ca="1">RANK(AB3021,OFFSET($AB$2,0,0,#REF!,1))</f>
        <v>#REF!</v>
      </c>
      <c r="AD3021" s="4" t="e">
        <f>InsurerSize(#REF!)</f>
        <v>#VALUE!</v>
      </c>
      <c r="AE3021" s="4" t="e">
        <f t="shared" si="59"/>
        <v>#VALUE!</v>
      </c>
    </row>
    <row r="3022" spans="8:31" x14ac:dyDescent="0.2"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  <c r="AA3022" s="5"/>
      <c r="AC3022" t="e">
        <f ca="1">RANK(AB3022,OFFSET($AB$2,0,0,#REF!,1))</f>
        <v>#REF!</v>
      </c>
      <c r="AD3022" s="4" t="e">
        <f>InsurerSize(#REF!)</f>
        <v>#VALUE!</v>
      </c>
      <c r="AE3022" s="4" t="e">
        <f t="shared" si="59"/>
        <v>#VALUE!</v>
      </c>
    </row>
    <row r="3023" spans="8:31" x14ac:dyDescent="0.2"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  <c r="AC3023" t="e">
        <f ca="1">RANK(AB3023,OFFSET($AB$2,0,0,#REF!,1))</f>
        <v>#REF!</v>
      </c>
      <c r="AD3023" s="4" t="e">
        <f>InsurerSize(#REF!)</f>
        <v>#VALUE!</v>
      </c>
      <c r="AE3023" s="4" t="e">
        <f t="shared" si="59"/>
        <v>#VALUE!</v>
      </c>
    </row>
    <row r="3024" spans="8:31" x14ac:dyDescent="0.2"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  <c r="AC3024" t="e">
        <f ca="1">RANK(AB3024,OFFSET($AB$2,0,0,#REF!,1))</f>
        <v>#REF!</v>
      </c>
      <c r="AD3024" s="4" t="e">
        <f>InsurerSize(#REF!)</f>
        <v>#VALUE!</v>
      </c>
      <c r="AE3024" s="4" t="e">
        <f t="shared" si="59"/>
        <v>#VALUE!</v>
      </c>
    </row>
    <row r="3025" spans="8:31" x14ac:dyDescent="0.2"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  <c r="AC3025" t="e">
        <f ca="1">RANK(AB3025,OFFSET($AB$2,0,0,#REF!,1))</f>
        <v>#REF!</v>
      </c>
      <c r="AD3025" s="4" t="e">
        <f>InsurerSize(#REF!)</f>
        <v>#VALUE!</v>
      </c>
      <c r="AE3025" s="4" t="e">
        <f t="shared" si="59"/>
        <v>#VALUE!</v>
      </c>
    </row>
    <row r="3026" spans="8:31" x14ac:dyDescent="0.2"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  <c r="AA3026" s="5"/>
      <c r="AC3026" t="e">
        <f ca="1">RANK(AB3026,OFFSET($AB$2,0,0,#REF!,1))</f>
        <v>#REF!</v>
      </c>
      <c r="AD3026" s="4" t="e">
        <f>InsurerSize(#REF!)</f>
        <v>#VALUE!</v>
      </c>
      <c r="AE3026" s="4" t="e">
        <f t="shared" si="59"/>
        <v>#VALUE!</v>
      </c>
    </row>
    <row r="3027" spans="8:31" x14ac:dyDescent="0.2"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  <c r="AC3027" t="e">
        <f ca="1">RANK(AB3027,OFFSET($AB$2,0,0,#REF!,1))</f>
        <v>#REF!</v>
      </c>
      <c r="AD3027" s="4" t="e">
        <f>InsurerSize(#REF!)</f>
        <v>#VALUE!</v>
      </c>
      <c r="AE3027" s="4" t="e">
        <f t="shared" si="59"/>
        <v>#VALUE!</v>
      </c>
    </row>
    <row r="3028" spans="8:31" x14ac:dyDescent="0.2"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  <c r="AC3028" t="e">
        <f ca="1">RANK(AB3028,OFFSET($AB$2,0,0,#REF!,1))</f>
        <v>#REF!</v>
      </c>
      <c r="AD3028" s="4" t="e">
        <f>InsurerSize(#REF!)</f>
        <v>#VALUE!</v>
      </c>
      <c r="AE3028" s="4" t="e">
        <f t="shared" si="59"/>
        <v>#VALUE!</v>
      </c>
    </row>
    <row r="3029" spans="8:31" x14ac:dyDescent="0.2"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C3029" t="e">
        <f ca="1">RANK(AB3029,OFFSET($AB$2,0,0,#REF!,1))</f>
        <v>#REF!</v>
      </c>
      <c r="AD3029" s="4" t="e">
        <f>InsurerSize(#REF!)</f>
        <v>#VALUE!</v>
      </c>
      <c r="AE3029" s="4" t="e">
        <f t="shared" si="59"/>
        <v>#VALUE!</v>
      </c>
    </row>
    <row r="3030" spans="8:31" x14ac:dyDescent="0.2"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  <c r="AC3030" t="e">
        <f ca="1">RANK(AB3030,OFFSET($AB$2,0,0,#REF!,1))</f>
        <v>#REF!</v>
      </c>
      <c r="AD3030" s="4" t="e">
        <f>InsurerSize(#REF!)</f>
        <v>#VALUE!</v>
      </c>
      <c r="AE3030" s="4" t="e">
        <f t="shared" si="59"/>
        <v>#VALUE!</v>
      </c>
    </row>
    <row r="3031" spans="8:31" x14ac:dyDescent="0.2"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  <c r="AC3031" t="e">
        <f ca="1">RANK(AB3031,OFFSET($AB$2,0,0,#REF!,1))</f>
        <v>#REF!</v>
      </c>
      <c r="AD3031" s="4" t="e">
        <f>InsurerSize(#REF!)</f>
        <v>#VALUE!</v>
      </c>
      <c r="AE3031" s="4" t="e">
        <f t="shared" si="59"/>
        <v>#VALUE!</v>
      </c>
    </row>
    <row r="3032" spans="8:31" x14ac:dyDescent="0.2"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  <c r="AC3032" t="e">
        <f ca="1">RANK(AB3032,OFFSET($AB$2,0,0,#REF!,1))</f>
        <v>#REF!</v>
      </c>
      <c r="AD3032" s="4" t="e">
        <f>InsurerSize(#REF!)</f>
        <v>#VALUE!</v>
      </c>
      <c r="AE3032" s="4" t="e">
        <f t="shared" si="59"/>
        <v>#VALUE!</v>
      </c>
    </row>
    <row r="3033" spans="8:31" x14ac:dyDescent="0.2"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  <c r="AC3033" t="e">
        <f ca="1">RANK(AB3033,OFFSET($AB$2,0,0,#REF!,1))</f>
        <v>#REF!</v>
      </c>
      <c r="AD3033" s="4" t="e">
        <f>InsurerSize(#REF!)</f>
        <v>#VALUE!</v>
      </c>
      <c r="AE3033" s="4" t="e">
        <f t="shared" si="59"/>
        <v>#VALUE!</v>
      </c>
    </row>
    <row r="3034" spans="8:31" x14ac:dyDescent="0.2"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  <c r="AA3034" s="5"/>
      <c r="AC3034" t="e">
        <f ca="1">RANK(AB3034,OFFSET($AB$2,0,0,#REF!,1))</f>
        <v>#REF!</v>
      </c>
      <c r="AD3034" s="4" t="e">
        <f>InsurerSize(#REF!)</f>
        <v>#VALUE!</v>
      </c>
      <c r="AE3034" s="4" t="e">
        <f t="shared" si="59"/>
        <v>#VALUE!</v>
      </c>
    </row>
    <row r="3035" spans="8:31" x14ac:dyDescent="0.2"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  <c r="AC3035" t="e">
        <f ca="1">RANK(AB3035,OFFSET($AB$2,0,0,#REF!,1))</f>
        <v>#REF!</v>
      </c>
      <c r="AD3035" s="4" t="e">
        <f>InsurerSize(#REF!)</f>
        <v>#VALUE!</v>
      </c>
      <c r="AE3035" s="4" t="e">
        <f t="shared" si="59"/>
        <v>#VALUE!</v>
      </c>
    </row>
    <row r="3036" spans="8:31" x14ac:dyDescent="0.2"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  <c r="AC3036" t="e">
        <f ca="1">RANK(AB3036,OFFSET($AB$2,0,0,#REF!,1))</f>
        <v>#REF!</v>
      </c>
      <c r="AD3036" s="4" t="e">
        <f>InsurerSize(#REF!)</f>
        <v>#VALUE!</v>
      </c>
      <c r="AE3036" s="4" t="e">
        <f t="shared" si="59"/>
        <v>#VALUE!</v>
      </c>
    </row>
    <row r="3037" spans="8:31" x14ac:dyDescent="0.2"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  <c r="AC3037" t="e">
        <f ca="1">RANK(AB3037,OFFSET($AB$2,0,0,#REF!,1))</f>
        <v>#REF!</v>
      </c>
      <c r="AD3037" s="4" t="e">
        <f>InsurerSize(#REF!)</f>
        <v>#VALUE!</v>
      </c>
      <c r="AE3037" s="4" t="e">
        <f t="shared" si="59"/>
        <v>#VALUE!</v>
      </c>
    </row>
    <row r="3038" spans="8:31" x14ac:dyDescent="0.2"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  <c r="AC3038" t="e">
        <f ca="1">RANK(AB3038,OFFSET($AB$2,0,0,#REF!,1))</f>
        <v>#REF!</v>
      </c>
      <c r="AD3038" s="4" t="e">
        <f>InsurerSize(#REF!)</f>
        <v>#VALUE!</v>
      </c>
      <c r="AE3038" s="4" t="e">
        <f t="shared" si="59"/>
        <v>#VALUE!</v>
      </c>
    </row>
    <row r="3039" spans="8:31" x14ac:dyDescent="0.2"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  <c r="AC3039" t="e">
        <f ca="1">RANK(AB3039,OFFSET($AB$2,0,0,#REF!,1))</f>
        <v>#REF!</v>
      </c>
      <c r="AD3039" s="4" t="e">
        <f>InsurerSize(#REF!)</f>
        <v>#VALUE!</v>
      </c>
      <c r="AE3039" s="4" t="e">
        <f t="shared" si="59"/>
        <v>#VALUE!</v>
      </c>
    </row>
    <row r="3040" spans="8:31" x14ac:dyDescent="0.2"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  <c r="AC3040" t="e">
        <f ca="1">RANK(AB3040,OFFSET($AB$2,0,0,#REF!,1))</f>
        <v>#REF!</v>
      </c>
      <c r="AD3040" s="4" t="e">
        <f>InsurerSize(#REF!)</f>
        <v>#VALUE!</v>
      </c>
      <c r="AE3040" s="4" t="e">
        <f t="shared" si="59"/>
        <v>#VALUE!</v>
      </c>
    </row>
    <row r="3041" spans="8:31" x14ac:dyDescent="0.2"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  <c r="AC3041" t="e">
        <f ca="1">RANK(AB3041,OFFSET($AB$2,0,0,#REF!,1))</f>
        <v>#REF!</v>
      </c>
      <c r="AD3041" s="4" t="e">
        <f>InsurerSize(#REF!)</f>
        <v>#VALUE!</v>
      </c>
      <c r="AE3041" s="4" t="e">
        <f t="shared" si="59"/>
        <v>#VALUE!</v>
      </c>
    </row>
    <row r="3042" spans="8:31" x14ac:dyDescent="0.2"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  <c r="AC3042" t="e">
        <f ca="1">RANK(AB3042,OFFSET($AB$2,0,0,#REF!,1))</f>
        <v>#REF!</v>
      </c>
      <c r="AD3042" s="4" t="e">
        <f>InsurerSize(#REF!)</f>
        <v>#VALUE!</v>
      </c>
      <c r="AE3042" s="4" t="e">
        <f t="shared" si="59"/>
        <v>#VALUE!</v>
      </c>
    </row>
    <row r="3043" spans="8:31" x14ac:dyDescent="0.2"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  <c r="AC3043" t="e">
        <f ca="1">RANK(AB3043,OFFSET($AB$2,0,0,#REF!,1))</f>
        <v>#REF!</v>
      </c>
      <c r="AD3043" s="4" t="e">
        <f>InsurerSize(#REF!)</f>
        <v>#VALUE!</v>
      </c>
      <c r="AE3043" s="4" t="e">
        <f t="shared" si="59"/>
        <v>#VALUE!</v>
      </c>
    </row>
    <row r="3044" spans="8:31" x14ac:dyDescent="0.2"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  <c r="AC3044" t="e">
        <f ca="1">RANK(AB3044,OFFSET($AB$2,0,0,#REF!,1))</f>
        <v>#REF!</v>
      </c>
      <c r="AD3044" s="4" t="e">
        <f>InsurerSize(#REF!)</f>
        <v>#VALUE!</v>
      </c>
      <c r="AE3044" s="4" t="e">
        <f t="shared" si="59"/>
        <v>#VALUE!</v>
      </c>
    </row>
    <row r="3045" spans="8:31" x14ac:dyDescent="0.2"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  <c r="AC3045" t="e">
        <f ca="1">RANK(AB3045,OFFSET($AB$2,0,0,#REF!,1))</f>
        <v>#REF!</v>
      </c>
      <c r="AD3045" s="4" t="e">
        <f>InsurerSize(#REF!)</f>
        <v>#VALUE!</v>
      </c>
      <c r="AE3045" s="4" t="e">
        <f t="shared" si="59"/>
        <v>#VALUE!</v>
      </c>
    </row>
    <row r="3046" spans="8:31" x14ac:dyDescent="0.2"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  <c r="AC3046" t="e">
        <f ca="1">RANK(AB3046,OFFSET($AB$2,0,0,#REF!,1))</f>
        <v>#REF!</v>
      </c>
      <c r="AD3046" s="4" t="e">
        <f>InsurerSize(#REF!)</f>
        <v>#VALUE!</v>
      </c>
      <c r="AE3046" s="4" t="e">
        <f t="shared" si="59"/>
        <v>#VALUE!</v>
      </c>
    </row>
    <row r="3047" spans="8:31" x14ac:dyDescent="0.2"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  <c r="AC3047" t="e">
        <f ca="1">RANK(AB3047,OFFSET($AB$2,0,0,#REF!,1))</f>
        <v>#REF!</v>
      </c>
      <c r="AD3047" s="4" t="e">
        <f>InsurerSize(#REF!)</f>
        <v>#VALUE!</v>
      </c>
      <c r="AE3047" s="4" t="e">
        <f t="shared" si="59"/>
        <v>#VALUE!</v>
      </c>
    </row>
    <row r="3048" spans="8:31" x14ac:dyDescent="0.2"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  <c r="AC3048" t="e">
        <f ca="1">RANK(AB3048,OFFSET($AB$2,0,0,#REF!,1))</f>
        <v>#REF!</v>
      </c>
      <c r="AD3048" s="4" t="e">
        <f>InsurerSize(#REF!)</f>
        <v>#VALUE!</v>
      </c>
      <c r="AE3048" s="4" t="e">
        <f t="shared" si="59"/>
        <v>#VALUE!</v>
      </c>
    </row>
    <row r="3049" spans="8:31" x14ac:dyDescent="0.2"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  <c r="AC3049" t="e">
        <f ca="1">RANK(AB3049,OFFSET($AB$2,0,0,#REF!,1))</f>
        <v>#REF!</v>
      </c>
      <c r="AD3049" s="4" t="e">
        <f>InsurerSize(#REF!)</f>
        <v>#VALUE!</v>
      </c>
      <c r="AE3049" s="4" t="e">
        <f t="shared" si="59"/>
        <v>#VALUE!</v>
      </c>
    </row>
    <row r="3050" spans="8:31" x14ac:dyDescent="0.2"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  <c r="AC3050" t="e">
        <f ca="1">RANK(AB3050,OFFSET($AB$2,0,0,#REF!,1))</f>
        <v>#REF!</v>
      </c>
      <c r="AD3050" s="4" t="e">
        <f>InsurerSize(#REF!)</f>
        <v>#VALUE!</v>
      </c>
      <c r="AE3050" s="4" t="e">
        <f t="shared" si="59"/>
        <v>#VALUE!</v>
      </c>
    </row>
    <row r="3051" spans="8:31" x14ac:dyDescent="0.2"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  <c r="AA3051" s="5"/>
      <c r="AC3051" t="e">
        <f ca="1">RANK(AB3051,OFFSET($AB$2,0,0,#REF!,1))</f>
        <v>#REF!</v>
      </c>
      <c r="AD3051" s="4" t="e">
        <f>InsurerSize(#REF!)</f>
        <v>#VALUE!</v>
      </c>
      <c r="AE3051" s="4" t="e">
        <f t="shared" si="59"/>
        <v>#VALUE!</v>
      </c>
    </row>
    <row r="3052" spans="8:31" x14ac:dyDescent="0.2"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  <c r="AA3052" s="5"/>
      <c r="AC3052" t="e">
        <f ca="1">RANK(AB3052,OFFSET($AB$2,0,0,#REF!,1))</f>
        <v>#REF!</v>
      </c>
      <c r="AD3052" s="4" t="e">
        <f>InsurerSize(#REF!)</f>
        <v>#VALUE!</v>
      </c>
      <c r="AE3052" s="4" t="e">
        <f t="shared" si="59"/>
        <v>#VALUE!</v>
      </c>
    </row>
    <row r="3053" spans="8:31" x14ac:dyDescent="0.2"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  <c r="AC3053" t="e">
        <f ca="1">RANK(AB3053,OFFSET($AB$2,0,0,#REF!,1))</f>
        <v>#REF!</v>
      </c>
      <c r="AD3053" s="4" t="e">
        <f>InsurerSize(#REF!)</f>
        <v>#VALUE!</v>
      </c>
      <c r="AE3053" s="4" t="e">
        <f t="shared" si="59"/>
        <v>#VALUE!</v>
      </c>
    </row>
    <row r="3054" spans="8:31" x14ac:dyDescent="0.2"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  <c r="AC3054" t="e">
        <f ca="1">RANK(AB3054,OFFSET($AB$2,0,0,#REF!,1))</f>
        <v>#REF!</v>
      </c>
      <c r="AD3054" s="4" t="e">
        <f>InsurerSize(#REF!)</f>
        <v>#VALUE!</v>
      </c>
      <c r="AE3054" s="4" t="e">
        <f t="shared" si="59"/>
        <v>#VALUE!</v>
      </c>
    </row>
    <row r="3055" spans="8:31" x14ac:dyDescent="0.2"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  <c r="AC3055" t="e">
        <f ca="1">RANK(AB3055,OFFSET($AB$2,0,0,#REF!,1))</f>
        <v>#REF!</v>
      </c>
      <c r="AD3055" s="4" t="e">
        <f>InsurerSize(#REF!)</f>
        <v>#VALUE!</v>
      </c>
      <c r="AE3055" s="4" t="e">
        <f t="shared" si="59"/>
        <v>#VALUE!</v>
      </c>
    </row>
    <row r="3056" spans="8:31" x14ac:dyDescent="0.2"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C3056" t="e">
        <f ca="1">RANK(AB3056,OFFSET($AB$2,0,0,#REF!,1))</f>
        <v>#REF!</v>
      </c>
      <c r="AD3056" s="4" t="e">
        <f>InsurerSize(#REF!)</f>
        <v>#VALUE!</v>
      </c>
      <c r="AE3056" s="4" t="e">
        <f t="shared" si="59"/>
        <v>#VALUE!</v>
      </c>
    </row>
    <row r="3057" spans="8:31" x14ac:dyDescent="0.2"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  <c r="AA3057" s="5"/>
      <c r="AC3057" t="e">
        <f ca="1">RANK(AB3057,OFFSET($AB$2,0,0,#REF!,1))</f>
        <v>#REF!</v>
      </c>
      <c r="AD3057" s="4" t="e">
        <f>InsurerSize(#REF!)</f>
        <v>#VALUE!</v>
      </c>
      <c r="AE3057" s="4" t="e">
        <f t="shared" si="59"/>
        <v>#VALUE!</v>
      </c>
    </row>
    <row r="3058" spans="8:31" x14ac:dyDescent="0.2"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  <c r="AA3058" s="5"/>
      <c r="AC3058" t="e">
        <f ca="1">RANK(AB3058,OFFSET($AB$2,0,0,#REF!,1))</f>
        <v>#REF!</v>
      </c>
      <c r="AD3058" s="4" t="e">
        <f>InsurerSize(#REF!)</f>
        <v>#VALUE!</v>
      </c>
      <c r="AE3058" s="4" t="e">
        <f t="shared" si="59"/>
        <v>#VALUE!</v>
      </c>
    </row>
    <row r="3059" spans="8:31" x14ac:dyDescent="0.2"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  <c r="AC3059" t="e">
        <f ca="1">RANK(AB3059,OFFSET($AB$2,0,0,#REF!,1))</f>
        <v>#REF!</v>
      </c>
      <c r="AD3059" s="4" t="e">
        <f>InsurerSize(#REF!)</f>
        <v>#VALUE!</v>
      </c>
      <c r="AE3059" s="4" t="e">
        <f t="shared" si="59"/>
        <v>#VALUE!</v>
      </c>
    </row>
    <row r="3060" spans="8:31" x14ac:dyDescent="0.2"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  <c r="AC3060" t="e">
        <f ca="1">RANK(AB3060,OFFSET($AB$2,0,0,#REF!,1))</f>
        <v>#REF!</v>
      </c>
      <c r="AD3060" s="4" t="e">
        <f>InsurerSize(#REF!)</f>
        <v>#VALUE!</v>
      </c>
      <c r="AE3060" s="4" t="e">
        <f t="shared" si="59"/>
        <v>#VALUE!</v>
      </c>
    </row>
    <row r="3061" spans="8:31" x14ac:dyDescent="0.2"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  <c r="AA3061" s="5"/>
      <c r="AC3061" t="e">
        <f ca="1">RANK(AB3061,OFFSET($AB$2,0,0,#REF!,1))</f>
        <v>#REF!</v>
      </c>
      <c r="AD3061" s="4" t="e">
        <f>InsurerSize(#REF!)</f>
        <v>#VALUE!</v>
      </c>
      <c r="AE3061" s="4" t="e">
        <f t="shared" si="59"/>
        <v>#VALUE!</v>
      </c>
    </row>
    <row r="3062" spans="8:31" x14ac:dyDescent="0.2"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  <c r="AA3062" s="5"/>
      <c r="AC3062" t="e">
        <f ca="1">RANK(AB3062,OFFSET($AB$2,0,0,#REF!,1))</f>
        <v>#REF!</v>
      </c>
      <c r="AD3062" s="4" t="e">
        <f>InsurerSize(#REF!)</f>
        <v>#VALUE!</v>
      </c>
      <c r="AE3062" s="4" t="e">
        <f t="shared" si="59"/>
        <v>#VALUE!</v>
      </c>
    </row>
    <row r="3063" spans="8:31" x14ac:dyDescent="0.2"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  <c r="AA3063" s="5"/>
      <c r="AC3063" t="e">
        <f ca="1">RANK(AB3063,OFFSET($AB$2,0,0,#REF!,1))</f>
        <v>#REF!</v>
      </c>
      <c r="AD3063" s="4" t="e">
        <f>InsurerSize(#REF!)</f>
        <v>#VALUE!</v>
      </c>
      <c r="AE3063" s="4" t="e">
        <f t="shared" si="59"/>
        <v>#VALUE!</v>
      </c>
    </row>
    <row r="3064" spans="8:31" x14ac:dyDescent="0.2"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  <c r="AA3064" s="5"/>
      <c r="AC3064" t="e">
        <f ca="1">RANK(AB3064,OFFSET($AB$2,0,0,#REF!,1))</f>
        <v>#REF!</v>
      </c>
      <c r="AD3064" s="4" t="e">
        <f>InsurerSize(#REF!)</f>
        <v>#VALUE!</v>
      </c>
      <c r="AE3064" s="4" t="e">
        <f t="shared" si="59"/>
        <v>#VALUE!</v>
      </c>
    </row>
    <row r="3065" spans="8:31" x14ac:dyDescent="0.2"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C3065" t="e">
        <f ca="1">RANK(AB3065,OFFSET($AB$2,0,0,#REF!,1))</f>
        <v>#REF!</v>
      </c>
      <c r="AD3065" s="4" t="e">
        <f>InsurerSize(#REF!)</f>
        <v>#VALUE!</v>
      </c>
      <c r="AE3065" s="4" t="e">
        <f t="shared" si="59"/>
        <v>#VALUE!</v>
      </c>
    </row>
    <row r="3066" spans="8:31" x14ac:dyDescent="0.2"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  <c r="AA3066" s="5"/>
      <c r="AC3066" t="e">
        <f ca="1">RANK(AB3066,OFFSET($AB$2,0,0,#REF!,1))</f>
        <v>#REF!</v>
      </c>
      <c r="AD3066" s="4" t="e">
        <f>InsurerSize(#REF!)</f>
        <v>#VALUE!</v>
      </c>
      <c r="AE3066" s="4" t="e">
        <f t="shared" si="59"/>
        <v>#VALUE!</v>
      </c>
    </row>
    <row r="3067" spans="8:31" x14ac:dyDescent="0.2"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  <c r="AA3067" s="5"/>
      <c r="AC3067" t="e">
        <f ca="1">RANK(AB3067,OFFSET($AB$2,0,0,#REF!,1))</f>
        <v>#REF!</v>
      </c>
      <c r="AD3067" s="4" t="e">
        <f>InsurerSize(#REF!)</f>
        <v>#VALUE!</v>
      </c>
      <c r="AE3067" s="4" t="e">
        <f t="shared" si="59"/>
        <v>#VALUE!</v>
      </c>
    </row>
    <row r="3068" spans="8:31" x14ac:dyDescent="0.2"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  <c r="AA3068" s="5"/>
      <c r="AC3068" t="e">
        <f ca="1">RANK(AB3068,OFFSET($AB$2,0,0,#REF!,1))</f>
        <v>#REF!</v>
      </c>
      <c r="AD3068" s="4" t="e">
        <f>InsurerSize(#REF!)</f>
        <v>#VALUE!</v>
      </c>
      <c r="AE3068" s="4" t="e">
        <f t="shared" si="59"/>
        <v>#VALUE!</v>
      </c>
    </row>
    <row r="3069" spans="8:31" x14ac:dyDescent="0.2"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  <c r="AA3069" s="5"/>
      <c r="AC3069" t="e">
        <f ca="1">RANK(AB3069,OFFSET($AB$2,0,0,#REF!,1))</f>
        <v>#REF!</v>
      </c>
      <c r="AD3069" s="4" t="e">
        <f>InsurerSize(#REF!)</f>
        <v>#VALUE!</v>
      </c>
      <c r="AE3069" s="4" t="e">
        <f t="shared" si="59"/>
        <v>#VALUE!</v>
      </c>
    </row>
    <row r="3070" spans="8:31" x14ac:dyDescent="0.2"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  <c r="AA3070" s="5"/>
      <c r="AC3070" t="e">
        <f ca="1">RANK(AB3070,OFFSET($AB$2,0,0,#REF!,1))</f>
        <v>#REF!</v>
      </c>
      <c r="AD3070" s="4" t="e">
        <f>InsurerSize(#REF!)</f>
        <v>#VALUE!</v>
      </c>
      <c r="AE3070" s="4" t="e">
        <f t="shared" si="59"/>
        <v>#VALUE!</v>
      </c>
    </row>
    <row r="3071" spans="8:31" x14ac:dyDescent="0.2"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  <c r="AA3071" s="5"/>
      <c r="AC3071" t="e">
        <f ca="1">RANK(AB3071,OFFSET($AB$2,0,0,#REF!,1))</f>
        <v>#REF!</v>
      </c>
      <c r="AD3071" s="4" t="e">
        <f>InsurerSize(#REF!)</f>
        <v>#VALUE!</v>
      </c>
      <c r="AE3071" s="4" t="e">
        <f t="shared" si="59"/>
        <v>#VALUE!</v>
      </c>
    </row>
    <row r="3072" spans="8:31" x14ac:dyDescent="0.2"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  <c r="AA3072" s="5"/>
      <c r="AC3072" t="e">
        <f ca="1">RANK(AB3072,OFFSET($AB$2,0,0,#REF!,1))</f>
        <v>#REF!</v>
      </c>
      <c r="AD3072" s="4" t="e">
        <f>InsurerSize(#REF!)</f>
        <v>#VALUE!</v>
      </c>
      <c r="AE3072" s="4" t="e">
        <f t="shared" si="59"/>
        <v>#VALUE!</v>
      </c>
    </row>
    <row r="3073" spans="8:31" x14ac:dyDescent="0.2"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  <c r="AA3073" s="5"/>
      <c r="AC3073" t="e">
        <f ca="1">RANK(AB3073,OFFSET($AB$2,0,0,#REF!,1))</f>
        <v>#REF!</v>
      </c>
      <c r="AD3073" s="4" t="e">
        <f>InsurerSize(#REF!)</f>
        <v>#VALUE!</v>
      </c>
      <c r="AE3073" s="4" t="e">
        <f t="shared" si="59"/>
        <v>#VALUE!</v>
      </c>
    </row>
    <row r="3074" spans="8:31" x14ac:dyDescent="0.2"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  <c r="AA3074" s="5"/>
      <c r="AC3074" t="e">
        <f ca="1">RANK(AB3074,OFFSET($AB$2,0,0,#REF!,1))</f>
        <v>#REF!</v>
      </c>
      <c r="AD3074" s="4" t="e">
        <f>InsurerSize(#REF!)</f>
        <v>#VALUE!</v>
      </c>
      <c r="AE3074" s="4" t="e">
        <f t="shared" ref="AE3074:AE3137" si="60">A3074&amp;AD3074</f>
        <v>#VALUE!</v>
      </c>
    </row>
    <row r="3075" spans="8:31" x14ac:dyDescent="0.2"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  <c r="AA3075" s="5"/>
      <c r="AC3075" t="e">
        <f ca="1">RANK(AB3075,OFFSET($AB$2,0,0,#REF!,1))</f>
        <v>#REF!</v>
      </c>
      <c r="AD3075" s="4" t="e">
        <f>InsurerSize(#REF!)</f>
        <v>#VALUE!</v>
      </c>
      <c r="AE3075" s="4" t="e">
        <f t="shared" si="60"/>
        <v>#VALUE!</v>
      </c>
    </row>
    <row r="3076" spans="8:31" x14ac:dyDescent="0.2"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  <c r="AA3076" s="5"/>
      <c r="AC3076" t="e">
        <f ca="1">RANK(AB3076,OFFSET($AB$2,0,0,#REF!,1))</f>
        <v>#REF!</v>
      </c>
      <c r="AD3076" s="4" t="e">
        <f>InsurerSize(#REF!)</f>
        <v>#VALUE!</v>
      </c>
      <c r="AE3076" s="4" t="e">
        <f t="shared" si="60"/>
        <v>#VALUE!</v>
      </c>
    </row>
    <row r="3077" spans="8:31" x14ac:dyDescent="0.2"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  <c r="AA3077" s="5"/>
      <c r="AC3077" t="e">
        <f ca="1">RANK(AB3077,OFFSET($AB$2,0,0,#REF!,1))</f>
        <v>#REF!</v>
      </c>
      <c r="AD3077" s="4" t="e">
        <f>InsurerSize(#REF!)</f>
        <v>#VALUE!</v>
      </c>
      <c r="AE3077" s="4" t="e">
        <f t="shared" si="60"/>
        <v>#VALUE!</v>
      </c>
    </row>
    <row r="3078" spans="8:31" x14ac:dyDescent="0.2"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  <c r="AA3078" s="5"/>
      <c r="AC3078" t="e">
        <f ca="1">RANK(AB3078,OFFSET($AB$2,0,0,#REF!,1))</f>
        <v>#REF!</v>
      </c>
      <c r="AD3078" s="4" t="e">
        <f>InsurerSize(#REF!)</f>
        <v>#VALUE!</v>
      </c>
      <c r="AE3078" s="4" t="e">
        <f t="shared" si="60"/>
        <v>#VALUE!</v>
      </c>
    </row>
    <row r="3079" spans="8:31" x14ac:dyDescent="0.2"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  <c r="AA3079" s="5"/>
      <c r="AC3079" t="e">
        <f ca="1">RANK(AB3079,OFFSET($AB$2,0,0,#REF!,1))</f>
        <v>#REF!</v>
      </c>
      <c r="AD3079" s="4" t="e">
        <f>InsurerSize(#REF!)</f>
        <v>#VALUE!</v>
      </c>
      <c r="AE3079" s="4" t="e">
        <f t="shared" si="60"/>
        <v>#VALUE!</v>
      </c>
    </row>
    <row r="3080" spans="8:31" x14ac:dyDescent="0.2"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  <c r="AA3080" s="5"/>
      <c r="AC3080" t="e">
        <f ca="1">RANK(AB3080,OFFSET($AB$2,0,0,#REF!,1))</f>
        <v>#REF!</v>
      </c>
      <c r="AD3080" s="4" t="e">
        <f>InsurerSize(#REF!)</f>
        <v>#VALUE!</v>
      </c>
      <c r="AE3080" s="4" t="e">
        <f t="shared" si="60"/>
        <v>#VALUE!</v>
      </c>
    </row>
    <row r="3081" spans="8:31" x14ac:dyDescent="0.2"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  <c r="AA3081" s="5"/>
      <c r="AC3081" t="e">
        <f ca="1">RANK(AB3081,OFFSET($AB$2,0,0,#REF!,1))</f>
        <v>#REF!</v>
      </c>
      <c r="AD3081" s="4" t="e">
        <f>InsurerSize(#REF!)</f>
        <v>#VALUE!</v>
      </c>
      <c r="AE3081" s="4" t="e">
        <f t="shared" si="60"/>
        <v>#VALUE!</v>
      </c>
    </row>
    <row r="3082" spans="8:31" x14ac:dyDescent="0.2"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  <c r="AA3082" s="5"/>
      <c r="AC3082" t="e">
        <f ca="1">RANK(AB3082,OFFSET($AB$2,0,0,#REF!,1))</f>
        <v>#REF!</v>
      </c>
      <c r="AD3082" s="4" t="e">
        <f>InsurerSize(#REF!)</f>
        <v>#VALUE!</v>
      </c>
      <c r="AE3082" s="4" t="e">
        <f t="shared" si="60"/>
        <v>#VALUE!</v>
      </c>
    </row>
    <row r="3083" spans="8:31" x14ac:dyDescent="0.2"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  <c r="AA3083" s="5"/>
      <c r="AC3083" t="e">
        <f ca="1">RANK(AB3083,OFFSET($AB$2,0,0,#REF!,1))</f>
        <v>#REF!</v>
      </c>
      <c r="AD3083" s="4" t="e">
        <f>InsurerSize(#REF!)</f>
        <v>#VALUE!</v>
      </c>
      <c r="AE3083" s="4" t="e">
        <f t="shared" si="60"/>
        <v>#VALUE!</v>
      </c>
    </row>
    <row r="3084" spans="8:31" x14ac:dyDescent="0.2"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  <c r="X3084" s="5"/>
      <c r="Y3084" s="5"/>
      <c r="Z3084" s="5"/>
      <c r="AA3084" s="5"/>
      <c r="AC3084" t="e">
        <f ca="1">RANK(AB3084,OFFSET($AB$2,0,0,#REF!,1))</f>
        <v>#REF!</v>
      </c>
      <c r="AD3084" s="4" t="e">
        <f>InsurerSize(#REF!)</f>
        <v>#VALUE!</v>
      </c>
      <c r="AE3084" s="4" t="e">
        <f t="shared" si="60"/>
        <v>#VALUE!</v>
      </c>
    </row>
    <row r="3085" spans="8:31" x14ac:dyDescent="0.2"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  <c r="X3085" s="5"/>
      <c r="Y3085" s="5"/>
      <c r="Z3085" s="5"/>
      <c r="AA3085" s="5"/>
      <c r="AC3085" t="e">
        <f ca="1">RANK(AB3085,OFFSET($AB$2,0,0,#REF!,1))</f>
        <v>#REF!</v>
      </c>
      <c r="AD3085" s="4" t="e">
        <f>InsurerSize(#REF!)</f>
        <v>#VALUE!</v>
      </c>
      <c r="AE3085" s="4" t="e">
        <f t="shared" si="60"/>
        <v>#VALUE!</v>
      </c>
    </row>
    <row r="3086" spans="8:31" x14ac:dyDescent="0.2"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  <c r="X3086" s="5"/>
      <c r="Y3086" s="5"/>
      <c r="Z3086" s="5"/>
      <c r="AA3086" s="5"/>
      <c r="AC3086" t="e">
        <f ca="1">RANK(AB3086,OFFSET($AB$2,0,0,#REF!,1))</f>
        <v>#REF!</v>
      </c>
      <c r="AD3086" s="4" t="e">
        <f>InsurerSize(#REF!)</f>
        <v>#VALUE!</v>
      </c>
      <c r="AE3086" s="4" t="e">
        <f t="shared" si="60"/>
        <v>#VALUE!</v>
      </c>
    </row>
    <row r="3087" spans="8:31" x14ac:dyDescent="0.2"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  <c r="X3087" s="5"/>
      <c r="Y3087" s="5"/>
      <c r="Z3087" s="5"/>
      <c r="AA3087" s="5"/>
      <c r="AC3087" t="e">
        <f ca="1">RANK(AB3087,OFFSET($AB$2,0,0,#REF!,1))</f>
        <v>#REF!</v>
      </c>
      <c r="AD3087" s="4" t="e">
        <f>InsurerSize(#REF!)</f>
        <v>#VALUE!</v>
      </c>
      <c r="AE3087" s="4" t="e">
        <f t="shared" si="60"/>
        <v>#VALUE!</v>
      </c>
    </row>
    <row r="3088" spans="8:31" x14ac:dyDescent="0.2"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  <c r="X3088" s="5"/>
      <c r="Y3088" s="5"/>
      <c r="Z3088" s="5"/>
      <c r="AA3088" s="5"/>
      <c r="AC3088" t="e">
        <f ca="1">RANK(AB3088,OFFSET($AB$2,0,0,#REF!,1))</f>
        <v>#REF!</v>
      </c>
      <c r="AD3088" s="4" t="e">
        <f>InsurerSize(#REF!)</f>
        <v>#VALUE!</v>
      </c>
      <c r="AE3088" s="4" t="e">
        <f t="shared" si="60"/>
        <v>#VALUE!</v>
      </c>
    </row>
    <row r="3089" spans="8:31" x14ac:dyDescent="0.2"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  <c r="X3089" s="5"/>
      <c r="Y3089" s="5"/>
      <c r="Z3089" s="5"/>
      <c r="AA3089" s="5"/>
      <c r="AC3089" t="e">
        <f ca="1">RANK(AB3089,OFFSET($AB$2,0,0,#REF!,1))</f>
        <v>#REF!</v>
      </c>
      <c r="AD3089" s="4" t="e">
        <f>InsurerSize(#REF!)</f>
        <v>#VALUE!</v>
      </c>
      <c r="AE3089" s="4" t="e">
        <f t="shared" si="60"/>
        <v>#VALUE!</v>
      </c>
    </row>
    <row r="3090" spans="8:31" x14ac:dyDescent="0.2"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  <c r="X3090" s="5"/>
      <c r="Y3090" s="5"/>
      <c r="Z3090" s="5"/>
      <c r="AA3090" s="5"/>
      <c r="AC3090" t="e">
        <f ca="1">RANK(AB3090,OFFSET($AB$2,0,0,#REF!,1))</f>
        <v>#REF!</v>
      </c>
      <c r="AD3090" s="4" t="e">
        <f>InsurerSize(#REF!)</f>
        <v>#VALUE!</v>
      </c>
      <c r="AE3090" s="4" t="e">
        <f t="shared" si="60"/>
        <v>#VALUE!</v>
      </c>
    </row>
    <row r="3091" spans="8:31" x14ac:dyDescent="0.2"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  <c r="X3091" s="5"/>
      <c r="Y3091" s="5"/>
      <c r="Z3091" s="5"/>
      <c r="AA3091" s="5"/>
      <c r="AC3091" t="e">
        <f ca="1">RANK(AB3091,OFFSET($AB$2,0,0,#REF!,1))</f>
        <v>#REF!</v>
      </c>
      <c r="AD3091" s="4" t="e">
        <f>InsurerSize(#REF!)</f>
        <v>#VALUE!</v>
      </c>
      <c r="AE3091" s="4" t="e">
        <f t="shared" si="60"/>
        <v>#VALUE!</v>
      </c>
    </row>
    <row r="3092" spans="8:31" x14ac:dyDescent="0.2"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  <c r="X3092" s="5"/>
      <c r="Y3092" s="5"/>
      <c r="Z3092" s="5"/>
      <c r="AA3092" s="5"/>
      <c r="AC3092" t="e">
        <f ca="1">RANK(AB3092,OFFSET($AB$2,0,0,#REF!,1))</f>
        <v>#REF!</v>
      </c>
      <c r="AD3092" s="4" t="e">
        <f>InsurerSize(#REF!)</f>
        <v>#VALUE!</v>
      </c>
      <c r="AE3092" s="4" t="e">
        <f t="shared" si="60"/>
        <v>#VALUE!</v>
      </c>
    </row>
    <row r="3093" spans="8:31" x14ac:dyDescent="0.2"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  <c r="X3093" s="5"/>
      <c r="Y3093" s="5"/>
      <c r="Z3093" s="5"/>
      <c r="AA3093" s="5"/>
      <c r="AC3093" t="e">
        <f ca="1">RANK(AB3093,OFFSET($AB$2,0,0,#REF!,1))</f>
        <v>#REF!</v>
      </c>
      <c r="AD3093" s="4" t="e">
        <f>InsurerSize(#REF!)</f>
        <v>#VALUE!</v>
      </c>
      <c r="AE3093" s="4" t="e">
        <f t="shared" si="60"/>
        <v>#VALUE!</v>
      </c>
    </row>
    <row r="3094" spans="8:31" x14ac:dyDescent="0.2"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  <c r="X3094" s="5"/>
      <c r="Y3094" s="5"/>
      <c r="Z3094" s="5"/>
      <c r="AA3094" s="5"/>
      <c r="AC3094" t="e">
        <f ca="1">RANK(AB3094,OFFSET($AB$2,0,0,#REF!,1))</f>
        <v>#REF!</v>
      </c>
      <c r="AD3094" s="4" t="e">
        <f>InsurerSize(#REF!)</f>
        <v>#VALUE!</v>
      </c>
      <c r="AE3094" s="4" t="e">
        <f t="shared" si="60"/>
        <v>#VALUE!</v>
      </c>
    </row>
    <row r="3095" spans="8:31" x14ac:dyDescent="0.2"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  <c r="X3095" s="5"/>
      <c r="Y3095" s="5"/>
      <c r="Z3095" s="5"/>
      <c r="AA3095" s="5"/>
      <c r="AC3095" t="e">
        <f ca="1">RANK(AB3095,OFFSET($AB$2,0,0,#REF!,1))</f>
        <v>#REF!</v>
      </c>
      <c r="AD3095" s="4" t="e">
        <f>InsurerSize(#REF!)</f>
        <v>#VALUE!</v>
      </c>
      <c r="AE3095" s="4" t="e">
        <f t="shared" si="60"/>
        <v>#VALUE!</v>
      </c>
    </row>
    <row r="3096" spans="8:31" x14ac:dyDescent="0.2"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  <c r="X3096" s="5"/>
      <c r="Y3096" s="5"/>
      <c r="Z3096" s="5"/>
      <c r="AA3096" s="5"/>
      <c r="AC3096" t="e">
        <f ca="1">RANK(AB3096,OFFSET($AB$2,0,0,#REF!,1))</f>
        <v>#REF!</v>
      </c>
      <c r="AD3096" s="4" t="e">
        <f>InsurerSize(#REF!)</f>
        <v>#VALUE!</v>
      </c>
      <c r="AE3096" s="4" t="e">
        <f t="shared" si="60"/>
        <v>#VALUE!</v>
      </c>
    </row>
    <row r="3097" spans="8:31" x14ac:dyDescent="0.2"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  <c r="X3097" s="5"/>
      <c r="Y3097" s="5"/>
      <c r="Z3097" s="5"/>
      <c r="AA3097" s="5"/>
      <c r="AC3097" t="e">
        <f ca="1">RANK(AB3097,OFFSET($AB$2,0,0,#REF!,1))</f>
        <v>#REF!</v>
      </c>
      <c r="AD3097" s="4" t="e">
        <f>InsurerSize(#REF!)</f>
        <v>#VALUE!</v>
      </c>
      <c r="AE3097" s="4" t="e">
        <f t="shared" si="60"/>
        <v>#VALUE!</v>
      </c>
    </row>
    <row r="3098" spans="8:31" x14ac:dyDescent="0.2"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  <c r="X3098" s="5"/>
      <c r="Y3098" s="5"/>
      <c r="Z3098" s="5"/>
      <c r="AA3098" s="5"/>
      <c r="AC3098" t="e">
        <f ca="1">RANK(AB3098,OFFSET($AB$2,0,0,#REF!,1))</f>
        <v>#REF!</v>
      </c>
      <c r="AD3098" s="4" t="e">
        <f>InsurerSize(#REF!)</f>
        <v>#VALUE!</v>
      </c>
      <c r="AE3098" s="4" t="e">
        <f t="shared" si="60"/>
        <v>#VALUE!</v>
      </c>
    </row>
    <row r="3099" spans="8:31" x14ac:dyDescent="0.2"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5"/>
      <c r="Z3099" s="5"/>
      <c r="AA3099" s="5"/>
      <c r="AC3099" t="e">
        <f ca="1">RANK(AB3099,OFFSET($AB$2,0,0,#REF!,1))</f>
        <v>#REF!</v>
      </c>
      <c r="AD3099" s="4" t="e">
        <f>InsurerSize(#REF!)</f>
        <v>#VALUE!</v>
      </c>
      <c r="AE3099" s="4" t="e">
        <f t="shared" si="60"/>
        <v>#VALUE!</v>
      </c>
    </row>
    <row r="3100" spans="8:31" x14ac:dyDescent="0.2"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  <c r="X3100" s="5"/>
      <c r="Y3100" s="5"/>
      <c r="Z3100" s="5"/>
      <c r="AA3100" s="5"/>
      <c r="AC3100" t="e">
        <f ca="1">RANK(AB3100,OFFSET($AB$2,0,0,#REF!,1))</f>
        <v>#REF!</v>
      </c>
      <c r="AD3100" s="4" t="e">
        <f>InsurerSize(#REF!)</f>
        <v>#VALUE!</v>
      </c>
      <c r="AE3100" s="4" t="e">
        <f t="shared" si="60"/>
        <v>#VALUE!</v>
      </c>
    </row>
    <row r="3101" spans="8:31" x14ac:dyDescent="0.2"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5"/>
      <c r="Z3101" s="5"/>
      <c r="AA3101" s="5"/>
      <c r="AC3101" t="e">
        <f ca="1">RANK(AB3101,OFFSET($AB$2,0,0,#REF!,1))</f>
        <v>#REF!</v>
      </c>
      <c r="AD3101" s="4" t="e">
        <f>InsurerSize(#REF!)</f>
        <v>#VALUE!</v>
      </c>
      <c r="AE3101" s="4" t="e">
        <f t="shared" si="60"/>
        <v>#VALUE!</v>
      </c>
    </row>
    <row r="3102" spans="8:31" x14ac:dyDescent="0.2"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  <c r="X3102" s="5"/>
      <c r="Y3102" s="5"/>
      <c r="Z3102" s="5"/>
      <c r="AA3102" s="5"/>
      <c r="AC3102" t="e">
        <f ca="1">RANK(AB3102,OFFSET($AB$2,0,0,#REF!,1))</f>
        <v>#REF!</v>
      </c>
      <c r="AD3102" s="4" t="e">
        <f>InsurerSize(#REF!)</f>
        <v>#VALUE!</v>
      </c>
      <c r="AE3102" s="4" t="e">
        <f t="shared" si="60"/>
        <v>#VALUE!</v>
      </c>
    </row>
    <row r="3103" spans="8:31" x14ac:dyDescent="0.2"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  <c r="X3103" s="5"/>
      <c r="Y3103" s="5"/>
      <c r="Z3103" s="5"/>
      <c r="AA3103" s="5"/>
      <c r="AC3103" t="e">
        <f ca="1">RANK(AB3103,OFFSET($AB$2,0,0,#REF!,1))</f>
        <v>#REF!</v>
      </c>
      <c r="AD3103" s="4" t="e">
        <f>InsurerSize(#REF!)</f>
        <v>#VALUE!</v>
      </c>
      <c r="AE3103" s="4" t="e">
        <f t="shared" si="60"/>
        <v>#VALUE!</v>
      </c>
    </row>
    <row r="3104" spans="8:31" x14ac:dyDescent="0.2"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  <c r="X3104" s="5"/>
      <c r="Y3104" s="5"/>
      <c r="Z3104" s="5"/>
      <c r="AA3104" s="5"/>
      <c r="AC3104" t="e">
        <f ca="1">RANK(AB3104,OFFSET($AB$2,0,0,#REF!,1))</f>
        <v>#REF!</v>
      </c>
      <c r="AD3104" s="4" t="e">
        <f>InsurerSize(#REF!)</f>
        <v>#VALUE!</v>
      </c>
      <c r="AE3104" s="4" t="e">
        <f t="shared" si="60"/>
        <v>#VALUE!</v>
      </c>
    </row>
    <row r="3105" spans="8:31" x14ac:dyDescent="0.2"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  <c r="X3105" s="5"/>
      <c r="Y3105" s="5"/>
      <c r="Z3105" s="5"/>
      <c r="AA3105" s="5"/>
      <c r="AC3105" t="e">
        <f ca="1">RANK(AB3105,OFFSET($AB$2,0,0,#REF!,1))</f>
        <v>#REF!</v>
      </c>
      <c r="AD3105" s="4" t="e">
        <f>InsurerSize(#REF!)</f>
        <v>#VALUE!</v>
      </c>
      <c r="AE3105" s="4" t="e">
        <f t="shared" si="60"/>
        <v>#VALUE!</v>
      </c>
    </row>
    <row r="3106" spans="8:31" x14ac:dyDescent="0.2"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  <c r="X3106" s="5"/>
      <c r="Y3106" s="5"/>
      <c r="Z3106" s="5"/>
      <c r="AA3106" s="5"/>
      <c r="AC3106" t="e">
        <f ca="1">RANK(AB3106,OFFSET($AB$2,0,0,#REF!,1))</f>
        <v>#REF!</v>
      </c>
      <c r="AD3106" s="4" t="e">
        <f>InsurerSize(#REF!)</f>
        <v>#VALUE!</v>
      </c>
      <c r="AE3106" s="4" t="e">
        <f t="shared" si="60"/>
        <v>#VALUE!</v>
      </c>
    </row>
    <row r="3107" spans="8:31" x14ac:dyDescent="0.2"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  <c r="X3107" s="5"/>
      <c r="Y3107" s="5"/>
      <c r="Z3107" s="5"/>
      <c r="AA3107" s="5"/>
      <c r="AC3107" t="e">
        <f ca="1">RANK(AB3107,OFFSET($AB$2,0,0,#REF!,1))</f>
        <v>#REF!</v>
      </c>
      <c r="AD3107" s="4" t="e">
        <f>InsurerSize(#REF!)</f>
        <v>#VALUE!</v>
      </c>
      <c r="AE3107" s="4" t="e">
        <f t="shared" si="60"/>
        <v>#VALUE!</v>
      </c>
    </row>
    <row r="3108" spans="8:31" x14ac:dyDescent="0.2"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  <c r="X3108" s="5"/>
      <c r="Y3108" s="5"/>
      <c r="Z3108" s="5"/>
      <c r="AA3108" s="5"/>
      <c r="AC3108" t="e">
        <f ca="1">RANK(AB3108,OFFSET($AB$2,0,0,#REF!,1))</f>
        <v>#REF!</v>
      </c>
      <c r="AD3108" s="4" t="e">
        <f>InsurerSize(#REF!)</f>
        <v>#VALUE!</v>
      </c>
      <c r="AE3108" s="4" t="e">
        <f t="shared" si="60"/>
        <v>#VALUE!</v>
      </c>
    </row>
    <row r="3109" spans="8:31" x14ac:dyDescent="0.2"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  <c r="X3109" s="5"/>
      <c r="Y3109" s="5"/>
      <c r="Z3109" s="5"/>
      <c r="AA3109" s="5"/>
      <c r="AC3109" t="e">
        <f ca="1">RANK(AB3109,OFFSET($AB$2,0,0,#REF!,1))</f>
        <v>#REF!</v>
      </c>
      <c r="AD3109" s="4" t="e">
        <f>InsurerSize(#REF!)</f>
        <v>#VALUE!</v>
      </c>
      <c r="AE3109" s="4" t="e">
        <f t="shared" si="60"/>
        <v>#VALUE!</v>
      </c>
    </row>
    <row r="3110" spans="8:31" x14ac:dyDescent="0.2"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  <c r="X3110" s="5"/>
      <c r="Y3110" s="5"/>
      <c r="Z3110" s="5"/>
      <c r="AA3110" s="5"/>
      <c r="AC3110" t="e">
        <f ca="1">RANK(AB3110,OFFSET($AB$2,0,0,#REF!,1))</f>
        <v>#REF!</v>
      </c>
      <c r="AD3110" s="4" t="e">
        <f>InsurerSize(#REF!)</f>
        <v>#VALUE!</v>
      </c>
      <c r="AE3110" s="4" t="e">
        <f t="shared" si="60"/>
        <v>#VALUE!</v>
      </c>
    </row>
    <row r="3111" spans="8:31" x14ac:dyDescent="0.2"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  <c r="X3111" s="5"/>
      <c r="Y3111" s="5"/>
      <c r="Z3111" s="5"/>
      <c r="AA3111" s="5"/>
      <c r="AC3111" t="e">
        <f ca="1">RANK(AB3111,OFFSET($AB$2,0,0,#REF!,1))</f>
        <v>#REF!</v>
      </c>
      <c r="AD3111" s="4" t="e">
        <f>InsurerSize(#REF!)</f>
        <v>#VALUE!</v>
      </c>
      <c r="AE3111" s="4" t="e">
        <f t="shared" si="60"/>
        <v>#VALUE!</v>
      </c>
    </row>
    <row r="3112" spans="8:31" x14ac:dyDescent="0.2"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  <c r="X3112" s="5"/>
      <c r="Y3112" s="5"/>
      <c r="Z3112" s="5"/>
      <c r="AA3112" s="5"/>
      <c r="AC3112" t="e">
        <f ca="1">RANK(AB3112,OFFSET($AB$2,0,0,#REF!,1))</f>
        <v>#REF!</v>
      </c>
      <c r="AD3112" s="4" t="e">
        <f>InsurerSize(#REF!)</f>
        <v>#VALUE!</v>
      </c>
      <c r="AE3112" s="4" t="e">
        <f t="shared" si="60"/>
        <v>#VALUE!</v>
      </c>
    </row>
    <row r="3113" spans="8:31" x14ac:dyDescent="0.2"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  <c r="X3113" s="5"/>
      <c r="Y3113" s="5"/>
      <c r="Z3113" s="5"/>
      <c r="AA3113" s="5"/>
      <c r="AC3113" t="e">
        <f ca="1">RANK(AB3113,OFFSET($AB$2,0,0,#REF!,1))</f>
        <v>#REF!</v>
      </c>
      <c r="AD3113" s="4" t="e">
        <f>InsurerSize(#REF!)</f>
        <v>#VALUE!</v>
      </c>
      <c r="AE3113" s="4" t="e">
        <f t="shared" si="60"/>
        <v>#VALUE!</v>
      </c>
    </row>
    <row r="3114" spans="8:31" x14ac:dyDescent="0.2"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  <c r="X3114" s="5"/>
      <c r="Y3114" s="5"/>
      <c r="Z3114" s="5"/>
      <c r="AA3114" s="5"/>
      <c r="AC3114" t="e">
        <f ca="1">RANK(AB3114,OFFSET($AB$2,0,0,#REF!,1))</f>
        <v>#REF!</v>
      </c>
      <c r="AD3114" s="4" t="e">
        <f>InsurerSize(#REF!)</f>
        <v>#VALUE!</v>
      </c>
      <c r="AE3114" s="4" t="e">
        <f t="shared" si="60"/>
        <v>#VALUE!</v>
      </c>
    </row>
    <row r="3115" spans="8:31" x14ac:dyDescent="0.2"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  <c r="X3115" s="5"/>
      <c r="Y3115" s="5"/>
      <c r="Z3115" s="5"/>
      <c r="AA3115" s="5"/>
      <c r="AC3115" t="e">
        <f ca="1">RANK(AB3115,OFFSET($AB$2,0,0,#REF!,1))</f>
        <v>#REF!</v>
      </c>
      <c r="AD3115" s="4" t="e">
        <f>InsurerSize(#REF!)</f>
        <v>#VALUE!</v>
      </c>
      <c r="AE3115" s="4" t="e">
        <f t="shared" si="60"/>
        <v>#VALUE!</v>
      </c>
    </row>
    <row r="3116" spans="8:31" x14ac:dyDescent="0.2"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  <c r="X3116" s="5"/>
      <c r="Y3116" s="5"/>
      <c r="Z3116" s="5"/>
      <c r="AA3116" s="5"/>
      <c r="AC3116" t="e">
        <f ca="1">RANK(AB3116,OFFSET($AB$2,0,0,#REF!,1))</f>
        <v>#REF!</v>
      </c>
      <c r="AD3116" s="4" t="e">
        <f>InsurerSize(#REF!)</f>
        <v>#VALUE!</v>
      </c>
      <c r="AE3116" s="4" t="e">
        <f t="shared" si="60"/>
        <v>#VALUE!</v>
      </c>
    </row>
    <row r="3117" spans="8:31" x14ac:dyDescent="0.2"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  <c r="X3117" s="5"/>
      <c r="Y3117" s="5"/>
      <c r="Z3117" s="5"/>
      <c r="AA3117" s="5"/>
      <c r="AC3117" t="e">
        <f ca="1">RANK(AB3117,OFFSET($AB$2,0,0,#REF!,1))</f>
        <v>#REF!</v>
      </c>
      <c r="AD3117" s="4" t="e">
        <f>InsurerSize(#REF!)</f>
        <v>#VALUE!</v>
      </c>
      <c r="AE3117" s="4" t="e">
        <f t="shared" si="60"/>
        <v>#VALUE!</v>
      </c>
    </row>
    <row r="3118" spans="8:31" x14ac:dyDescent="0.2"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  <c r="X3118" s="5"/>
      <c r="Y3118" s="5"/>
      <c r="Z3118" s="5"/>
      <c r="AA3118" s="5"/>
      <c r="AC3118" t="e">
        <f ca="1">RANK(AB3118,OFFSET($AB$2,0,0,#REF!,1))</f>
        <v>#REF!</v>
      </c>
      <c r="AD3118" s="4" t="e">
        <f>InsurerSize(#REF!)</f>
        <v>#VALUE!</v>
      </c>
      <c r="AE3118" s="4" t="e">
        <f t="shared" si="60"/>
        <v>#VALUE!</v>
      </c>
    </row>
    <row r="3119" spans="8:31" x14ac:dyDescent="0.2"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  <c r="X3119" s="5"/>
      <c r="Y3119" s="5"/>
      <c r="Z3119" s="5"/>
      <c r="AA3119" s="5"/>
      <c r="AC3119" t="e">
        <f ca="1">RANK(AB3119,OFFSET($AB$2,0,0,#REF!,1))</f>
        <v>#REF!</v>
      </c>
      <c r="AD3119" s="4" t="e">
        <f>InsurerSize(#REF!)</f>
        <v>#VALUE!</v>
      </c>
      <c r="AE3119" s="4" t="e">
        <f t="shared" si="60"/>
        <v>#VALUE!</v>
      </c>
    </row>
    <row r="3120" spans="8:31" x14ac:dyDescent="0.2"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  <c r="X3120" s="5"/>
      <c r="Y3120" s="5"/>
      <c r="Z3120" s="5"/>
      <c r="AA3120" s="5"/>
      <c r="AC3120" t="e">
        <f ca="1">RANK(AB3120,OFFSET($AB$2,0,0,#REF!,1))</f>
        <v>#REF!</v>
      </c>
      <c r="AD3120" s="4" t="e">
        <f>InsurerSize(#REF!)</f>
        <v>#VALUE!</v>
      </c>
      <c r="AE3120" s="4" t="e">
        <f t="shared" si="60"/>
        <v>#VALUE!</v>
      </c>
    </row>
    <row r="3121" spans="8:31" x14ac:dyDescent="0.2"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  <c r="X3121" s="5"/>
      <c r="Y3121" s="5"/>
      <c r="Z3121" s="5"/>
      <c r="AA3121" s="5"/>
      <c r="AC3121" t="e">
        <f ca="1">RANK(AB3121,OFFSET($AB$2,0,0,#REF!,1))</f>
        <v>#REF!</v>
      </c>
      <c r="AD3121" s="4" t="e">
        <f>InsurerSize(#REF!)</f>
        <v>#VALUE!</v>
      </c>
      <c r="AE3121" s="4" t="e">
        <f t="shared" si="60"/>
        <v>#VALUE!</v>
      </c>
    </row>
    <row r="3122" spans="8:31" x14ac:dyDescent="0.2"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  <c r="X3122" s="5"/>
      <c r="Y3122" s="5"/>
      <c r="Z3122" s="5"/>
      <c r="AA3122" s="5"/>
      <c r="AC3122" t="e">
        <f ca="1">RANK(AB3122,OFFSET($AB$2,0,0,#REF!,1))</f>
        <v>#REF!</v>
      </c>
      <c r="AD3122" s="4" t="e">
        <f>InsurerSize(#REF!)</f>
        <v>#VALUE!</v>
      </c>
      <c r="AE3122" s="4" t="e">
        <f t="shared" si="60"/>
        <v>#VALUE!</v>
      </c>
    </row>
    <row r="3123" spans="8:31" x14ac:dyDescent="0.2"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  <c r="X3123" s="5"/>
      <c r="Y3123" s="5"/>
      <c r="Z3123" s="5"/>
      <c r="AA3123" s="5"/>
      <c r="AC3123" t="e">
        <f ca="1">RANK(AB3123,OFFSET($AB$2,0,0,#REF!,1))</f>
        <v>#REF!</v>
      </c>
      <c r="AD3123" s="4" t="e">
        <f>InsurerSize(#REF!)</f>
        <v>#VALUE!</v>
      </c>
      <c r="AE3123" s="4" t="e">
        <f t="shared" si="60"/>
        <v>#VALUE!</v>
      </c>
    </row>
    <row r="3124" spans="8:31" x14ac:dyDescent="0.2"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  <c r="X3124" s="5"/>
      <c r="Y3124" s="5"/>
      <c r="Z3124" s="5"/>
      <c r="AA3124" s="5"/>
      <c r="AC3124" t="e">
        <f ca="1">RANK(AB3124,OFFSET($AB$2,0,0,#REF!,1))</f>
        <v>#REF!</v>
      </c>
      <c r="AD3124" s="4" t="e">
        <f>InsurerSize(#REF!)</f>
        <v>#VALUE!</v>
      </c>
      <c r="AE3124" s="4" t="e">
        <f t="shared" si="60"/>
        <v>#VALUE!</v>
      </c>
    </row>
    <row r="3125" spans="8:31" x14ac:dyDescent="0.2"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  <c r="X3125" s="5"/>
      <c r="Y3125" s="5"/>
      <c r="Z3125" s="5"/>
      <c r="AA3125" s="5"/>
      <c r="AC3125" t="e">
        <f ca="1">RANK(AB3125,OFFSET($AB$2,0,0,#REF!,1))</f>
        <v>#REF!</v>
      </c>
      <c r="AD3125" s="4" t="e">
        <f>InsurerSize(#REF!)</f>
        <v>#VALUE!</v>
      </c>
      <c r="AE3125" s="4" t="e">
        <f t="shared" si="60"/>
        <v>#VALUE!</v>
      </c>
    </row>
    <row r="3126" spans="8:31" x14ac:dyDescent="0.2"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  <c r="X3126" s="5"/>
      <c r="Y3126" s="5"/>
      <c r="Z3126" s="5"/>
      <c r="AA3126" s="5"/>
      <c r="AC3126" t="e">
        <f ca="1">RANK(AB3126,OFFSET($AB$2,0,0,#REF!,1))</f>
        <v>#REF!</v>
      </c>
      <c r="AD3126" s="4" t="e">
        <f>InsurerSize(#REF!)</f>
        <v>#VALUE!</v>
      </c>
      <c r="AE3126" s="4" t="e">
        <f t="shared" si="60"/>
        <v>#VALUE!</v>
      </c>
    </row>
    <row r="3127" spans="8:31" x14ac:dyDescent="0.2"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  <c r="X3127" s="5"/>
      <c r="Y3127" s="5"/>
      <c r="Z3127" s="5"/>
      <c r="AA3127" s="5"/>
      <c r="AC3127" t="e">
        <f ca="1">RANK(AB3127,OFFSET($AB$2,0,0,#REF!,1))</f>
        <v>#REF!</v>
      </c>
      <c r="AD3127" s="4" t="e">
        <f>InsurerSize(#REF!)</f>
        <v>#VALUE!</v>
      </c>
      <c r="AE3127" s="4" t="e">
        <f t="shared" si="60"/>
        <v>#VALUE!</v>
      </c>
    </row>
    <row r="3128" spans="8:31" x14ac:dyDescent="0.2"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  <c r="X3128" s="5"/>
      <c r="Y3128" s="5"/>
      <c r="Z3128" s="5"/>
      <c r="AA3128" s="5"/>
      <c r="AC3128" t="e">
        <f ca="1">RANK(AB3128,OFFSET($AB$2,0,0,#REF!,1))</f>
        <v>#REF!</v>
      </c>
      <c r="AD3128" s="4" t="e">
        <f>InsurerSize(#REF!)</f>
        <v>#VALUE!</v>
      </c>
      <c r="AE3128" s="4" t="e">
        <f t="shared" si="60"/>
        <v>#VALUE!</v>
      </c>
    </row>
    <row r="3129" spans="8:31" x14ac:dyDescent="0.2"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  <c r="X3129" s="5"/>
      <c r="Y3129" s="5"/>
      <c r="Z3129" s="5"/>
      <c r="AA3129" s="5"/>
      <c r="AC3129" t="e">
        <f ca="1">RANK(AB3129,OFFSET($AB$2,0,0,#REF!,1))</f>
        <v>#REF!</v>
      </c>
      <c r="AD3129" s="4" t="e">
        <f>InsurerSize(#REF!)</f>
        <v>#VALUE!</v>
      </c>
      <c r="AE3129" s="4" t="e">
        <f t="shared" si="60"/>
        <v>#VALUE!</v>
      </c>
    </row>
    <row r="3130" spans="8:31" x14ac:dyDescent="0.2"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  <c r="X3130" s="5"/>
      <c r="Y3130" s="5"/>
      <c r="Z3130" s="5"/>
      <c r="AA3130" s="5"/>
      <c r="AC3130" t="e">
        <f ca="1">RANK(AB3130,OFFSET($AB$2,0,0,#REF!,1))</f>
        <v>#REF!</v>
      </c>
      <c r="AD3130" s="4" t="e">
        <f>InsurerSize(#REF!)</f>
        <v>#VALUE!</v>
      </c>
      <c r="AE3130" s="4" t="e">
        <f t="shared" si="60"/>
        <v>#VALUE!</v>
      </c>
    </row>
    <row r="3131" spans="8:31" x14ac:dyDescent="0.2"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  <c r="X3131" s="5"/>
      <c r="Y3131" s="5"/>
      <c r="Z3131" s="5"/>
      <c r="AA3131" s="5"/>
      <c r="AC3131" t="e">
        <f ca="1">RANK(AB3131,OFFSET($AB$2,0,0,#REF!,1))</f>
        <v>#REF!</v>
      </c>
      <c r="AD3131" s="4" t="e">
        <f>InsurerSize(#REF!)</f>
        <v>#VALUE!</v>
      </c>
      <c r="AE3131" s="4" t="e">
        <f t="shared" si="60"/>
        <v>#VALUE!</v>
      </c>
    </row>
    <row r="3132" spans="8:31" x14ac:dyDescent="0.2"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  <c r="X3132" s="5"/>
      <c r="Y3132" s="5"/>
      <c r="Z3132" s="5"/>
      <c r="AA3132" s="5"/>
      <c r="AC3132" t="e">
        <f ca="1">RANK(AB3132,OFFSET($AB$2,0,0,#REF!,1))</f>
        <v>#REF!</v>
      </c>
      <c r="AD3132" s="4" t="e">
        <f>InsurerSize(#REF!)</f>
        <v>#VALUE!</v>
      </c>
      <c r="AE3132" s="4" t="e">
        <f t="shared" si="60"/>
        <v>#VALUE!</v>
      </c>
    </row>
    <row r="3133" spans="8:31" x14ac:dyDescent="0.2"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  <c r="X3133" s="5"/>
      <c r="Y3133" s="5"/>
      <c r="Z3133" s="5"/>
      <c r="AA3133" s="5"/>
      <c r="AC3133" t="e">
        <f ca="1">RANK(AB3133,OFFSET($AB$2,0,0,#REF!,1))</f>
        <v>#REF!</v>
      </c>
      <c r="AD3133" s="4" t="e">
        <f>InsurerSize(#REF!)</f>
        <v>#VALUE!</v>
      </c>
      <c r="AE3133" s="4" t="e">
        <f t="shared" si="60"/>
        <v>#VALUE!</v>
      </c>
    </row>
    <row r="3134" spans="8:31" x14ac:dyDescent="0.2"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  <c r="X3134" s="5"/>
      <c r="Y3134" s="5"/>
      <c r="Z3134" s="5"/>
      <c r="AA3134" s="5"/>
      <c r="AC3134" t="e">
        <f ca="1">RANK(AB3134,OFFSET($AB$2,0,0,#REF!,1))</f>
        <v>#REF!</v>
      </c>
      <c r="AD3134" s="4" t="e">
        <f>InsurerSize(#REF!)</f>
        <v>#VALUE!</v>
      </c>
      <c r="AE3134" s="4" t="e">
        <f t="shared" si="60"/>
        <v>#VALUE!</v>
      </c>
    </row>
    <row r="3135" spans="8:31" x14ac:dyDescent="0.2"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  <c r="X3135" s="5"/>
      <c r="Y3135" s="5"/>
      <c r="Z3135" s="5"/>
      <c r="AA3135" s="5"/>
      <c r="AC3135" t="e">
        <f ca="1">RANK(AB3135,OFFSET($AB$2,0,0,#REF!,1))</f>
        <v>#REF!</v>
      </c>
      <c r="AD3135" s="4" t="e">
        <f>InsurerSize(#REF!)</f>
        <v>#VALUE!</v>
      </c>
      <c r="AE3135" s="4" t="e">
        <f t="shared" si="60"/>
        <v>#VALUE!</v>
      </c>
    </row>
    <row r="3136" spans="8:31" x14ac:dyDescent="0.2"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  <c r="X3136" s="5"/>
      <c r="Y3136" s="5"/>
      <c r="Z3136" s="5"/>
      <c r="AA3136" s="5"/>
      <c r="AC3136" t="e">
        <f ca="1">RANK(AB3136,OFFSET($AB$2,0,0,#REF!,1))</f>
        <v>#REF!</v>
      </c>
      <c r="AD3136" s="4" t="e">
        <f>InsurerSize(#REF!)</f>
        <v>#VALUE!</v>
      </c>
      <c r="AE3136" s="4" t="e">
        <f t="shared" si="60"/>
        <v>#VALUE!</v>
      </c>
    </row>
    <row r="3137" spans="8:31" x14ac:dyDescent="0.2"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5"/>
      <c r="Z3137" s="5"/>
      <c r="AA3137" s="5"/>
      <c r="AC3137" t="e">
        <f ca="1">RANK(AB3137,OFFSET($AB$2,0,0,#REF!,1))</f>
        <v>#REF!</v>
      </c>
      <c r="AD3137" s="4" t="e">
        <f>InsurerSize(#REF!)</f>
        <v>#VALUE!</v>
      </c>
      <c r="AE3137" s="4" t="e">
        <f t="shared" si="60"/>
        <v>#VALUE!</v>
      </c>
    </row>
    <row r="3138" spans="8:31" x14ac:dyDescent="0.2"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  <c r="X3138" s="5"/>
      <c r="Y3138" s="5"/>
      <c r="Z3138" s="5"/>
      <c r="AA3138" s="5"/>
      <c r="AC3138" t="e">
        <f ca="1">RANK(AB3138,OFFSET($AB$2,0,0,#REF!,1))</f>
        <v>#REF!</v>
      </c>
      <c r="AD3138" s="4" t="e">
        <f>InsurerSize(#REF!)</f>
        <v>#VALUE!</v>
      </c>
      <c r="AE3138" s="4" t="e">
        <f t="shared" ref="AE3138:AE3201" si="61">A3138&amp;AD3138</f>
        <v>#VALUE!</v>
      </c>
    </row>
    <row r="3139" spans="8:31" x14ac:dyDescent="0.2"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  <c r="X3139" s="5"/>
      <c r="Y3139" s="5"/>
      <c r="Z3139" s="5"/>
      <c r="AA3139" s="5"/>
      <c r="AC3139" t="e">
        <f ca="1">RANK(AB3139,OFFSET($AB$2,0,0,#REF!,1))</f>
        <v>#REF!</v>
      </c>
      <c r="AD3139" s="4" t="e">
        <f>InsurerSize(#REF!)</f>
        <v>#VALUE!</v>
      </c>
      <c r="AE3139" s="4" t="e">
        <f t="shared" si="61"/>
        <v>#VALUE!</v>
      </c>
    </row>
    <row r="3140" spans="8:31" x14ac:dyDescent="0.2"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  <c r="X3140" s="5"/>
      <c r="Y3140" s="5"/>
      <c r="Z3140" s="5"/>
      <c r="AA3140" s="5"/>
      <c r="AC3140" t="e">
        <f ca="1">RANK(AB3140,OFFSET($AB$2,0,0,#REF!,1))</f>
        <v>#REF!</v>
      </c>
      <c r="AD3140" s="4" t="e">
        <f>InsurerSize(#REF!)</f>
        <v>#VALUE!</v>
      </c>
      <c r="AE3140" s="4" t="e">
        <f t="shared" si="61"/>
        <v>#VALUE!</v>
      </c>
    </row>
    <row r="3141" spans="8:31" x14ac:dyDescent="0.2"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  <c r="X3141" s="5"/>
      <c r="Y3141" s="5"/>
      <c r="Z3141" s="5"/>
      <c r="AA3141" s="5"/>
      <c r="AC3141" t="e">
        <f ca="1">RANK(AB3141,OFFSET($AB$2,0,0,#REF!,1))</f>
        <v>#REF!</v>
      </c>
      <c r="AD3141" s="4" t="e">
        <f>InsurerSize(#REF!)</f>
        <v>#VALUE!</v>
      </c>
      <c r="AE3141" s="4" t="e">
        <f t="shared" si="61"/>
        <v>#VALUE!</v>
      </c>
    </row>
    <row r="3142" spans="8:31" x14ac:dyDescent="0.2"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5"/>
      <c r="Z3142" s="5"/>
      <c r="AA3142" s="5"/>
      <c r="AC3142" t="e">
        <f ca="1">RANK(AB3142,OFFSET($AB$2,0,0,#REF!,1))</f>
        <v>#REF!</v>
      </c>
      <c r="AD3142" s="4" t="e">
        <f>InsurerSize(#REF!)</f>
        <v>#VALUE!</v>
      </c>
      <c r="AE3142" s="4" t="e">
        <f t="shared" si="61"/>
        <v>#VALUE!</v>
      </c>
    </row>
    <row r="3143" spans="8:31" x14ac:dyDescent="0.2"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  <c r="X3143" s="5"/>
      <c r="Y3143" s="5"/>
      <c r="Z3143" s="5"/>
      <c r="AA3143" s="5"/>
      <c r="AC3143" t="e">
        <f ca="1">RANK(AB3143,OFFSET($AB$2,0,0,#REF!,1))</f>
        <v>#REF!</v>
      </c>
      <c r="AD3143" s="4" t="e">
        <f>InsurerSize(#REF!)</f>
        <v>#VALUE!</v>
      </c>
      <c r="AE3143" s="4" t="e">
        <f t="shared" si="61"/>
        <v>#VALUE!</v>
      </c>
    </row>
    <row r="3144" spans="8:31" x14ac:dyDescent="0.2"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  <c r="X3144" s="5"/>
      <c r="Y3144" s="5"/>
      <c r="Z3144" s="5"/>
      <c r="AA3144" s="5"/>
      <c r="AC3144" t="e">
        <f ca="1">RANK(AB3144,OFFSET($AB$2,0,0,#REF!,1))</f>
        <v>#REF!</v>
      </c>
      <c r="AD3144" s="4" t="e">
        <f>InsurerSize(#REF!)</f>
        <v>#VALUE!</v>
      </c>
      <c r="AE3144" s="4" t="e">
        <f t="shared" si="61"/>
        <v>#VALUE!</v>
      </c>
    </row>
    <row r="3145" spans="8:31" x14ac:dyDescent="0.2">
      <c r="H3145" s="5"/>
      <c r="I3145" s="5"/>
      <c r="J3145" s="5"/>
      <c r="K3145" s="5"/>
      <c r="L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  <c r="W3145" s="5"/>
      <c r="X3145" s="5"/>
      <c r="Y3145" s="5"/>
      <c r="Z3145" s="5"/>
      <c r="AA3145" s="5"/>
      <c r="AC3145" t="e">
        <f ca="1">RANK(AB3145,OFFSET($AB$2,0,0,#REF!,1))</f>
        <v>#REF!</v>
      </c>
      <c r="AD3145" s="4" t="e">
        <f>InsurerSize(#REF!)</f>
        <v>#VALUE!</v>
      </c>
      <c r="AE3145" s="4" t="e">
        <f t="shared" si="61"/>
        <v>#VALUE!</v>
      </c>
    </row>
    <row r="3146" spans="8:31" x14ac:dyDescent="0.2">
      <c r="H3146" s="5"/>
      <c r="I3146" s="5"/>
      <c r="J3146" s="5"/>
      <c r="K3146" s="5"/>
      <c r="L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  <c r="W3146" s="5"/>
      <c r="X3146" s="5"/>
      <c r="Y3146" s="5"/>
      <c r="Z3146" s="5"/>
      <c r="AA3146" s="5"/>
      <c r="AC3146" t="e">
        <f ca="1">RANK(AB3146,OFFSET($AB$2,0,0,#REF!,1))</f>
        <v>#REF!</v>
      </c>
      <c r="AD3146" s="4" t="e">
        <f>InsurerSize(#REF!)</f>
        <v>#VALUE!</v>
      </c>
      <c r="AE3146" s="4" t="e">
        <f t="shared" si="61"/>
        <v>#VALUE!</v>
      </c>
    </row>
    <row r="3147" spans="8:31" x14ac:dyDescent="0.2">
      <c r="H3147" s="5"/>
      <c r="I3147" s="5"/>
      <c r="J3147" s="5"/>
      <c r="K3147" s="5"/>
      <c r="L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  <c r="W3147" s="5"/>
      <c r="X3147" s="5"/>
      <c r="Y3147" s="5"/>
      <c r="Z3147" s="5"/>
      <c r="AA3147" s="5"/>
      <c r="AC3147" t="e">
        <f ca="1">RANK(AB3147,OFFSET($AB$2,0,0,#REF!,1))</f>
        <v>#REF!</v>
      </c>
      <c r="AD3147" s="4" t="e">
        <f>InsurerSize(#REF!)</f>
        <v>#VALUE!</v>
      </c>
      <c r="AE3147" s="4" t="e">
        <f t="shared" si="61"/>
        <v>#VALUE!</v>
      </c>
    </row>
    <row r="3148" spans="8:31" x14ac:dyDescent="0.2">
      <c r="H3148" s="5"/>
      <c r="I3148" s="5"/>
      <c r="J3148" s="5"/>
      <c r="K3148" s="5"/>
      <c r="L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  <c r="W3148" s="5"/>
      <c r="X3148" s="5"/>
      <c r="Y3148" s="5"/>
      <c r="Z3148" s="5"/>
      <c r="AA3148" s="5"/>
      <c r="AC3148" t="e">
        <f ca="1">RANK(AB3148,OFFSET($AB$2,0,0,#REF!,1))</f>
        <v>#REF!</v>
      </c>
      <c r="AD3148" s="4" t="e">
        <f>InsurerSize(#REF!)</f>
        <v>#VALUE!</v>
      </c>
      <c r="AE3148" s="4" t="e">
        <f t="shared" si="61"/>
        <v>#VALUE!</v>
      </c>
    </row>
    <row r="3149" spans="8:31" x14ac:dyDescent="0.2">
      <c r="H3149" s="5"/>
      <c r="I3149" s="5"/>
      <c r="J3149" s="5"/>
      <c r="K3149" s="5"/>
      <c r="L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  <c r="W3149" s="5"/>
      <c r="X3149" s="5"/>
      <c r="Y3149" s="5"/>
      <c r="Z3149" s="5"/>
      <c r="AA3149" s="5"/>
      <c r="AC3149" t="e">
        <f ca="1">RANK(AB3149,OFFSET($AB$2,0,0,#REF!,1))</f>
        <v>#REF!</v>
      </c>
      <c r="AD3149" s="4" t="e">
        <f>InsurerSize(#REF!)</f>
        <v>#VALUE!</v>
      </c>
      <c r="AE3149" s="4" t="e">
        <f t="shared" si="61"/>
        <v>#VALUE!</v>
      </c>
    </row>
    <row r="3150" spans="8:31" x14ac:dyDescent="0.2">
      <c r="H3150" s="5"/>
      <c r="I3150" s="5"/>
      <c r="J3150" s="5"/>
      <c r="K3150" s="5"/>
      <c r="L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  <c r="W3150" s="5"/>
      <c r="X3150" s="5"/>
      <c r="Y3150" s="5"/>
      <c r="Z3150" s="5"/>
      <c r="AA3150" s="5"/>
      <c r="AC3150" t="e">
        <f ca="1">RANK(AB3150,OFFSET($AB$2,0,0,#REF!,1))</f>
        <v>#REF!</v>
      </c>
      <c r="AD3150" s="4" t="e">
        <f>InsurerSize(#REF!)</f>
        <v>#VALUE!</v>
      </c>
      <c r="AE3150" s="4" t="e">
        <f t="shared" si="61"/>
        <v>#VALUE!</v>
      </c>
    </row>
    <row r="3151" spans="8:31" x14ac:dyDescent="0.2">
      <c r="H3151" s="5"/>
      <c r="I3151" s="5"/>
      <c r="J3151" s="5"/>
      <c r="K3151" s="5"/>
      <c r="L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  <c r="W3151" s="5"/>
      <c r="X3151" s="5"/>
      <c r="Y3151" s="5"/>
      <c r="Z3151" s="5"/>
      <c r="AA3151" s="5"/>
      <c r="AC3151" t="e">
        <f ca="1">RANK(AB3151,OFFSET($AB$2,0,0,#REF!,1))</f>
        <v>#REF!</v>
      </c>
      <c r="AD3151" s="4" t="e">
        <f>InsurerSize(#REF!)</f>
        <v>#VALUE!</v>
      </c>
      <c r="AE3151" s="4" t="e">
        <f t="shared" si="61"/>
        <v>#VALUE!</v>
      </c>
    </row>
    <row r="3152" spans="8:31" x14ac:dyDescent="0.2">
      <c r="H3152" s="5"/>
      <c r="I3152" s="5"/>
      <c r="J3152" s="5"/>
      <c r="K3152" s="5"/>
      <c r="L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  <c r="W3152" s="5"/>
      <c r="X3152" s="5"/>
      <c r="Y3152" s="5"/>
      <c r="Z3152" s="5"/>
      <c r="AA3152" s="5"/>
      <c r="AC3152" t="e">
        <f ca="1">RANK(AB3152,OFFSET($AB$2,0,0,#REF!,1))</f>
        <v>#REF!</v>
      </c>
      <c r="AD3152" s="4" t="e">
        <f>InsurerSize(#REF!)</f>
        <v>#VALUE!</v>
      </c>
      <c r="AE3152" s="4" t="e">
        <f t="shared" si="61"/>
        <v>#VALUE!</v>
      </c>
    </row>
    <row r="3153" spans="8:31" x14ac:dyDescent="0.2">
      <c r="H3153" s="5"/>
      <c r="I3153" s="5"/>
      <c r="J3153" s="5"/>
      <c r="K3153" s="5"/>
      <c r="L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  <c r="W3153" s="5"/>
      <c r="X3153" s="5"/>
      <c r="Y3153" s="5"/>
      <c r="Z3153" s="5"/>
      <c r="AA3153" s="5"/>
      <c r="AC3153" t="e">
        <f ca="1">RANK(AB3153,OFFSET($AB$2,0,0,#REF!,1))</f>
        <v>#REF!</v>
      </c>
      <c r="AD3153" s="4" t="e">
        <f>InsurerSize(#REF!)</f>
        <v>#VALUE!</v>
      </c>
      <c r="AE3153" s="4" t="e">
        <f t="shared" si="61"/>
        <v>#VALUE!</v>
      </c>
    </row>
    <row r="3154" spans="8:31" x14ac:dyDescent="0.2">
      <c r="H3154" s="5"/>
      <c r="I3154" s="5"/>
      <c r="J3154" s="5"/>
      <c r="K3154" s="5"/>
      <c r="L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  <c r="W3154" s="5"/>
      <c r="X3154" s="5"/>
      <c r="Y3154" s="5"/>
      <c r="Z3154" s="5"/>
      <c r="AA3154" s="5"/>
      <c r="AC3154" t="e">
        <f ca="1">RANK(AB3154,OFFSET($AB$2,0,0,#REF!,1))</f>
        <v>#REF!</v>
      </c>
      <c r="AD3154" s="4" t="e">
        <f>InsurerSize(#REF!)</f>
        <v>#VALUE!</v>
      </c>
      <c r="AE3154" s="4" t="e">
        <f t="shared" si="61"/>
        <v>#VALUE!</v>
      </c>
    </row>
    <row r="3155" spans="8:31" x14ac:dyDescent="0.2">
      <c r="H3155" s="5"/>
      <c r="I3155" s="5"/>
      <c r="J3155" s="5"/>
      <c r="K3155" s="5"/>
      <c r="L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  <c r="W3155" s="5"/>
      <c r="X3155" s="5"/>
      <c r="Y3155" s="5"/>
      <c r="Z3155" s="5"/>
      <c r="AA3155" s="5"/>
      <c r="AC3155" t="e">
        <f ca="1">RANK(AB3155,OFFSET($AB$2,0,0,#REF!,1))</f>
        <v>#REF!</v>
      </c>
      <c r="AD3155" s="4" t="e">
        <f>InsurerSize(#REF!)</f>
        <v>#VALUE!</v>
      </c>
      <c r="AE3155" s="4" t="e">
        <f t="shared" si="61"/>
        <v>#VALUE!</v>
      </c>
    </row>
    <row r="3156" spans="8:31" x14ac:dyDescent="0.2">
      <c r="H3156" s="5"/>
      <c r="I3156" s="5"/>
      <c r="J3156" s="5"/>
      <c r="K3156" s="5"/>
      <c r="L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  <c r="W3156" s="5"/>
      <c r="X3156" s="5"/>
      <c r="Y3156" s="5"/>
      <c r="Z3156" s="5"/>
      <c r="AA3156" s="5"/>
      <c r="AC3156" t="e">
        <f ca="1">RANK(AB3156,OFFSET($AB$2,0,0,#REF!,1))</f>
        <v>#REF!</v>
      </c>
      <c r="AD3156" s="4" t="e">
        <f>InsurerSize(#REF!)</f>
        <v>#VALUE!</v>
      </c>
      <c r="AE3156" s="4" t="e">
        <f t="shared" si="61"/>
        <v>#VALUE!</v>
      </c>
    </row>
    <row r="3157" spans="8:31" x14ac:dyDescent="0.2">
      <c r="H3157" s="5"/>
      <c r="I3157" s="5"/>
      <c r="J3157" s="5"/>
      <c r="K3157" s="5"/>
      <c r="L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  <c r="W3157" s="5"/>
      <c r="X3157" s="5"/>
      <c r="Y3157" s="5"/>
      <c r="Z3157" s="5"/>
      <c r="AA3157" s="5"/>
      <c r="AC3157" t="e">
        <f ca="1">RANK(AB3157,OFFSET($AB$2,0,0,#REF!,1))</f>
        <v>#REF!</v>
      </c>
      <c r="AD3157" s="4" t="e">
        <f>InsurerSize(#REF!)</f>
        <v>#VALUE!</v>
      </c>
      <c r="AE3157" s="4" t="e">
        <f t="shared" si="61"/>
        <v>#VALUE!</v>
      </c>
    </row>
    <row r="3158" spans="8:31" x14ac:dyDescent="0.2">
      <c r="H3158" s="5"/>
      <c r="I3158" s="5"/>
      <c r="J3158" s="5"/>
      <c r="K3158" s="5"/>
      <c r="L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  <c r="W3158" s="5"/>
      <c r="X3158" s="5"/>
      <c r="Y3158" s="5"/>
      <c r="Z3158" s="5"/>
      <c r="AA3158" s="5"/>
      <c r="AC3158" t="e">
        <f ca="1">RANK(AB3158,OFFSET($AB$2,0,0,#REF!,1))</f>
        <v>#REF!</v>
      </c>
      <c r="AD3158" s="4" t="e">
        <f>InsurerSize(#REF!)</f>
        <v>#VALUE!</v>
      </c>
      <c r="AE3158" s="4" t="e">
        <f t="shared" si="61"/>
        <v>#VALUE!</v>
      </c>
    </row>
    <row r="3159" spans="8:31" x14ac:dyDescent="0.2">
      <c r="H3159" s="5"/>
      <c r="I3159" s="5"/>
      <c r="J3159" s="5"/>
      <c r="K3159" s="5"/>
      <c r="L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  <c r="W3159" s="5"/>
      <c r="X3159" s="5"/>
      <c r="Y3159" s="5"/>
      <c r="Z3159" s="5"/>
      <c r="AA3159" s="5"/>
      <c r="AC3159" t="e">
        <f ca="1">RANK(AB3159,OFFSET($AB$2,0,0,#REF!,1))</f>
        <v>#REF!</v>
      </c>
      <c r="AD3159" s="4" t="e">
        <f>InsurerSize(#REF!)</f>
        <v>#VALUE!</v>
      </c>
      <c r="AE3159" s="4" t="e">
        <f t="shared" si="61"/>
        <v>#VALUE!</v>
      </c>
    </row>
    <row r="3160" spans="8:31" x14ac:dyDescent="0.2">
      <c r="H3160" s="5"/>
      <c r="I3160" s="5"/>
      <c r="J3160" s="5"/>
      <c r="K3160" s="5"/>
      <c r="L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  <c r="W3160" s="5"/>
      <c r="X3160" s="5"/>
      <c r="Y3160" s="5"/>
      <c r="Z3160" s="5"/>
      <c r="AA3160" s="5"/>
      <c r="AC3160" t="e">
        <f ca="1">RANK(AB3160,OFFSET($AB$2,0,0,#REF!,1))</f>
        <v>#REF!</v>
      </c>
      <c r="AD3160" s="4" t="e">
        <f>InsurerSize(#REF!)</f>
        <v>#VALUE!</v>
      </c>
      <c r="AE3160" s="4" t="e">
        <f t="shared" si="61"/>
        <v>#VALUE!</v>
      </c>
    </row>
    <row r="3161" spans="8:31" x14ac:dyDescent="0.2">
      <c r="H3161" s="5"/>
      <c r="I3161" s="5"/>
      <c r="J3161" s="5"/>
      <c r="K3161" s="5"/>
      <c r="L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  <c r="W3161" s="5"/>
      <c r="X3161" s="5"/>
      <c r="Y3161" s="5"/>
      <c r="Z3161" s="5"/>
      <c r="AA3161" s="5"/>
      <c r="AC3161" t="e">
        <f ca="1">RANK(AB3161,OFFSET($AB$2,0,0,#REF!,1))</f>
        <v>#REF!</v>
      </c>
      <c r="AD3161" s="4" t="e">
        <f>InsurerSize(#REF!)</f>
        <v>#VALUE!</v>
      </c>
      <c r="AE3161" s="4" t="e">
        <f t="shared" si="61"/>
        <v>#VALUE!</v>
      </c>
    </row>
    <row r="3162" spans="8:31" x14ac:dyDescent="0.2">
      <c r="H3162" s="5"/>
      <c r="I3162" s="5"/>
      <c r="J3162" s="5"/>
      <c r="K3162" s="5"/>
      <c r="L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  <c r="W3162" s="5"/>
      <c r="X3162" s="5"/>
      <c r="Y3162" s="5"/>
      <c r="Z3162" s="5"/>
      <c r="AA3162" s="5"/>
      <c r="AC3162" t="e">
        <f ca="1">RANK(AB3162,OFFSET($AB$2,0,0,#REF!,1))</f>
        <v>#REF!</v>
      </c>
      <c r="AD3162" s="4" t="e">
        <f>InsurerSize(#REF!)</f>
        <v>#VALUE!</v>
      </c>
      <c r="AE3162" s="4" t="e">
        <f t="shared" si="61"/>
        <v>#VALUE!</v>
      </c>
    </row>
    <row r="3163" spans="8:31" x14ac:dyDescent="0.2">
      <c r="H3163" s="5"/>
      <c r="I3163" s="5"/>
      <c r="J3163" s="5"/>
      <c r="K3163" s="5"/>
      <c r="L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  <c r="W3163" s="5"/>
      <c r="X3163" s="5"/>
      <c r="Y3163" s="5"/>
      <c r="Z3163" s="5"/>
      <c r="AA3163" s="5"/>
      <c r="AC3163" t="e">
        <f ca="1">RANK(AB3163,OFFSET($AB$2,0,0,#REF!,1))</f>
        <v>#REF!</v>
      </c>
      <c r="AD3163" s="4" t="e">
        <f>InsurerSize(#REF!)</f>
        <v>#VALUE!</v>
      </c>
      <c r="AE3163" s="4" t="e">
        <f t="shared" si="61"/>
        <v>#VALUE!</v>
      </c>
    </row>
    <row r="3164" spans="8:31" x14ac:dyDescent="0.2">
      <c r="H3164" s="5"/>
      <c r="I3164" s="5"/>
      <c r="J3164" s="5"/>
      <c r="K3164" s="5"/>
      <c r="L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  <c r="W3164" s="5"/>
      <c r="X3164" s="5"/>
      <c r="Y3164" s="5"/>
      <c r="Z3164" s="5"/>
      <c r="AA3164" s="5"/>
      <c r="AC3164" t="e">
        <f ca="1">RANK(AB3164,OFFSET($AB$2,0,0,#REF!,1))</f>
        <v>#REF!</v>
      </c>
      <c r="AD3164" s="4" t="e">
        <f>InsurerSize(#REF!)</f>
        <v>#VALUE!</v>
      </c>
      <c r="AE3164" s="4" t="e">
        <f t="shared" si="61"/>
        <v>#VALUE!</v>
      </c>
    </row>
    <row r="3165" spans="8:31" x14ac:dyDescent="0.2">
      <c r="H3165" s="5"/>
      <c r="I3165" s="5"/>
      <c r="J3165" s="5"/>
      <c r="K3165" s="5"/>
      <c r="L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  <c r="W3165" s="5"/>
      <c r="X3165" s="5"/>
      <c r="Y3165" s="5"/>
      <c r="Z3165" s="5"/>
      <c r="AA3165" s="5"/>
      <c r="AC3165" t="e">
        <f ca="1">RANK(AB3165,OFFSET($AB$2,0,0,#REF!,1))</f>
        <v>#REF!</v>
      </c>
      <c r="AD3165" s="4" t="e">
        <f>InsurerSize(#REF!)</f>
        <v>#VALUE!</v>
      </c>
      <c r="AE3165" s="4" t="e">
        <f t="shared" si="61"/>
        <v>#VALUE!</v>
      </c>
    </row>
    <row r="3166" spans="8:31" x14ac:dyDescent="0.2">
      <c r="H3166" s="5"/>
      <c r="I3166" s="5"/>
      <c r="J3166" s="5"/>
      <c r="K3166" s="5"/>
      <c r="L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  <c r="W3166" s="5"/>
      <c r="X3166" s="5"/>
      <c r="Y3166" s="5"/>
      <c r="Z3166" s="5"/>
      <c r="AA3166" s="5"/>
      <c r="AC3166" t="e">
        <f ca="1">RANK(AB3166,OFFSET($AB$2,0,0,#REF!,1))</f>
        <v>#REF!</v>
      </c>
      <c r="AD3166" s="4" t="e">
        <f>InsurerSize(#REF!)</f>
        <v>#VALUE!</v>
      </c>
      <c r="AE3166" s="4" t="e">
        <f t="shared" si="61"/>
        <v>#VALUE!</v>
      </c>
    </row>
    <row r="3167" spans="8:31" x14ac:dyDescent="0.2">
      <c r="H3167" s="5"/>
      <c r="I3167" s="5"/>
      <c r="J3167" s="5"/>
      <c r="K3167" s="5"/>
      <c r="L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  <c r="W3167" s="5"/>
      <c r="X3167" s="5"/>
      <c r="Y3167" s="5"/>
      <c r="Z3167" s="5"/>
      <c r="AA3167" s="5"/>
      <c r="AC3167" t="e">
        <f ca="1">RANK(AB3167,OFFSET($AB$2,0,0,#REF!,1))</f>
        <v>#REF!</v>
      </c>
      <c r="AD3167" s="4" t="e">
        <f>InsurerSize(#REF!)</f>
        <v>#VALUE!</v>
      </c>
      <c r="AE3167" s="4" t="e">
        <f t="shared" si="61"/>
        <v>#VALUE!</v>
      </c>
    </row>
    <row r="3168" spans="8:31" x14ac:dyDescent="0.2">
      <c r="H3168" s="5"/>
      <c r="I3168" s="5"/>
      <c r="J3168" s="5"/>
      <c r="K3168" s="5"/>
      <c r="L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  <c r="W3168" s="5"/>
      <c r="X3168" s="5"/>
      <c r="Y3168" s="5"/>
      <c r="Z3168" s="5"/>
      <c r="AA3168" s="5"/>
      <c r="AC3168" t="e">
        <f ca="1">RANK(AB3168,OFFSET($AB$2,0,0,#REF!,1))</f>
        <v>#REF!</v>
      </c>
      <c r="AD3168" s="4" t="e">
        <f>InsurerSize(#REF!)</f>
        <v>#VALUE!</v>
      </c>
      <c r="AE3168" s="4" t="e">
        <f t="shared" si="61"/>
        <v>#VALUE!</v>
      </c>
    </row>
    <row r="3169" spans="8:31" x14ac:dyDescent="0.2">
      <c r="H3169" s="5"/>
      <c r="I3169" s="5"/>
      <c r="J3169" s="5"/>
      <c r="K3169" s="5"/>
      <c r="L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  <c r="W3169" s="5"/>
      <c r="X3169" s="5"/>
      <c r="Y3169" s="5"/>
      <c r="Z3169" s="5"/>
      <c r="AA3169" s="5"/>
      <c r="AC3169" t="e">
        <f ca="1">RANK(AB3169,OFFSET($AB$2,0,0,#REF!,1))</f>
        <v>#REF!</v>
      </c>
      <c r="AD3169" s="4" t="e">
        <f>InsurerSize(#REF!)</f>
        <v>#VALUE!</v>
      </c>
      <c r="AE3169" s="4" t="e">
        <f t="shared" si="61"/>
        <v>#VALUE!</v>
      </c>
    </row>
    <row r="3170" spans="8:31" x14ac:dyDescent="0.2">
      <c r="H3170" s="5"/>
      <c r="I3170" s="5"/>
      <c r="J3170" s="5"/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  <c r="X3170" s="5"/>
      <c r="Y3170" s="5"/>
      <c r="Z3170" s="5"/>
      <c r="AA3170" s="5"/>
      <c r="AC3170" t="e">
        <f ca="1">RANK(AB3170,OFFSET($AB$2,0,0,#REF!,1))</f>
        <v>#REF!</v>
      </c>
      <c r="AD3170" s="4" t="e">
        <f>InsurerSize(#REF!)</f>
        <v>#VALUE!</v>
      </c>
      <c r="AE3170" s="4" t="e">
        <f t="shared" si="61"/>
        <v>#VALUE!</v>
      </c>
    </row>
    <row r="3171" spans="8:31" x14ac:dyDescent="0.2">
      <c r="H3171" s="5"/>
      <c r="I3171" s="5"/>
      <c r="J3171" s="5"/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  <c r="X3171" s="5"/>
      <c r="Y3171" s="5"/>
      <c r="Z3171" s="5"/>
      <c r="AA3171" s="5"/>
      <c r="AC3171" t="e">
        <f ca="1">RANK(AB3171,OFFSET($AB$2,0,0,#REF!,1))</f>
        <v>#REF!</v>
      </c>
      <c r="AD3171" s="4" t="e">
        <f>InsurerSize(#REF!)</f>
        <v>#VALUE!</v>
      </c>
      <c r="AE3171" s="4" t="e">
        <f t="shared" si="61"/>
        <v>#VALUE!</v>
      </c>
    </row>
    <row r="3172" spans="8:31" x14ac:dyDescent="0.2">
      <c r="H3172" s="5"/>
      <c r="I3172" s="5"/>
      <c r="J3172" s="5"/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  <c r="X3172" s="5"/>
      <c r="Y3172" s="5"/>
      <c r="Z3172" s="5"/>
      <c r="AA3172" s="5"/>
      <c r="AC3172" t="e">
        <f ca="1">RANK(AB3172,OFFSET($AB$2,0,0,#REF!,1))</f>
        <v>#REF!</v>
      </c>
      <c r="AD3172" s="4" t="e">
        <f>InsurerSize(#REF!)</f>
        <v>#VALUE!</v>
      </c>
      <c r="AE3172" s="4" t="e">
        <f t="shared" si="61"/>
        <v>#VALUE!</v>
      </c>
    </row>
    <row r="3173" spans="8:31" x14ac:dyDescent="0.2">
      <c r="H3173" s="5"/>
      <c r="I3173" s="5"/>
      <c r="J3173" s="5"/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5"/>
      <c r="Z3173" s="5"/>
      <c r="AA3173" s="5"/>
      <c r="AC3173" t="e">
        <f ca="1">RANK(AB3173,OFFSET($AB$2,0,0,#REF!,1))</f>
        <v>#REF!</v>
      </c>
      <c r="AD3173" s="4" t="e">
        <f>InsurerSize(#REF!)</f>
        <v>#VALUE!</v>
      </c>
      <c r="AE3173" s="4" t="e">
        <f t="shared" si="61"/>
        <v>#VALUE!</v>
      </c>
    </row>
    <row r="3174" spans="8:31" x14ac:dyDescent="0.2">
      <c r="H3174" s="5"/>
      <c r="I3174" s="5"/>
      <c r="J3174" s="5"/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  <c r="X3174" s="5"/>
      <c r="Y3174" s="5"/>
      <c r="Z3174" s="5"/>
      <c r="AA3174" s="5"/>
      <c r="AC3174" t="e">
        <f ca="1">RANK(AB3174,OFFSET($AB$2,0,0,#REF!,1))</f>
        <v>#REF!</v>
      </c>
      <c r="AD3174" s="4" t="e">
        <f>InsurerSize(#REF!)</f>
        <v>#VALUE!</v>
      </c>
      <c r="AE3174" s="4" t="e">
        <f t="shared" si="61"/>
        <v>#VALUE!</v>
      </c>
    </row>
    <row r="3175" spans="8:31" x14ac:dyDescent="0.2">
      <c r="H3175" s="5"/>
      <c r="I3175" s="5"/>
      <c r="J3175" s="5"/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  <c r="X3175" s="5"/>
      <c r="Y3175" s="5"/>
      <c r="Z3175" s="5"/>
      <c r="AA3175" s="5"/>
      <c r="AC3175" t="e">
        <f ca="1">RANK(AB3175,OFFSET($AB$2,0,0,#REF!,1))</f>
        <v>#REF!</v>
      </c>
      <c r="AD3175" s="4" t="e">
        <f>InsurerSize(#REF!)</f>
        <v>#VALUE!</v>
      </c>
      <c r="AE3175" s="4" t="e">
        <f t="shared" si="61"/>
        <v>#VALUE!</v>
      </c>
    </row>
    <row r="3176" spans="8:31" x14ac:dyDescent="0.2">
      <c r="H3176" s="5"/>
      <c r="I3176" s="5"/>
      <c r="J3176" s="5"/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  <c r="X3176" s="5"/>
      <c r="Y3176" s="5"/>
      <c r="Z3176" s="5"/>
      <c r="AA3176" s="5"/>
      <c r="AC3176" t="e">
        <f ca="1">RANK(AB3176,OFFSET($AB$2,0,0,#REF!,1))</f>
        <v>#REF!</v>
      </c>
      <c r="AD3176" s="4" t="e">
        <f>InsurerSize(#REF!)</f>
        <v>#VALUE!</v>
      </c>
      <c r="AE3176" s="4" t="e">
        <f t="shared" si="61"/>
        <v>#VALUE!</v>
      </c>
    </row>
    <row r="3177" spans="8:31" x14ac:dyDescent="0.2">
      <c r="H3177" s="5"/>
      <c r="I3177" s="5"/>
      <c r="J3177" s="5"/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  <c r="X3177" s="5"/>
      <c r="Y3177" s="5"/>
      <c r="Z3177" s="5"/>
      <c r="AA3177" s="5"/>
      <c r="AC3177" t="e">
        <f ca="1">RANK(AB3177,OFFSET($AB$2,0,0,#REF!,1))</f>
        <v>#REF!</v>
      </c>
      <c r="AD3177" s="4" t="e">
        <f>InsurerSize(#REF!)</f>
        <v>#VALUE!</v>
      </c>
      <c r="AE3177" s="4" t="e">
        <f t="shared" si="61"/>
        <v>#VALUE!</v>
      </c>
    </row>
    <row r="3178" spans="8:31" x14ac:dyDescent="0.2"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  <c r="X3178" s="5"/>
      <c r="Y3178" s="5"/>
      <c r="Z3178" s="5"/>
      <c r="AA3178" s="5"/>
      <c r="AC3178" t="e">
        <f ca="1">RANK(AB3178,OFFSET($AB$2,0,0,#REF!,1))</f>
        <v>#REF!</v>
      </c>
      <c r="AD3178" s="4" t="e">
        <f>InsurerSize(#REF!)</f>
        <v>#VALUE!</v>
      </c>
      <c r="AE3178" s="4" t="e">
        <f t="shared" si="61"/>
        <v>#VALUE!</v>
      </c>
    </row>
    <row r="3179" spans="8:31" x14ac:dyDescent="0.2"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  <c r="X3179" s="5"/>
      <c r="Y3179" s="5"/>
      <c r="Z3179" s="5"/>
      <c r="AA3179" s="5"/>
      <c r="AC3179" t="e">
        <f ca="1">RANK(AB3179,OFFSET($AB$2,0,0,#REF!,1))</f>
        <v>#REF!</v>
      </c>
      <c r="AD3179" s="4" t="e">
        <f>InsurerSize(#REF!)</f>
        <v>#VALUE!</v>
      </c>
      <c r="AE3179" s="4" t="e">
        <f t="shared" si="61"/>
        <v>#VALUE!</v>
      </c>
    </row>
    <row r="3180" spans="8:31" x14ac:dyDescent="0.2"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  <c r="X3180" s="5"/>
      <c r="Y3180" s="5"/>
      <c r="Z3180" s="5"/>
      <c r="AA3180" s="5"/>
      <c r="AC3180" t="e">
        <f ca="1">RANK(AB3180,OFFSET($AB$2,0,0,#REF!,1))</f>
        <v>#REF!</v>
      </c>
      <c r="AD3180" s="4" t="e">
        <f>InsurerSize(#REF!)</f>
        <v>#VALUE!</v>
      </c>
      <c r="AE3180" s="4" t="e">
        <f t="shared" si="61"/>
        <v>#VALUE!</v>
      </c>
    </row>
    <row r="3181" spans="8:31" x14ac:dyDescent="0.2"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  <c r="X3181" s="5"/>
      <c r="Y3181" s="5"/>
      <c r="Z3181" s="5"/>
      <c r="AA3181" s="5"/>
      <c r="AC3181" t="e">
        <f ca="1">RANK(AB3181,OFFSET($AB$2,0,0,#REF!,1))</f>
        <v>#REF!</v>
      </c>
      <c r="AD3181" s="4" t="e">
        <f>InsurerSize(#REF!)</f>
        <v>#VALUE!</v>
      </c>
      <c r="AE3181" s="4" t="e">
        <f t="shared" si="61"/>
        <v>#VALUE!</v>
      </c>
    </row>
    <row r="3182" spans="8:31" x14ac:dyDescent="0.2"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  <c r="X3182" s="5"/>
      <c r="Y3182" s="5"/>
      <c r="Z3182" s="5"/>
      <c r="AA3182" s="5"/>
      <c r="AC3182" t="e">
        <f ca="1">RANK(AB3182,OFFSET($AB$2,0,0,#REF!,1))</f>
        <v>#REF!</v>
      </c>
      <c r="AD3182" s="4" t="e">
        <f>InsurerSize(#REF!)</f>
        <v>#VALUE!</v>
      </c>
      <c r="AE3182" s="4" t="e">
        <f t="shared" si="61"/>
        <v>#VALUE!</v>
      </c>
    </row>
    <row r="3183" spans="8:31" x14ac:dyDescent="0.2"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  <c r="X3183" s="5"/>
      <c r="Y3183" s="5"/>
      <c r="Z3183" s="5"/>
      <c r="AA3183" s="5"/>
      <c r="AC3183" t="e">
        <f ca="1">RANK(AB3183,OFFSET($AB$2,0,0,#REF!,1))</f>
        <v>#REF!</v>
      </c>
      <c r="AD3183" s="4" t="e">
        <f>InsurerSize(#REF!)</f>
        <v>#VALUE!</v>
      </c>
      <c r="AE3183" s="4" t="e">
        <f t="shared" si="61"/>
        <v>#VALUE!</v>
      </c>
    </row>
    <row r="3184" spans="8:31" x14ac:dyDescent="0.2"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  <c r="X3184" s="5"/>
      <c r="Y3184" s="5"/>
      <c r="Z3184" s="5"/>
      <c r="AA3184" s="5"/>
      <c r="AC3184" t="e">
        <f ca="1">RANK(AB3184,OFFSET($AB$2,0,0,#REF!,1))</f>
        <v>#REF!</v>
      </c>
      <c r="AD3184" s="4" t="e">
        <f>InsurerSize(#REF!)</f>
        <v>#VALUE!</v>
      </c>
      <c r="AE3184" s="4" t="e">
        <f t="shared" si="61"/>
        <v>#VALUE!</v>
      </c>
    </row>
    <row r="3185" spans="8:31" x14ac:dyDescent="0.2"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5"/>
      <c r="Z3185" s="5"/>
      <c r="AA3185" s="5"/>
      <c r="AC3185" t="e">
        <f ca="1">RANK(AB3185,OFFSET($AB$2,0,0,#REF!,1))</f>
        <v>#REF!</v>
      </c>
      <c r="AD3185" s="4" t="e">
        <f>InsurerSize(#REF!)</f>
        <v>#VALUE!</v>
      </c>
      <c r="AE3185" s="4" t="e">
        <f t="shared" si="61"/>
        <v>#VALUE!</v>
      </c>
    </row>
    <row r="3186" spans="8:31" x14ac:dyDescent="0.2"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  <c r="X3186" s="5"/>
      <c r="Y3186" s="5"/>
      <c r="Z3186" s="5"/>
      <c r="AA3186" s="5"/>
      <c r="AC3186" t="e">
        <f ca="1">RANK(AB3186,OFFSET($AB$2,0,0,#REF!,1))</f>
        <v>#REF!</v>
      </c>
      <c r="AD3186" s="4" t="e">
        <f>InsurerSize(#REF!)</f>
        <v>#VALUE!</v>
      </c>
      <c r="AE3186" s="4" t="e">
        <f t="shared" si="61"/>
        <v>#VALUE!</v>
      </c>
    </row>
    <row r="3187" spans="8:31" x14ac:dyDescent="0.2"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  <c r="X3187" s="5"/>
      <c r="Y3187" s="5"/>
      <c r="Z3187" s="5"/>
      <c r="AA3187" s="5"/>
      <c r="AC3187" t="e">
        <f ca="1">RANK(AB3187,OFFSET($AB$2,0,0,#REF!,1))</f>
        <v>#REF!</v>
      </c>
      <c r="AD3187" s="4" t="e">
        <f>InsurerSize(#REF!)</f>
        <v>#VALUE!</v>
      </c>
      <c r="AE3187" s="4" t="e">
        <f t="shared" si="61"/>
        <v>#VALUE!</v>
      </c>
    </row>
    <row r="3188" spans="8:31" x14ac:dyDescent="0.2"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  <c r="X3188" s="5"/>
      <c r="Y3188" s="5"/>
      <c r="Z3188" s="5"/>
      <c r="AA3188" s="5"/>
      <c r="AC3188" t="e">
        <f ca="1">RANK(AB3188,OFFSET($AB$2,0,0,#REF!,1))</f>
        <v>#REF!</v>
      </c>
      <c r="AD3188" s="4" t="e">
        <f>InsurerSize(#REF!)</f>
        <v>#VALUE!</v>
      </c>
      <c r="AE3188" s="4" t="e">
        <f t="shared" si="61"/>
        <v>#VALUE!</v>
      </c>
    </row>
    <row r="3189" spans="8:31" x14ac:dyDescent="0.2"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  <c r="X3189" s="5"/>
      <c r="Y3189" s="5"/>
      <c r="Z3189" s="5"/>
      <c r="AA3189" s="5"/>
      <c r="AC3189" t="e">
        <f ca="1">RANK(AB3189,OFFSET($AB$2,0,0,#REF!,1))</f>
        <v>#REF!</v>
      </c>
      <c r="AD3189" s="4" t="e">
        <f>InsurerSize(#REF!)</f>
        <v>#VALUE!</v>
      </c>
      <c r="AE3189" s="4" t="e">
        <f t="shared" si="61"/>
        <v>#VALUE!</v>
      </c>
    </row>
    <row r="3190" spans="8:31" x14ac:dyDescent="0.2"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  <c r="X3190" s="5"/>
      <c r="Y3190" s="5"/>
      <c r="Z3190" s="5"/>
      <c r="AA3190" s="5"/>
      <c r="AC3190" t="e">
        <f ca="1">RANK(AB3190,OFFSET($AB$2,0,0,#REF!,1))</f>
        <v>#REF!</v>
      </c>
      <c r="AD3190" s="4" t="e">
        <f>InsurerSize(#REF!)</f>
        <v>#VALUE!</v>
      </c>
      <c r="AE3190" s="4" t="e">
        <f t="shared" si="61"/>
        <v>#VALUE!</v>
      </c>
    </row>
    <row r="3191" spans="8:31" x14ac:dyDescent="0.2"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  <c r="X3191" s="5"/>
      <c r="Y3191" s="5"/>
      <c r="Z3191" s="5"/>
      <c r="AA3191" s="5"/>
      <c r="AC3191" t="e">
        <f ca="1">RANK(AB3191,OFFSET($AB$2,0,0,#REF!,1))</f>
        <v>#REF!</v>
      </c>
      <c r="AD3191" s="4" t="e">
        <f>InsurerSize(#REF!)</f>
        <v>#VALUE!</v>
      </c>
      <c r="AE3191" s="4" t="e">
        <f t="shared" si="61"/>
        <v>#VALUE!</v>
      </c>
    </row>
    <row r="3192" spans="8:31" x14ac:dyDescent="0.2"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  <c r="X3192" s="5"/>
      <c r="Y3192" s="5"/>
      <c r="Z3192" s="5"/>
      <c r="AA3192" s="5"/>
      <c r="AC3192" t="e">
        <f ca="1">RANK(AB3192,OFFSET($AB$2,0,0,#REF!,1))</f>
        <v>#REF!</v>
      </c>
      <c r="AD3192" s="4" t="e">
        <f>InsurerSize(#REF!)</f>
        <v>#VALUE!</v>
      </c>
      <c r="AE3192" s="4" t="e">
        <f t="shared" si="61"/>
        <v>#VALUE!</v>
      </c>
    </row>
    <row r="3193" spans="8:31" x14ac:dyDescent="0.2"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  <c r="X3193" s="5"/>
      <c r="Y3193" s="5"/>
      <c r="Z3193" s="5"/>
      <c r="AA3193" s="5"/>
      <c r="AC3193" t="e">
        <f ca="1">RANK(AB3193,OFFSET($AB$2,0,0,#REF!,1))</f>
        <v>#REF!</v>
      </c>
      <c r="AD3193" s="4" t="e">
        <f>InsurerSize(#REF!)</f>
        <v>#VALUE!</v>
      </c>
      <c r="AE3193" s="4" t="e">
        <f t="shared" si="61"/>
        <v>#VALUE!</v>
      </c>
    </row>
    <row r="3194" spans="8:31" x14ac:dyDescent="0.2"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  <c r="X3194" s="5"/>
      <c r="Y3194" s="5"/>
      <c r="Z3194" s="5"/>
      <c r="AA3194" s="5"/>
      <c r="AC3194" t="e">
        <f ca="1">RANK(AB3194,OFFSET($AB$2,0,0,#REF!,1))</f>
        <v>#REF!</v>
      </c>
      <c r="AD3194" s="4" t="e">
        <f>InsurerSize(#REF!)</f>
        <v>#VALUE!</v>
      </c>
      <c r="AE3194" s="4" t="e">
        <f t="shared" si="61"/>
        <v>#VALUE!</v>
      </c>
    </row>
    <row r="3195" spans="8:31" x14ac:dyDescent="0.2"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  <c r="X3195" s="5"/>
      <c r="Y3195" s="5"/>
      <c r="Z3195" s="5"/>
      <c r="AA3195" s="5"/>
      <c r="AC3195" t="e">
        <f ca="1">RANK(AB3195,OFFSET($AB$2,0,0,#REF!,1))</f>
        <v>#REF!</v>
      </c>
      <c r="AD3195" s="4" t="e">
        <f>InsurerSize(#REF!)</f>
        <v>#VALUE!</v>
      </c>
      <c r="AE3195" s="4" t="e">
        <f t="shared" si="61"/>
        <v>#VALUE!</v>
      </c>
    </row>
    <row r="3196" spans="8:31" x14ac:dyDescent="0.2"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  <c r="X3196" s="5"/>
      <c r="Y3196" s="5"/>
      <c r="Z3196" s="5"/>
      <c r="AA3196" s="5"/>
      <c r="AC3196" t="e">
        <f ca="1">RANK(AB3196,OFFSET($AB$2,0,0,#REF!,1))</f>
        <v>#REF!</v>
      </c>
      <c r="AD3196" s="4" t="e">
        <f>InsurerSize(#REF!)</f>
        <v>#VALUE!</v>
      </c>
      <c r="AE3196" s="4" t="e">
        <f t="shared" si="61"/>
        <v>#VALUE!</v>
      </c>
    </row>
    <row r="3197" spans="8:31" x14ac:dyDescent="0.2"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  <c r="X3197" s="5"/>
      <c r="Y3197" s="5"/>
      <c r="Z3197" s="5"/>
      <c r="AA3197" s="5"/>
      <c r="AC3197" t="e">
        <f ca="1">RANK(AB3197,OFFSET($AB$2,0,0,#REF!,1))</f>
        <v>#REF!</v>
      </c>
      <c r="AD3197" s="4" t="e">
        <f>InsurerSize(#REF!)</f>
        <v>#VALUE!</v>
      </c>
      <c r="AE3197" s="4" t="e">
        <f t="shared" si="61"/>
        <v>#VALUE!</v>
      </c>
    </row>
    <row r="3198" spans="8:31" x14ac:dyDescent="0.2"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  <c r="X3198" s="5"/>
      <c r="Y3198" s="5"/>
      <c r="Z3198" s="5"/>
      <c r="AA3198" s="5"/>
      <c r="AC3198" t="e">
        <f ca="1">RANK(AB3198,OFFSET($AB$2,0,0,#REF!,1))</f>
        <v>#REF!</v>
      </c>
      <c r="AD3198" s="4" t="e">
        <f>InsurerSize(#REF!)</f>
        <v>#VALUE!</v>
      </c>
      <c r="AE3198" s="4" t="e">
        <f t="shared" si="61"/>
        <v>#VALUE!</v>
      </c>
    </row>
    <row r="3199" spans="8:31" x14ac:dyDescent="0.2"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  <c r="X3199" s="5"/>
      <c r="Y3199" s="5"/>
      <c r="Z3199" s="5"/>
      <c r="AA3199" s="5"/>
      <c r="AC3199" t="e">
        <f ca="1">RANK(AB3199,OFFSET($AB$2,0,0,#REF!,1))</f>
        <v>#REF!</v>
      </c>
      <c r="AD3199" s="4" t="e">
        <f>InsurerSize(#REF!)</f>
        <v>#VALUE!</v>
      </c>
      <c r="AE3199" s="4" t="e">
        <f t="shared" si="61"/>
        <v>#VALUE!</v>
      </c>
    </row>
    <row r="3200" spans="8:31" x14ac:dyDescent="0.2"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  <c r="X3200" s="5"/>
      <c r="Y3200" s="5"/>
      <c r="Z3200" s="5"/>
      <c r="AA3200" s="5"/>
      <c r="AC3200" t="e">
        <f ca="1">RANK(AB3200,OFFSET($AB$2,0,0,#REF!,1))</f>
        <v>#REF!</v>
      </c>
      <c r="AD3200" s="4" t="e">
        <f>InsurerSize(#REF!)</f>
        <v>#VALUE!</v>
      </c>
      <c r="AE3200" s="4" t="e">
        <f t="shared" si="61"/>
        <v>#VALUE!</v>
      </c>
    </row>
    <row r="3201" spans="8:31" x14ac:dyDescent="0.2"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  <c r="X3201" s="5"/>
      <c r="Y3201" s="5"/>
      <c r="Z3201" s="5"/>
      <c r="AA3201" s="5"/>
      <c r="AC3201" t="e">
        <f ca="1">RANK(AB3201,OFFSET($AB$2,0,0,#REF!,1))</f>
        <v>#REF!</v>
      </c>
      <c r="AD3201" s="4" t="e">
        <f>InsurerSize(#REF!)</f>
        <v>#VALUE!</v>
      </c>
      <c r="AE3201" s="4" t="e">
        <f t="shared" si="61"/>
        <v>#VALUE!</v>
      </c>
    </row>
    <row r="3202" spans="8:31" x14ac:dyDescent="0.2"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  <c r="X3202" s="5"/>
      <c r="Y3202" s="5"/>
      <c r="Z3202" s="5"/>
      <c r="AA3202" s="5"/>
      <c r="AC3202" t="e">
        <f ca="1">RANK(AB3202,OFFSET($AB$2,0,0,#REF!,1))</f>
        <v>#REF!</v>
      </c>
      <c r="AD3202" s="4" t="e">
        <f>InsurerSize(#REF!)</f>
        <v>#VALUE!</v>
      </c>
      <c r="AE3202" s="4" t="e">
        <f t="shared" ref="AE3202:AE3265" si="62">A3202&amp;AD3202</f>
        <v>#VALUE!</v>
      </c>
    </row>
    <row r="3203" spans="8:31" x14ac:dyDescent="0.2"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  <c r="X3203" s="5"/>
      <c r="Y3203" s="5"/>
      <c r="Z3203" s="5"/>
      <c r="AA3203" s="5"/>
      <c r="AC3203" t="e">
        <f ca="1">RANK(AB3203,OFFSET($AB$2,0,0,#REF!,1))</f>
        <v>#REF!</v>
      </c>
      <c r="AD3203" s="4" t="e">
        <f>InsurerSize(#REF!)</f>
        <v>#VALUE!</v>
      </c>
      <c r="AE3203" s="4" t="e">
        <f t="shared" si="62"/>
        <v>#VALUE!</v>
      </c>
    </row>
    <row r="3204" spans="8:31" x14ac:dyDescent="0.2"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  <c r="X3204" s="5"/>
      <c r="Y3204" s="5"/>
      <c r="Z3204" s="5"/>
      <c r="AA3204" s="5"/>
      <c r="AC3204" t="e">
        <f ca="1">RANK(AB3204,OFFSET($AB$2,0,0,#REF!,1))</f>
        <v>#REF!</v>
      </c>
      <c r="AD3204" s="4" t="e">
        <f>InsurerSize(#REF!)</f>
        <v>#VALUE!</v>
      </c>
      <c r="AE3204" s="4" t="e">
        <f t="shared" si="62"/>
        <v>#VALUE!</v>
      </c>
    </row>
    <row r="3205" spans="8:31" x14ac:dyDescent="0.2"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  <c r="X3205" s="5"/>
      <c r="Y3205" s="5"/>
      <c r="Z3205" s="5"/>
      <c r="AA3205" s="5"/>
      <c r="AC3205" t="e">
        <f ca="1">RANK(AB3205,OFFSET($AB$2,0,0,#REF!,1))</f>
        <v>#REF!</v>
      </c>
      <c r="AD3205" s="4" t="e">
        <f>InsurerSize(#REF!)</f>
        <v>#VALUE!</v>
      </c>
      <c r="AE3205" s="4" t="e">
        <f t="shared" si="62"/>
        <v>#VALUE!</v>
      </c>
    </row>
    <row r="3206" spans="8:31" x14ac:dyDescent="0.2"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  <c r="X3206" s="5"/>
      <c r="Y3206" s="5"/>
      <c r="Z3206" s="5"/>
      <c r="AA3206" s="5"/>
      <c r="AC3206" t="e">
        <f ca="1">RANK(AB3206,OFFSET($AB$2,0,0,#REF!,1))</f>
        <v>#REF!</v>
      </c>
      <c r="AD3206" s="4" t="e">
        <f>InsurerSize(#REF!)</f>
        <v>#VALUE!</v>
      </c>
      <c r="AE3206" s="4" t="e">
        <f t="shared" si="62"/>
        <v>#VALUE!</v>
      </c>
    </row>
    <row r="3207" spans="8:31" x14ac:dyDescent="0.2"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  <c r="X3207" s="5"/>
      <c r="Y3207" s="5"/>
      <c r="Z3207" s="5"/>
      <c r="AA3207" s="5"/>
      <c r="AC3207" t="e">
        <f ca="1">RANK(AB3207,OFFSET($AB$2,0,0,#REF!,1))</f>
        <v>#REF!</v>
      </c>
      <c r="AD3207" s="4" t="e">
        <f>InsurerSize(#REF!)</f>
        <v>#VALUE!</v>
      </c>
      <c r="AE3207" s="4" t="e">
        <f t="shared" si="62"/>
        <v>#VALUE!</v>
      </c>
    </row>
    <row r="3208" spans="8:31" x14ac:dyDescent="0.2"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  <c r="X3208" s="5"/>
      <c r="Y3208" s="5"/>
      <c r="Z3208" s="5"/>
      <c r="AA3208" s="5"/>
      <c r="AC3208" t="e">
        <f ca="1">RANK(AB3208,OFFSET($AB$2,0,0,#REF!,1))</f>
        <v>#REF!</v>
      </c>
      <c r="AD3208" s="4" t="e">
        <f>InsurerSize(#REF!)</f>
        <v>#VALUE!</v>
      </c>
      <c r="AE3208" s="4" t="e">
        <f t="shared" si="62"/>
        <v>#VALUE!</v>
      </c>
    </row>
    <row r="3209" spans="8:31" x14ac:dyDescent="0.2"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5"/>
      <c r="Z3209" s="5"/>
      <c r="AA3209" s="5"/>
      <c r="AC3209" t="e">
        <f ca="1">RANK(AB3209,OFFSET($AB$2,0,0,#REF!,1))</f>
        <v>#REF!</v>
      </c>
      <c r="AD3209" s="4" t="e">
        <f>InsurerSize(#REF!)</f>
        <v>#VALUE!</v>
      </c>
      <c r="AE3209" s="4" t="e">
        <f t="shared" si="62"/>
        <v>#VALUE!</v>
      </c>
    </row>
    <row r="3210" spans="8:31" x14ac:dyDescent="0.2"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  <c r="X3210" s="5"/>
      <c r="Y3210" s="5"/>
      <c r="Z3210" s="5"/>
      <c r="AA3210" s="5"/>
      <c r="AC3210" t="e">
        <f ca="1">RANK(AB3210,OFFSET($AB$2,0,0,#REF!,1))</f>
        <v>#REF!</v>
      </c>
      <c r="AD3210" s="4" t="e">
        <f>InsurerSize(#REF!)</f>
        <v>#VALUE!</v>
      </c>
      <c r="AE3210" s="4" t="e">
        <f t="shared" si="62"/>
        <v>#VALUE!</v>
      </c>
    </row>
    <row r="3211" spans="8:31" x14ac:dyDescent="0.2"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  <c r="X3211" s="5"/>
      <c r="Y3211" s="5"/>
      <c r="Z3211" s="5"/>
      <c r="AA3211" s="5"/>
      <c r="AC3211" t="e">
        <f ca="1">RANK(AB3211,OFFSET($AB$2,0,0,#REF!,1))</f>
        <v>#REF!</v>
      </c>
      <c r="AD3211" s="4" t="e">
        <f>InsurerSize(#REF!)</f>
        <v>#VALUE!</v>
      </c>
      <c r="AE3211" s="4" t="e">
        <f t="shared" si="62"/>
        <v>#VALUE!</v>
      </c>
    </row>
    <row r="3212" spans="8:31" x14ac:dyDescent="0.2"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  <c r="X3212" s="5"/>
      <c r="Y3212" s="5"/>
      <c r="Z3212" s="5"/>
      <c r="AA3212" s="5"/>
      <c r="AC3212" t="e">
        <f ca="1">RANK(AB3212,OFFSET($AB$2,0,0,#REF!,1))</f>
        <v>#REF!</v>
      </c>
      <c r="AD3212" s="4" t="e">
        <f>InsurerSize(#REF!)</f>
        <v>#VALUE!</v>
      </c>
      <c r="AE3212" s="4" t="e">
        <f t="shared" si="62"/>
        <v>#VALUE!</v>
      </c>
    </row>
    <row r="3213" spans="8:31" x14ac:dyDescent="0.2"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  <c r="X3213" s="5"/>
      <c r="Y3213" s="5"/>
      <c r="Z3213" s="5"/>
      <c r="AA3213" s="5"/>
      <c r="AC3213" t="e">
        <f ca="1">RANK(AB3213,OFFSET($AB$2,0,0,#REF!,1))</f>
        <v>#REF!</v>
      </c>
      <c r="AD3213" s="4" t="e">
        <f>InsurerSize(#REF!)</f>
        <v>#VALUE!</v>
      </c>
      <c r="AE3213" s="4" t="e">
        <f t="shared" si="62"/>
        <v>#VALUE!</v>
      </c>
    </row>
    <row r="3214" spans="8:31" x14ac:dyDescent="0.2"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  <c r="X3214" s="5"/>
      <c r="Y3214" s="5"/>
      <c r="Z3214" s="5"/>
      <c r="AA3214" s="5"/>
      <c r="AC3214" t="e">
        <f ca="1">RANK(AB3214,OFFSET($AB$2,0,0,#REF!,1))</f>
        <v>#REF!</v>
      </c>
      <c r="AD3214" s="4" t="e">
        <f>InsurerSize(#REF!)</f>
        <v>#VALUE!</v>
      </c>
      <c r="AE3214" s="4" t="e">
        <f t="shared" si="62"/>
        <v>#VALUE!</v>
      </c>
    </row>
    <row r="3215" spans="8:31" x14ac:dyDescent="0.2"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  <c r="X3215" s="5"/>
      <c r="Y3215" s="5"/>
      <c r="Z3215" s="5"/>
      <c r="AA3215" s="5"/>
      <c r="AC3215" t="e">
        <f ca="1">RANK(AB3215,OFFSET($AB$2,0,0,#REF!,1))</f>
        <v>#REF!</v>
      </c>
      <c r="AD3215" s="4" t="e">
        <f>InsurerSize(#REF!)</f>
        <v>#VALUE!</v>
      </c>
      <c r="AE3215" s="4" t="e">
        <f t="shared" si="62"/>
        <v>#VALUE!</v>
      </c>
    </row>
    <row r="3216" spans="8:31" x14ac:dyDescent="0.2"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  <c r="X3216" s="5"/>
      <c r="Y3216" s="5"/>
      <c r="Z3216" s="5"/>
      <c r="AA3216" s="5"/>
      <c r="AC3216" t="e">
        <f ca="1">RANK(AB3216,OFFSET($AB$2,0,0,#REF!,1))</f>
        <v>#REF!</v>
      </c>
      <c r="AD3216" s="4" t="e">
        <f>InsurerSize(#REF!)</f>
        <v>#VALUE!</v>
      </c>
      <c r="AE3216" s="4" t="e">
        <f t="shared" si="62"/>
        <v>#VALUE!</v>
      </c>
    </row>
    <row r="3217" spans="8:31" x14ac:dyDescent="0.2"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  <c r="X3217" s="5"/>
      <c r="Y3217" s="5"/>
      <c r="Z3217" s="5"/>
      <c r="AA3217" s="5"/>
      <c r="AC3217" t="e">
        <f ca="1">RANK(AB3217,OFFSET($AB$2,0,0,#REF!,1))</f>
        <v>#REF!</v>
      </c>
      <c r="AD3217" s="4" t="e">
        <f>InsurerSize(#REF!)</f>
        <v>#VALUE!</v>
      </c>
      <c r="AE3217" s="4" t="e">
        <f t="shared" si="62"/>
        <v>#VALUE!</v>
      </c>
    </row>
    <row r="3218" spans="8:31" x14ac:dyDescent="0.2"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  <c r="X3218" s="5"/>
      <c r="Y3218" s="5"/>
      <c r="Z3218" s="5"/>
      <c r="AA3218" s="5"/>
      <c r="AC3218" t="e">
        <f ca="1">RANK(AB3218,OFFSET($AB$2,0,0,#REF!,1))</f>
        <v>#REF!</v>
      </c>
      <c r="AD3218" s="4" t="e">
        <f>InsurerSize(#REF!)</f>
        <v>#VALUE!</v>
      </c>
      <c r="AE3218" s="4" t="e">
        <f t="shared" si="62"/>
        <v>#VALUE!</v>
      </c>
    </row>
    <row r="3219" spans="8:31" x14ac:dyDescent="0.2"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  <c r="X3219" s="5"/>
      <c r="Y3219" s="5"/>
      <c r="Z3219" s="5"/>
      <c r="AA3219" s="5"/>
      <c r="AC3219" t="e">
        <f ca="1">RANK(AB3219,OFFSET($AB$2,0,0,#REF!,1))</f>
        <v>#REF!</v>
      </c>
      <c r="AD3219" s="4" t="e">
        <f>InsurerSize(#REF!)</f>
        <v>#VALUE!</v>
      </c>
      <c r="AE3219" s="4" t="e">
        <f t="shared" si="62"/>
        <v>#VALUE!</v>
      </c>
    </row>
    <row r="3220" spans="8:31" x14ac:dyDescent="0.2"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  <c r="X3220" s="5"/>
      <c r="Y3220" s="5"/>
      <c r="Z3220" s="5"/>
      <c r="AA3220" s="5"/>
      <c r="AC3220" t="e">
        <f ca="1">RANK(AB3220,OFFSET($AB$2,0,0,#REF!,1))</f>
        <v>#REF!</v>
      </c>
      <c r="AD3220" s="4" t="e">
        <f>InsurerSize(#REF!)</f>
        <v>#VALUE!</v>
      </c>
      <c r="AE3220" s="4" t="e">
        <f t="shared" si="62"/>
        <v>#VALUE!</v>
      </c>
    </row>
    <row r="3221" spans="8:31" x14ac:dyDescent="0.2"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  <c r="X3221" s="5"/>
      <c r="Y3221" s="5"/>
      <c r="Z3221" s="5"/>
      <c r="AA3221" s="5"/>
      <c r="AC3221" t="e">
        <f ca="1">RANK(AB3221,OFFSET($AB$2,0,0,#REF!,1))</f>
        <v>#REF!</v>
      </c>
      <c r="AD3221" s="4" t="e">
        <f>InsurerSize(#REF!)</f>
        <v>#VALUE!</v>
      </c>
      <c r="AE3221" s="4" t="e">
        <f t="shared" si="62"/>
        <v>#VALUE!</v>
      </c>
    </row>
    <row r="3222" spans="8:31" x14ac:dyDescent="0.2"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  <c r="X3222" s="5"/>
      <c r="Y3222" s="5"/>
      <c r="Z3222" s="5"/>
      <c r="AA3222" s="5"/>
      <c r="AC3222" t="e">
        <f ca="1">RANK(AB3222,OFFSET($AB$2,0,0,#REF!,1))</f>
        <v>#REF!</v>
      </c>
      <c r="AD3222" s="4" t="e">
        <f>InsurerSize(#REF!)</f>
        <v>#VALUE!</v>
      </c>
      <c r="AE3222" s="4" t="e">
        <f t="shared" si="62"/>
        <v>#VALUE!</v>
      </c>
    </row>
    <row r="3223" spans="8:31" x14ac:dyDescent="0.2"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  <c r="X3223" s="5"/>
      <c r="Y3223" s="5"/>
      <c r="Z3223" s="5"/>
      <c r="AA3223" s="5"/>
      <c r="AC3223" t="e">
        <f ca="1">RANK(AB3223,OFFSET($AB$2,0,0,#REF!,1))</f>
        <v>#REF!</v>
      </c>
      <c r="AD3223" s="4" t="e">
        <f>InsurerSize(#REF!)</f>
        <v>#VALUE!</v>
      </c>
      <c r="AE3223" s="4" t="e">
        <f t="shared" si="62"/>
        <v>#VALUE!</v>
      </c>
    </row>
    <row r="3224" spans="8:31" x14ac:dyDescent="0.2"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  <c r="X3224" s="5"/>
      <c r="Y3224" s="5"/>
      <c r="Z3224" s="5"/>
      <c r="AA3224" s="5"/>
      <c r="AC3224" t="e">
        <f ca="1">RANK(AB3224,OFFSET($AB$2,0,0,#REF!,1))</f>
        <v>#REF!</v>
      </c>
      <c r="AD3224" s="4" t="e">
        <f>InsurerSize(#REF!)</f>
        <v>#VALUE!</v>
      </c>
      <c r="AE3224" s="4" t="e">
        <f t="shared" si="62"/>
        <v>#VALUE!</v>
      </c>
    </row>
    <row r="3225" spans="8:31" x14ac:dyDescent="0.2"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  <c r="X3225" s="5"/>
      <c r="Y3225" s="5"/>
      <c r="Z3225" s="5"/>
      <c r="AA3225" s="5"/>
      <c r="AC3225" t="e">
        <f ca="1">RANK(AB3225,OFFSET($AB$2,0,0,#REF!,1))</f>
        <v>#REF!</v>
      </c>
      <c r="AD3225" s="4" t="e">
        <f>InsurerSize(#REF!)</f>
        <v>#VALUE!</v>
      </c>
      <c r="AE3225" s="4" t="e">
        <f t="shared" si="62"/>
        <v>#VALUE!</v>
      </c>
    </row>
    <row r="3226" spans="8:31" x14ac:dyDescent="0.2"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  <c r="X3226" s="5"/>
      <c r="Y3226" s="5"/>
      <c r="Z3226" s="5"/>
      <c r="AA3226" s="5"/>
      <c r="AC3226" t="e">
        <f ca="1">RANK(AB3226,OFFSET($AB$2,0,0,#REF!,1))</f>
        <v>#REF!</v>
      </c>
      <c r="AD3226" s="4" t="e">
        <f>InsurerSize(#REF!)</f>
        <v>#VALUE!</v>
      </c>
      <c r="AE3226" s="4" t="e">
        <f t="shared" si="62"/>
        <v>#VALUE!</v>
      </c>
    </row>
    <row r="3227" spans="8:31" x14ac:dyDescent="0.2"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  <c r="X3227" s="5"/>
      <c r="Y3227" s="5"/>
      <c r="Z3227" s="5"/>
      <c r="AA3227" s="5"/>
      <c r="AC3227" t="e">
        <f ca="1">RANK(AB3227,OFFSET($AB$2,0,0,#REF!,1))</f>
        <v>#REF!</v>
      </c>
      <c r="AD3227" s="4" t="e">
        <f>InsurerSize(#REF!)</f>
        <v>#VALUE!</v>
      </c>
      <c r="AE3227" s="4" t="e">
        <f t="shared" si="62"/>
        <v>#VALUE!</v>
      </c>
    </row>
    <row r="3228" spans="8:31" x14ac:dyDescent="0.2"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5"/>
      <c r="Z3228" s="5"/>
      <c r="AA3228" s="5"/>
      <c r="AC3228" t="e">
        <f ca="1">RANK(AB3228,OFFSET($AB$2,0,0,#REF!,1))</f>
        <v>#REF!</v>
      </c>
      <c r="AD3228" s="4" t="e">
        <f>InsurerSize(#REF!)</f>
        <v>#VALUE!</v>
      </c>
      <c r="AE3228" s="4" t="e">
        <f t="shared" si="62"/>
        <v>#VALUE!</v>
      </c>
    </row>
    <row r="3229" spans="8:31" x14ac:dyDescent="0.2"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  <c r="X3229" s="5"/>
      <c r="Y3229" s="5"/>
      <c r="Z3229" s="5"/>
      <c r="AA3229" s="5"/>
      <c r="AC3229" t="e">
        <f ca="1">RANK(AB3229,OFFSET($AB$2,0,0,#REF!,1))</f>
        <v>#REF!</v>
      </c>
      <c r="AD3229" s="4" t="e">
        <f>InsurerSize(#REF!)</f>
        <v>#VALUE!</v>
      </c>
      <c r="AE3229" s="4" t="e">
        <f t="shared" si="62"/>
        <v>#VALUE!</v>
      </c>
    </row>
    <row r="3230" spans="8:31" x14ac:dyDescent="0.2"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  <c r="X3230" s="5"/>
      <c r="Y3230" s="5"/>
      <c r="Z3230" s="5"/>
      <c r="AA3230" s="5"/>
      <c r="AC3230" t="e">
        <f ca="1">RANK(AB3230,OFFSET($AB$2,0,0,#REF!,1))</f>
        <v>#REF!</v>
      </c>
      <c r="AD3230" s="4" t="e">
        <f>InsurerSize(#REF!)</f>
        <v>#VALUE!</v>
      </c>
      <c r="AE3230" s="4" t="e">
        <f t="shared" si="62"/>
        <v>#VALUE!</v>
      </c>
    </row>
    <row r="3231" spans="8:31" x14ac:dyDescent="0.2"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  <c r="X3231" s="5"/>
      <c r="Y3231" s="5"/>
      <c r="Z3231" s="5"/>
      <c r="AA3231" s="5"/>
      <c r="AC3231" t="e">
        <f ca="1">RANK(AB3231,OFFSET($AB$2,0,0,#REF!,1))</f>
        <v>#REF!</v>
      </c>
      <c r="AD3231" s="4" t="e">
        <f>InsurerSize(#REF!)</f>
        <v>#VALUE!</v>
      </c>
      <c r="AE3231" s="4" t="e">
        <f t="shared" si="62"/>
        <v>#VALUE!</v>
      </c>
    </row>
    <row r="3232" spans="8:31" x14ac:dyDescent="0.2"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  <c r="X3232" s="5"/>
      <c r="Y3232" s="5"/>
      <c r="Z3232" s="5"/>
      <c r="AA3232" s="5"/>
      <c r="AC3232" t="e">
        <f ca="1">RANK(AB3232,OFFSET($AB$2,0,0,#REF!,1))</f>
        <v>#REF!</v>
      </c>
      <c r="AD3232" s="4" t="e">
        <f>InsurerSize(#REF!)</f>
        <v>#VALUE!</v>
      </c>
      <c r="AE3232" s="4" t="e">
        <f t="shared" si="62"/>
        <v>#VALUE!</v>
      </c>
    </row>
    <row r="3233" spans="8:31" x14ac:dyDescent="0.2"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  <c r="X3233" s="5"/>
      <c r="Y3233" s="5"/>
      <c r="Z3233" s="5"/>
      <c r="AA3233" s="5"/>
      <c r="AC3233" t="e">
        <f ca="1">RANK(AB3233,OFFSET($AB$2,0,0,#REF!,1))</f>
        <v>#REF!</v>
      </c>
      <c r="AD3233" s="4" t="e">
        <f>InsurerSize(#REF!)</f>
        <v>#VALUE!</v>
      </c>
      <c r="AE3233" s="4" t="e">
        <f t="shared" si="62"/>
        <v>#VALUE!</v>
      </c>
    </row>
    <row r="3234" spans="8:31" x14ac:dyDescent="0.2"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  <c r="X3234" s="5"/>
      <c r="Y3234" s="5"/>
      <c r="Z3234" s="5"/>
      <c r="AA3234" s="5"/>
      <c r="AC3234" t="e">
        <f ca="1">RANK(AB3234,OFFSET($AB$2,0,0,#REF!,1))</f>
        <v>#REF!</v>
      </c>
      <c r="AD3234" s="4" t="e">
        <f>InsurerSize(#REF!)</f>
        <v>#VALUE!</v>
      </c>
      <c r="AE3234" s="4" t="e">
        <f t="shared" si="62"/>
        <v>#VALUE!</v>
      </c>
    </row>
    <row r="3235" spans="8:31" x14ac:dyDescent="0.2"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  <c r="X3235" s="5"/>
      <c r="Y3235" s="5"/>
      <c r="Z3235" s="5"/>
      <c r="AA3235" s="5"/>
      <c r="AC3235" t="e">
        <f ca="1">RANK(AB3235,OFFSET($AB$2,0,0,#REF!,1))</f>
        <v>#REF!</v>
      </c>
      <c r="AD3235" s="4" t="e">
        <f>InsurerSize(#REF!)</f>
        <v>#VALUE!</v>
      </c>
      <c r="AE3235" s="4" t="e">
        <f t="shared" si="62"/>
        <v>#VALUE!</v>
      </c>
    </row>
    <row r="3236" spans="8:31" x14ac:dyDescent="0.2"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  <c r="X3236" s="5"/>
      <c r="Y3236" s="5"/>
      <c r="Z3236" s="5"/>
      <c r="AA3236" s="5"/>
      <c r="AC3236" t="e">
        <f ca="1">RANK(AB3236,OFFSET($AB$2,0,0,#REF!,1))</f>
        <v>#REF!</v>
      </c>
      <c r="AD3236" s="4" t="e">
        <f>InsurerSize(#REF!)</f>
        <v>#VALUE!</v>
      </c>
      <c r="AE3236" s="4" t="e">
        <f t="shared" si="62"/>
        <v>#VALUE!</v>
      </c>
    </row>
    <row r="3237" spans="8:31" x14ac:dyDescent="0.2"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  <c r="X3237" s="5"/>
      <c r="Y3237" s="5"/>
      <c r="Z3237" s="5"/>
      <c r="AA3237" s="5"/>
      <c r="AC3237" t="e">
        <f ca="1">RANK(AB3237,OFFSET($AB$2,0,0,#REF!,1))</f>
        <v>#REF!</v>
      </c>
      <c r="AD3237" s="4" t="e">
        <f>InsurerSize(#REF!)</f>
        <v>#VALUE!</v>
      </c>
      <c r="AE3237" s="4" t="e">
        <f t="shared" si="62"/>
        <v>#VALUE!</v>
      </c>
    </row>
    <row r="3238" spans="8:31" x14ac:dyDescent="0.2"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  <c r="X3238" s="5"/>
      <c r="Y3238" s="5"/>
      <c r="Z3238" s="5"/>
      <c r="AA3238" s="5"/>
      <c r="AC3238" t="e">
        <f ca="1">RANK(AB3238,OFFSET($AB$2,0,0,#REF!,1))</f>
        <v>#REF!</v>
      </c>
      <c r="AD3238" s="4" t="e">
        <f>InsurerSize(#REF!)</f>
        <v>#VALUE!</v>
      </c>
      <c r="AE3238" s="4" t="e">
        <f t="shared" si="62"/>
        <v>#VALUE!</v>
      </c>
    </row>
    <row r="3239" spans="8:31" x14ac:dyDescent="0.2"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  <c r="X3239" s="5"/>
      <c r="Y3239" s="5"/>
      <c r="Z3239" s="5"/>
      <c r="AA3239" s="5"/>
      <c r="AC3239" t="e">
        <f ca="1">RANK(AB3239,OFFSET($AB$2,0,0,#REF!,1))</f>
        <v>#REF!</v>
      </c>
      <c r="AD3239" s="4" t="e">
        <f>InsurerSize(#REF!)</f>
        <v>#VALUE!</v>
      </c>
      <c r="AE3239" s="4" t="e">
        <f t="shared" si="62"/>
        <v>#VALUE!</v>
      </c>
    </row>
    <row r="3240" spans="8:31" x14ac:dyDescent="0.2"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  <c r="X3240" s="5"/>
      <c r="Y3240" s="5"/>
      <c r="Z3240" s="5"/>
      <c r="AA3240" s="5"/>
      <c r="AC3240" t="e">
        <f ca="1">RANK(AB3240,OFFSET($AB$2,0,0,#REF!,1))</f>
        <v>#REF!</v>
      </c>
      <c r="AD3240" s="4" t="e">
        <f>InsurerSize(#REF!)</f>
        <v>#VALUE!</v>
      </c>
      <c r="AE3240" s="4" t="e">
        <f t="shared" si="62"/>
        <v>#VALUE!</v>
      </c>
    </row>
    <row r="3241" spans="8:31" x14ac:dyDescent="0.2"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  <c r="X3241" s="5"/>
      <c r="Y3241" s="5"/>
      <c r="Z3241" s="5"/>
      <c r="AA3241" s="5"/>
      <c r="AC3241" t="e">
        <f ca="1">RANK(AB3241,OFFSET($AB$2,0,0,#REF!,1))</f>
        <v>#REF!</v>
      </c>
      <c r="AD3241" s="4" t="e">
        <f>InsurerSize(#REF!)</f>
        <v>#VALUE!</v>
      </c>
      <c r="AE3241" s="4" t="e">
        <f t="shared" si="62"/>
        <v>#VALUE!</v>
      </c>
    </row>
    <row r="3242" spans="8:31" x14ac:dyDescent="0.2"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  <c r="X3242" s="5"/>
      <c r="Y3242" s="5"/>
      <c r="Z3242" s="5"/>
      <c r="AA3242" s="5"/>
      <c r="AC3242" t="e">
        <f ca="1">RANK(AB3242,OFFSET($AB$2,0,0,#REF!,1))</f>
        <v>#REF!</v>
      </c>
      <c r="AD3242" s="4" t="e">
        <f>InsurerSize(#REF!)</f>
        <v>#VALUE!</v>
      </c>
      <c r="AE3242" s="4" t="e">
        <f t="shared" si="62"/>
        <v>#VALUE!</v>
      </c>
    </row>
    <row r="3243" spans="8:31" x14ac:dyDescent="0.2"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  <c r="X3243" s="5"/>
      <c r="Y3243" s="5"/>
      <c r="Z3243" s="5"/>
      <c r="AA3243" s="5"/>
      <c r="AC3243" t="e">
        <f ca="1">RANK(AB3243,OFFSET($AB$2,0,0,#REF!,1))</f>
        <v>#REF!</v>
      </c>
      <c r="AD3243" s="4" t="e">
        <f>InsurerSize(#REF!)</f>
        <v>#VALUE!</v>
      </c>
      <c r="AE3243" s="4" t="e">
        <f t="shared" si="62"/>
        <v>#VALUE!</v>
      </c>
    </row>
    <row r="3244" spans="8:31" x14ac:dyDescent="0.2"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  <c r="X3244" s="5"/>
      <c r="Y3244" s="5"/>
      <c r="Z3244" s="5"/>
      <c r="AA3244" s="5"/>
      <c r="AC3244" t="e">
        <f ca="1">RANK(AB3244,OFFSET($AB$2,0,0,#REF!,1))</f>
        <v>#REF!</v>
      </c>
      <c r="AD3244" s="4" t="e">
        <f>InsurerSize(#REF!)</f>
        <v>#VALUE!</v>
      </c>
      <c r="AE3244" s="4" t="e">
        <f t="shared" si="62"/>
        <v>#VALUE!</v>
      </c>
    </row>
    <row r="3245" spans="8:31" x14ac:dyDescent="0.2"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5"/>
      <c r="Z3245" s="5"/>
      <c r="AA3245" s="5"/>
      <c r="AC3245" t="e">
        <f ca="1">RANK(AB3245,OFFSET($AB$2,0,0,#REF!,1))</f>
        <v>#REF!</v>
      </c>
      <c r="AD3245" s="4" t="e">
        <f>InsurerSize(#REF!)</f>
        <v>#VALUE!</v>
      </c>
      <c r="AE3245" s="4" t="e">
        <f t="shared" si="62"/>
        <v>#VALUE!</v>
      </c>
    </row>
    <row r="3246" spans="8:31" x14ac:dyDescent="0.2"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  <c r="X3246" s="5"/>
      <c r="Y3246" s="5"/>
      <c r="Z3246" s="5"/>
      <c r="AA3246" s="5"/>
      <c r="AC3246" t="e">
        <f ca="1">RANK(AB3246,OFFSET($AB$2,0,0,#REF!,1))</f>
        <v>#REF!</v>
      </c>
      <c r="AD3246" s="4" t="e">
        <f>InsurerSize(#REF!)</f>
        <v>#VALUE!</v>
      </c>
      <c r="AE3246" s="4" t="e">
        <f t="shared" si="62"/>
        <v>#VALUE!</v>
      </c>
    </row>
    <row r="3247" spans="8:31" x14ac:dyDescent="0.2"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  <c r="X3247" s="5"/>
      <c r="Y3247" s="5"/>
      <c r="Z3247" s="5"/>
      <c r="AA3247" s="5"/>
      <c r="AC3247" t="e">
        <f ca="1">RANK(AB3247,OFFSET($AB$2,0,0,#REF!,1))</f>
        <v>#REF!</v>
      </c>
      <c r="AD3247" s="4" t="e">
        <f>InsurerSize(#REF!)</f>
        <v>#VALUE!</v>
      </c>
      <c r="AE3247" s="4" t="e">
        <f t="shared" si="62"/>
        <v>#VALUE!</v>
      </c>
    </row>
    <row r="3248" spans="8:31" x14ac:dyDescent="0.2"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  <c r="X3248" s="5"/>
      <c r="Y3248" s="5"/>
      <c r="Z3248" s="5"/>
      <c r="AA3248" s="5"/>
      <c r="AC3248" t="e">
        <f ca="1">RANK(AB3248,OFFSET($AB$2,0,0,#REF!,1))</f>
        <v>#REF!</v>
      </c>
      <c r="AD3248" s="4" t="e">
        <f>InsurerSize(#REF!)</f>
        <v>#VALUE!</v>
      </c>
      <c r="AE3248" s="4" t="e">
        <f t="shared" si="62"/>
        <v>#VALUE!</v>
      </c>
    </row>
    <row r="3249" spans="8:31" x14ac:dyDescent="0.2"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  <c r="X3249" s="5"/>
      <c r="Y3249" s="5"/>
      <c r="Z3249" s="5"/>
      <c r="AA3249" s="5"/>
      <c r="AC3249" t="e">
        <f ca="1">RANK(AB3249,OFFSET($AB$2,0,0,#REF!,1))</f>
        <v>#REF!</v>
      </c>
      <c r="AD3249" s="4" t="e">
        <f>InsurerSize(#REF!)</f>
        <v>#VALUE!</v>
      </c>
      <c r="AE3249" s="4" t="e">
        <f t="shared" si="62"/>
        <v>#VALUE!</v>
      </c>
    </row>
    <row r="3250" spans="8:31" x14ac:dyDescent="0.2"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  <c r="X3250" s="5"/>
      <c r="Y3250" s="5"/>
      <c r="Z3250" s="5"/>
      <c r="AA3250" s="5"/>
      <c r="AC3250" t="e">
        <f ca="1">RANK(AB3250,OFFSET($AB$2,0,0,#REF!,1))</f>
        <v>#REF!</v>
      </c>
      <c r="AD3250" s="4" t="e">
        <f>InsurerSize(#REF!)</f>
        <v>#VALUE!</v>
      </c>
      <c r="AE3250" s="4" t="e">
        <f t="shared" si="62"/>
        <v>#VALUE!</v>
      </c>
    </row>
    <row r="3251" spans="8:31" x14ac:dyDescent="0.2"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  <c r="X3251" s="5"/>
      <c r="Y3251" s="5"/>
      <c r="Z3251" s="5"/>
      <c r="AA3251" s="5"/>
      <c r="AC3251" t="e">
        <f ca="1">RANK(AB3251,OFFSET($AB$2,0,0,#REF!,1))</f>
        <v>#REF!</v>
      </c>
      <c r="AD3251" s="4" t="e">
        <f>InsurerSize(#REF!)</f>
        <v>#VALUE!</v>
      </c>
      <c r="AE3251" s="4" t="e">
        <f t="shared" si="62"/>
        <v>#VALUE!</v>
      </c>
    </row>
    <row r="3252" spans="8:31" x14ac:dyDescent="0.2"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  <c r="X3252" s="5"/>
      <c r="Y3252" s="5"/>
      <c r="Z3252" s="5"/>
      <c r="AA3252" s="5"/>
      <c r="AC3252" t="e">
        <f ca="1">RANK(AB3252,OFFSET($AB$2,0,0,#REF!,1))</f>
        <v>#REF!</v>
      </c>
      <c r="AD3252" s="4" t="e">
        <f>InsurerSize(#REF!)</f>
        <v>#VALUE!</v>
      </c>
      <c r="AE3252" s="4" t="e">
        <f t="shared" si="62"/>
        <v>#VALUE!</v>
      </c>
    </row>
    <row r="3253" spans="8:31" x14ac:dyDescent="0.2"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  <c r="X3253" s="5"/>
      <c r="Y3253" s="5"/>
      <c r="Z3253" s="5"/>
      <c r="AA3253" s="5"/>
      <c r="AC3253" t="e">
        <f ca="1">RANK(AB3253,OFFSET($AB$2,0,0,#REF!,1))</f>
        <v>#REF!</v>
      </c>
      <c r="AD3253" s="4" t="e">
        <f>InsurerSize(#REF!)</f>
        <v>#VALUE!</v>
      </c>
      <c r="AE3253" s="4" t="e">
        <f t="shared" si="62"/>
        <v>#VALUE!</v>
      </c>
    </row>
    <row r="3254" spans="8:31" x14ac:dyDescent="0.2"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  <c r="X3254" s="5"/>
      <c r="Y3254" s="5"/>
      <c r="Z3254" s="5"/>
      <c r="AA3254" s="5"/>
      <c r="AC3254" t="e">
        <f ca="1">RANK(AB3254,OFFSET($AB$2,0,0,#REF!,1))</f>
        <v>#REF!</v>
      </c>
      <c r="AD3254" s="4" t="e">
        <f>InsurerSize(#REF!)</f>
        <v>#VALUE!</v>
      </c>
      <c r="AE3254" s="4" t="e">
        <f t="shared" si="62"/>
        <v>#VALUE!</v>
      </c>
    </row>
    <row r="3255" spans="8:31" x14ac:dyDescent="0.2"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  <c r="X3255" s="5"/>
      <c r="Y3255" s="5"/>
      <c r="Z3255" s="5"/>
      <c r="AA3255" s="5"/>
      <c r="AC3255" t="e">
        <f ca="1">RANK(AB3255,OFFSET($AB$2,0,0,#REF!,1))</f>
        <v>#REF!</v>
      </c>
      <c r="AD3255" s="4" t="e">
        <f>InsurerSize(#REF!)</f>
        <v>#VALUE!</v>
      </c>
      <c r="AE3255" s="4" t="e">
        <f t="shared" si="62"/>
        <v>#VALUE!</v>
      </c>
    </row>
    <row r="3256" spans="8:31" x14ac:dyDescent="0.2"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  <c r="X3256" s="5"/>
      <c r="Y3256" s="5"/>
      <c r="Z3256" s="5"/>
      <c r="AA3256" s="5"/>
      <c r="AC3256" t="e">
        <f ca="1">RANK(AB3256,OFFSET($AB$2,0,0,#REF!,1))</f>
        <v>#REF!</v>
      </c>
      <c r="AD3256" s="4" t="e">
        <f>InsurerSize(#REF!)</f>
        <v>#VALUE!</v>
      </c>
      <c r="AE3256" s="4" t="e">
        <f t="shared" si="62"/>
        <v>#VALUE!</v>
      </c>
    </row>
    <row r="3257" spans="8:31" x14ac:dyDescent="0.2"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  <c r="X3257" s="5"/>
      <c r="Y3257" s="5"/>
      <c r="Z3257" s="5"/>
      <c r="AA3257" s="5"/>
      <c r="AC3257" t="e">
        <f ca="1">RANK(AB3257,OFFSET($AB$2,0,0,#REF!,1))</f>
        <v>#REF!</v>
      </c>
      <c r="AD3257" s="4" t="e">
        <f>InsurerSize(#REF!)</f>
        <v>#VALUE!</v>
      </c>
      <c r="AE3257" s="4" t="e">
        <f t="shared" si="62"/>
        <v>#VALUE!</v>
      </c>
    </row>
    <row r="3258" spans="8:31" x14ac:dyDescent="0.2"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  <c r="X3258" s="5"/>
      <c r="Y3258" s="5"/>
      <c r="Z3258" s="5"/>
      <c r="AA3258" s="5"/>
      <c r="AC3258" t="e">
        <f ca="1">RANK(AB3258,OFFSET($AB$2,0,0,#REF!,1))</f>
        <v>#REF!</v>
      </c>
      <c r="AD3258" s="4" t="e">
        <f>InsurerSize(#REF!)</f>
        <v>#VALUE!</v>
      </c>
      <c r="AE3258" s="4" t="e">
        <f t="shared" si="62"/>
        <v>#VALUE!</v>
      </c>
    </row>
    <row r="3259" spans="8:31" x14ac:dyDescent="0.2"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  <c r="X3259" s="5"/>
      <c r="Y3259" s="5"/>
      <c r="Z3259" s="5"/>
      <c r="AA3259" s="5"/>
      <c r="AC3259" t="e">
        <f ca="1">RANK(AB3259,OFFSET($AB$2,0,0,#REF!,1))</f>
        <v>#REF!</v>
      </c>
      <c r="AD3259" s="4" t="e">
        <f>InsurerSize(#REF!)</f>
        <v>#VALUE!</v>
      </c>
      <c r="AE3259" s="4" t="e">
        <f t="shared" si="62"/>
        <v>#VALUE!</v>
      </c>
    </row>
    <row r="3260" spans="8:31" x14ac:dyDescent="0.2"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  <c r="X3260" s="5"/>
      <c r="Y3260" s="5"/>
      <c r="Z3260" s="5"/>
      <c r="AA3260" s="5"/>
      <c r="AC3260" t="e">
        <f ca="1">RANK(AB3260,OFFSET($AB$2,0,0,#REF!,1))</f>
        <v>#REF!</v>
      </c>
      <c r="AD3260" s="4" t="e">
        <f>InsurerSize(#REF!)</f>
        <v>#VALUE!</v>
      </c>
      <c r="AE3260" s="4" t="e">
        <f t="shared" si="62"/>
        <v>#VALUE!</v>
      </c>
    </row>
    <row r="3261" spans="8:31" x14ac:dyDescent="0.2"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  <c r="X3261" s="5"/>
      <c r="Y3261" s="5"/>
      <c r="Z3261" s="5"/>
      <c r="AA3261" s="5"/>
      <c r="AC3261" t="e">
        <f ca="1">RANK(AB3261,OFFSET($AB$2,0,0,#REF!,1))</f>
        <v>#REF!</v>
      </c>
      <c r="AD3261" s="4" t="e">
        <f>InsurerSize(#REF!)</f>
        <v>#VALUE!</v>
      </c>
      <c r="AE3261" s="4" t="e">
        <f t="shared" si="62"/>
        <v>#VALUE!</v>
      </c>
    </row>
    <row r="3262" spans="8:31" x14ac:dyDescent="0.2"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  <c r="X3262" s="5"/>
      <c r="Y3262" s="5"/>
      <c r="Z3262" s="5"/>
      <c r="AA3262" s="5"/>
      <c r="AC3262" t="e">
        <f ca="1">RANK(AB3262,OFFSET($AB$2,0,0,#REF!,1))</f>
        <v>#REF!</v>
      </c>
      <c r="AD3262" s="4" t="e">
        <f>InsurerSize(#REF!)</f>
        <v>#VALUE!</v>
      </c>
      <c r="AE3262" s="4" t="e">
        <f t="shared" si="62"/>
        <v>#VALUE!</v>
      </c>
    </row>
    <row r="3263" spans="8:31" x14ac:dyDescent="0.2"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  <c r="X3263" s="5"/>
      <c r="Y3263" s="5"/>
      <c r="Z3263" s="5"/>
      <c r="AA3263" s="5"/>
      <c r="AC3263" t="e">
        <f ca="1">RANK(AB3263,OFFSET($AB$2,0,0,#REF!,1))</f>
        <v>#REF!</v>
      </c>
      <c r="AD3263" s="4" t="e">
        <f>InsurerSize(#REF!)</f>
        <v>#VALUE!</v>
      </c>
      <c r="AE3263" s="4" t="e">
        <f t="shared" si="62"/>
        <v>#VALUE!</v>
      </c>
    </row>
    <row r="3264" spans="8:31" x14ac:dyDescent="0.2"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  <c r="X3264" s="5"/>
      <c r="Y3264" s="5"/>
      <c r="Z3264" s="5"/>
      <c r="AA3264" s="5"/>
      <c r="AC3264" t="e">
        <f ca="1">RANK(AB3264,OFFSET($AB$2,0,0,#REF!,1))</f>
        <v>#REF!</v>
      </c>
      <c r="AD3264" s="4" t="e">
        <f>InsurerSize(#REF!)</f>
        <v>#VALUE!</v>
      </c>
      <c r="AE3264" s="4" t="e">
        <f t="shared" si="62"/>
        <v>#VALUE!</v>
      </c>
    </row>
    <row r="3265" spans="8:31" x14ac:dyDescent="0.2"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  <c r="X3265" s="5"/>
      <c r="Y3265" s="5"/>
      <c r="Z3265" s="5"/>
      <c r="AA3265" s="5"/>
      <c r="AC3265" t="e">
        <f ca="1">RANK(AB3265,OFFSET($AB$2,0,0,#REF!,1))</f>
        <v>#REF!</v>
      </c>
      <c r="AD3265" s="4" t="e">
        <f>InsurerSize(#REF!)</f>
        <v>#VALUE!</v>
      </c>
      <c r="AE3265" s="4" t="e">
        <f t="shared" si="62"/>
        <v>#VALUE!</v>
      </c>
    </row>
    <row r="3266" spans="8:31" x14ac:dyDescent="0.2"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  <c r="X3266" s="5"/>
      <c r="Y3266" s="5"/>
      <c r="Z3266" s="5"/>
      <c r="AA3266" s="5"/>
      <c r="AC3266" t="e">
        <f ca="1">RANK(AB3266,OFFSET($AB$2,0,0,#REF!,1))</f>
        <v>#REF!</v>
      </c>
      <c r="AD3266" s="4" t="e">
        <f>InsurerSize(#REF!)</f>
        <v>#VALUE!</v>
      </c>
      <c r="AE3266" s="4" t="e">
        <f t="shared" ref="AE3266:AE3329" si="63">A3266&amp;AD3266</f>
        <v>#VALUE!</v>
      </c>
    </row>
    <row r="3267" spans="8:31" x14ac:dyDescent="0.2"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  <c r="X3267" s="5"/>
      <c r="Y3267" s="5"/>
      <c r="Z3267" s="5"/>
      <c r="AA3267" s="5"/>
      <c r="AC3267" t="e">
        <f ca="1">RANK(AB3267,OFFSET($AB$2,0,0,#REF!,1))</f>
        <v>#REF!</v>
      </c>
      <c r="AD3267" s="4" t="e">
        <f>InsurerSize(#REF!)</f>
        <v>#VALUE!</v>
      </c>
      <c r="AE3267" s="4" t="e">
        <f t="shared" si="63"/>
        <v>#VALUE!</v>
      </c>
    </row>
    <row r="3268" spans="8:31" x14ac:dyDescent="0.2"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  <c r="X3268" s="5"/>
      <c r="Y3268" s="5"/>
      <c r="Z3268" s="5"/>
      <c r="AA3268" s="5"/>
      <c r="AC3268" t="e">
        <f ca="1">RANK(AB3268,OFFSET($AB$2,0,0,#REF!,1))</f>
        <v>#REF!</v>
      </c>
      <c r="AD3268" s="4" t="e">
        <f>InsurerSize(#REF!)</f>
        <v>#VALUE!</v>
      </c>
      <c r="AE3268" s="4" t="e">
        <f t="shared" si="63"/>
        <v>#VALUE!</v>
      </c>
    </row>
    <row r="3269" spans="8:31" x14ac:dyDescent="0.2"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  <c r="X3269" s="5"/>
      <c r="Y3269" s="5"/>
      <c r="Z3269" s="5"/>
      <c r="AA3269" s="5"/>
      <c r="AC3269" t="e">
        <f ca="1">RANK(AB3269,OFFSET($AB$2,0,0,#REF!,1))</f>
        <v>#REF!</v>
      </c>
      <c r="AD3269" s="4" t="e">
        <f>InsurerSize(#REF!)</f>
        <v>#VALUE!</v>
      </c>
      <c r="AE3269" s="4" t="e">
        <f t="shared" si="63"/>
        <v>#VALUE!</v>
      </c>
    </row>
    <row r="3270" spans="8:31" x14ac:dyDescent="0.2"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  <c r="X3270" s="5"/>
      <c r="Y3270" s="5"/>
      <c r="Z3270" s="5"/>
      <c r="AA3270" s="5"/>
      <c r="AC3270" t="e">
        <f ca="1">RANK(AB3270,OFFSET($AB$2,0,0,#REF!,1))</f>
        <v>#REF!</v>
      </c>
      <c r="AD3270" s="4" t="e">
        <f>InsurerSize(#REF!)</f>
        <v>#VALUE!</v>
      </c>
      <c r="AE3270" s="4" t="e">
        <f t="shared" si="63"/>
        <v>#VALUE!</v>
      </c>
    </row>
    <row r="3271" spans="8:31" x14ac:dyDescent="0.2"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5"/>
      <c r="Z3271" s="5"/>
      <c r="AA3271" s="5"/>
      <c r="AC3271" t="e">
        <f ca="1">RANK(AB3271,OFFSET($AB$2,0,0,#REF!,1))</f>
        <v>#REF!</v>
      </c>
      <c r="AD3271" s="4" t="e">
        <f>InsurerSize(#REF!)</f>
        <v>#VALUE!</v>
      </c>
      <c r="AE3271" s="4" t="e">
        <f t="shared" si="63"/>
        <v>#VALUE!</v>
      </c>
    </row>
    <row r="3272" spans="8:31" x14ac:dyDescent="0.2"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  <c r="X3272" s="5"/>
      <c r="Y3272" s="5"/>
      <c r="Z3272" s="5"/>
      <c r="AA3272" s="5"/>
      <c r="AC3272" t="e">
        <f ca="1">RANK(AB3272,OFFSET($AB$2,0,0,#REF!,1))</f>
        <v>#REF!</v>
      </c>
      <c r="AD3272" s="4" t="e">
        <f>InsurerSize(#REF!)</f>
        <v>#VALUE!</v>
      </c>
      <c r="AE3272" s="4" t="e">
        <f t="shared" si="63"/>
        <v>#VALUE!</v>
      </c>
    </row>
    <row r="3273" spans="8:31" x14ac:dyDescent="0.2"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  <c r="X3273" s="5"/>
      <c r="Y3273" s="5"/>
      <c r="Z3273" s="5"/>
      <c r="AA3273" s="5"/>
      <c r="AC3273" t="e">
        <f ca="1">RANK(AB3273,OFFSET($AB$2,0,0,#REF!,1))</f>
        <v>#REF!</v>
      </c>
      <c r="AD3273" s="4" t="e">
        <f>InsurerSize(#REF!)</f>
        <v>#VALUE!</v>
      </c>
      <c r="AE3273" s="4" t="e">
        <f t="shared" si="63"/>
        <v>#VALUE!</v>
      </c>
    </row>
    <row r="3274" spans="8:31" x14ac:dyDescent="0.2"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  <c r="X3274" s="5"/>
      <c r="Y3274" s="5"/>
      <c r="Z3274" s="5"/>
      <c r="AA3274" s="5"/>
      <c r="AC3274" t="e">
        <f ca="1">RANK(AB3274,OFFSET($AB$2,0,0,#REF!,1))</f>
        <v>#REF!</v>
      </c>
      <c r="AD3274" s="4" t="e">
        <f>InsurerSize(#REF!)</f>
        <v>#VALUE!</v>
      </c>
      <c r="AE3274" s="4" t="e">
        <f t="shared" si="63"/>
        <v>#VALUE!</v>
      </c>
    </row>
    <row r="3275" spans="8:31" x14ac:dyDescent="0.2"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  <c r="X3275" s="5"/>
      <c r="Y3275" s="5"/>
      <c r="Z3275" s="5"/>
      <c r="AA3275" s="5"/>
      <c r="AC3275" t="e">
        <f ca="1">RANK(AB3275,OFFSET($AB$2,0,0,#REF!,1))</f>
        <v>#REF!</v>
      </c>
      <c r="AD3275" s="4" t="e">
        <f>InsurerSize(#REF!)</f>
        <v>#VALUE!</v>
      </c>
      <c r="AE3275" s="4" t="e">
        <f t="shared" si="63"/>
        <v>#VALUE!</v>
      </c>
    </row>
    <row r="3276" spans="8:31" x14ac:dyDescent="0.2"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  <c r="X3276" s="5"/>
      <c r="Y3276" s="5"/>
      <c r="Z3276" s="5"/>
      <c r="AA3276" s="5"/>
      <c r="AC3276" t="e">
        <f ca="1">RANK(AB3276,OFFSET($AB$2,0,0,#REF!,1))</f>
        <v>#REF!</v>
      </c>
      <c r="AD3276" s="4" t="e">
        <f>InsurerSize(#REF!)</f>
        <v>#VALUE!</v>
      </c>
      <c r="AE3276" s="4" t="e">
        <f t="shared" si="63"/>
        <v>#VALUE!</v>
      </c>
    </row>
    <row r="3277" spans="8:31" x14ac:dyDescent="0.2"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  <c r="X3277" s="5"/>
      <c r="Y3277" s="5"/>
      <c r="Z3277" s="5"/>
      <c r="AA3277" s="5"/>
      <c r="AC3277" t="e">
        <f ca="1">RANK(AB3277,OFFSET($AB$2,0,0,#REF!,1))</f>
        <v>#REF!</v>
      </c>
      <c r="AD3277" s="4" t="e">
        <f>InsurerSize(#REF!)</f>
        <v>#VALUE!</v>
      </c>
      <c r="AE3277" s="4" t="e">
        <f t="shared" si="63"/>
        <v>#VALUE!</v>
      </c>
    </row>
    <row r="3278" spans="8:31" x14ac:dyDescent="0.2"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  <c r="X3278" s="5"/>
      <c r="Y3278" s="5"/>
      <c r="Z3278" s="5"/>
      <c r="AA3278" s="5"/>
      <c r="AC3278" t="e">
        <f ca="1">RANK(AB3278,OFFSET($AB$2,0,0,#REF!,1))</f>
        <v>#REF!</v>
      </c>
      <c r="AD3278" s="4" t="e">
        <f>InsurerSize(#REF!)</f>
        <v>#VALUE!</v>
      </c>
      <c r="AE3278" s="4" t="e">
        <f t="shared" si="63"/>
        <v>#VALUE!</v>
      </c>
    </row>
    <row r="3279" spans="8:31" x14ac:dyDescent="0.2"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  <c r="X3279" s="5"/>
      <c r="Y3279" s="5"/>
      <c r="Z3279" s="5"/>
      <c r="AA3279" s="5"/>
      <c r="AC3279" t="e">
        <f ca="1">RANK(AB3279,OFFSET($AB$2,0,0,#REF!,1))</f>
        <v>#REF!</v>
      </c>
      <c r="AD3279" s="4" t="e">
        <f>InsurerSize(#REF!)</f>
        <v>#VALUE!</v>
      </c>
      <c r="AE3279" s="4" t="e">
        <f t="shared" si="63"/>
        <v>#VALUE!</v>
      </c>
    </row>
    <row r="3280" spans="8:31" x14ac:dyDescent="0.2"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  <c r="X3280" s="5"/>
      <c r="Y3280" s="5"/>
      <c r="Z3280" s="5"/>
      <c r="AA3280" s="5"/>
      <c r="AC3280" t="e">
        <f ca="1">RANK(AB3280,OFFSET($AB$2,0,0,#REF!,1))</f>
        <v>#REF!</v>
      </c>
      <c r="AD3280" s="4" t="e">
        <f>InsurerSize(#REF!)</f>
        <v>#VALUE!</v>
      </c>
      <c r="AE3280" s="4" t="e">
        <f t="shared" si="63"/>
        <v>#VALUE!</v>
      </c>
    </row>
    <row r="3281" spans="8:31" x14ac:dyDescent="0.2"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5"/>
      <c r="Z3281" s="5"/>
      <c r="AA3281" s="5"/>
      <c r="AC3281" t="e">
        <f ca="1">RANK(AB3281,OFFSET($AB$2,0,0,#REF!,1))</f>
        <v>#REF!</v>
      </c>
      <c r="AD3281" s="4" t="e">
        <f>InsurerSize(#REF!)</f>
        <v>#VALUE!</v>
      </c>
      <c r="AE3281" s="4" t="e">
        <f t="shared" si="63"/>
        <v>#VALUE!</v>
      </c>
    </row>
    <row r="3282" spans="8:31" x14ac:dyDescent="0.2"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  <c r="X3282" s="5"/>
      <c r="Y3282" s="5"/>
      <c r="Z3282" s="5"/>
      <c r="AA3282" s="5"/>
      <c r="AC3282" t="e">
        <f ca="1">RANK(AB3282,OFFSET($AB$2,0,0,#REF!,1))</f>
        <v>#REF!</v>
      </c>
      <c r="AD3282" s="4" t="e">
        <f>InsurerSize(#REF!)</f>
        <v>#VALUE!</v>
      </c>
      <c r="AE3282" s="4" t="e">
        <f t="shared" si="63"/>
        <v>#VALUE!</v>
      </c>
    </row>
    <row r="3283" spans="8:31" x14ac:dyDescent="0.2"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  <c r="X3283" s="5"/>
      <c r="Y3283" s="5"/>
      <c r="Z3283" s="5"/>
      <c r="AA3283" s="5"/>
      <c r="AC3283" t="e">
        <f ca="1">RANK(AB3283,OFFSET($AB$2,0,0,#REF!,1))</f>
        <v>#REF!</v>
      </c>
      <c r="AD3283" s="4" t="e">
        <f>InsurerSize(#REF!)</f>
        <v>#VALUE!</v>
      </c>
      <c r="AE3283" s="4" t="e">
        <f t="shared" si="63"/>
        <v>#VALUE!</v>
      </c>
    </row>
    <row r="3284" spans="8:31" x14ac:dyDescent="0.2"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  <c r="X3284" s="5"/>
      <c r="Y3284" s="5"/>
      <c r="Z3284" s="5"/>
      <c r="AA3284" s="5"/>
      <c r="AC3284" t="e">
        <f ca="1">RANK(AB3284,OFFSET($AB$2,0,0,#REF!,1))</f>
        <v>#REF!</v>
      </c>
      <c r="AD3284" s="4" t="e">
        <f>InsurerSize(#REF!)</f>
        <v>#VALUE!</v>
      </c>
      <c r="AE3284" s="4" t="e">
        <f t="shared" si="63"/>
        <v>#VALUE!</v>
      </c>
    </row>
    <row r="3285" spans="8:31" x14ac:dyDescent="0.2"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  <c r="X3285" s="5"/>
      <c r="Y3285" s="5"/>
      <c r="Z3285" s="5"/>
      <c r="AA3285" s="5"/>
      <c r="AC3285" t="e">
        <f ca="1">RANK(AB3285,OFFSET($AB$2,0,0,#REF!,1))</f>
        <v>#REF!</v>
      </c>
      <c r="AD3285" s="4" t="e">
        <f>InsurerSize(#REF!)</f>
        <v>#VALUE!</v>
      </c>
      <c r="AE3285" s="4" t="e">
        <f t="shared" si="63"/>
        <v>#VALUE!</v>
      </c>
    </row>
    <row r="3286" spans="8:31" x14ac:dyDescent="0.2"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  <c r="X3286" s="5"/>
      <c r="Y3286" s="5"/>
      <c r="Z3286" s="5"/>
      <c r="AA3286" s="5"/>
      <c r="AC3286" t="e">
        <f ca="1">RANK(AB3286,OFFSET($AB$2,0,0,#REF!,1))</f>
        <v>#REF!</v>
      </c>
      <c r="AD3286" s="4" t="e">
        <f>InsurerSize(#REF!)</f>
        <v>#VALUE!</v>
      </c>
      <c r="AE3286" s="4" t="e">
        <f t="shared" si="63"/>
        <v>#VALUE!</v>
      </c>
    </row>
    <row r="3287" spans="8:31" x14ac:dyDescent="0.2"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  <c r="X3287" s="5"/>
      <c r="Y3287" s="5"/>
      <c r="Z3287" s="5"/>
      <c r="AA3287" s="5"/>
      <c r="AC3287" t="e">
        <f ca="1">RANK(AB3287,OFFSET($AB$2,0,0,#REF!,1))</f>
        <v>#REF!</v>
      </c>
      <c r="AD3287" s="4" t="e">
        <f>InsurerSize(#REF!)</f>
        <v>#VALUE!</v>
      </c>
      <c r="AE3287" s="4" t="e">
        <f t="shared" si="63"/>
        <v>#VALUE!</v>
      </c>
    </row>
    <row r="3288" spans="8:31" x14ac:dyDescent="0.2"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  <c r="X3288" s="5"/>
      <c r="Y3288" s="5"/>
      <c r="Z3288" s="5"/>
      <c r="AA3288" s="5"/>
      <c r="AC3288" t="e">
        <f ca="1">RANK(AB3288,OFFSET($AB$2,0,0,#REF!,1))</f>
        <v>#REF!</v>
      </c>
      <c r="AD3288" s="4" t="e">
        <f>InsurerSize(#REF!)</f>
        <v>#VALUE!</v>
      </c>
      <c r="AE3288" s="4" t="e">
        <f t="shared" si="63"/>
        <v>#VALUE!</v>
      </c>
    </row>
    <row r="3289" spans="8:31" x14ac:dyDescent="0.2"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  <c r="X3289" s="5"/>
      <c r="Y3289" s="5"/>
      <c r="Z3289" s="5"/>
      <c r="AA3289" s="5"/>
      <c r="AC3289" t="e">
        <f ca="1">RANK(AB3289,OFFSET($AB$2,0,0,#REF!,1))</f>
        <v>#REF!</v>
      </c>
      <c r="AD3289" s="4" t="e">
        <f>InsurerSize(#REF!)</f>
        <v>#VALUE!</v>
      </c>
      <c r="AE3289" s="4" t="e">
        <f t="shared" si="63"/>
        <v>#VALUE!</v>
      </c>
    </row>
    <row r="3290" spans="8:31" x14ac:dyDescent="0.2"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  <c r="X3290" s="5"/>
      <c r="Y3290" s="5"/>
      <c r="Z3290" s="5"/>
      <c r="AA3290" s="5"/>
      <c r="AC3290" t="e">
        <f ca="1">RANK(AB3290,OFFSET($AB$2,0,0,#REF!,1))</f>
        <v>#REF!</v>
      </c>
      <c r="AD3290" s="4" t="e">
        <f>InsurerSize(#REF!)</f>
        <v>#VALUE!</v>
      </c>
      <c r="AE3290" s="4" t="e">
        <f t="shared" si="63"/>
        <v>#VALUE!</v>
      </c>
    </row>
    <row r="3291" spans="8:31" x14ac:dyDescent="0.2"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  <c r="X3291" s="5"/>
      <c r="Y3291" s="5"/>
      <c r="Z3291" s="5"/>
      <c r="AA3291" s="5"/>
      <c r="AC3291" t="e">
        <f ca="1">RANK(AB3291,OFFSET($AB$2,0,0,#REF!,1))</f>
        <v>#REF!</v>
      </c>
      <c r="AD3291" s="4" t="e">
        <f>InsurerSize(#REF!)</f>
        <v>#VALUE!</v>
      </c>
      <c r="AE3291" s="4" t="e">
        <f t="shared" si="63"/>
        <v>#VALUE!</v>
      </c>
    </row>
    <row r="3292" spans="8:31" x14ac:dyDescent="0.2"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  <c r="X3292" s="5"/>
      <c r="Y3292" s="5"/>
      <c r="Z3292" s="5"/>
      <c r="AA3292" s="5"/>
      <c r="AC3292" t="e">
        <f ca="1">RANK(AB3292,OFFSET($AB$2,0,0,#REF!,1))</f>
        <v>#REF!</v>
      </c>
      <c r="AD3292" s="4" t="e">
        <f>InsurerSize(#REF!)</f>
        <v>#VALUE!</v>
      </c>
      <c r="AE3292" s="4" t="e">
        <f t="shared" si="63"/>
        <v>#VALUE!</v>
      </c>
    </row>
    <row r="3293" spans="8:31" x14ac:dyDescent="0.2"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  <c r="X3293" s="5"/>
      <c r="Y3293" s="5"/>
      <c r="Z3293" s="5"/>
      <c r="AA3293" s="5"/>
      <c r="AC3293" t="e">
        <f ca="1">RANK(AB3293,OFFSET($AB$2,0,0,#REF!,1))</f>
        <v>#REF!</v>
      </c>
      <c r="AD3293" s="4" t="e">
        <f>InsurerSize(#REF!)</f>
        <v>#VALUE!</v>
      </c>
      <c r="AE3293" s="4" t="e">
        <f t="shared" si="63"/>
        <v>#VALUE!</v>
      </c>
    </row>
    <row r="3294" spans="8:31" x14ac:dyDescent="0.2"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  <c r="X3294" s="5"/>
      <c r="Y3294" s="5"/>
      <c r="Z3294" s="5"/>
      <c r="AA3294" s="5"/>
      <c r="AC3294" t="e">
        <f ca="1">RANK(AB3294,OFFSET($AB$2,0,0,#REF!,1))</f>
        <v>#REF!</v>
      </c>
      <c r="AD3294" s="4" t="e">
        <f>InsurerSize(#REF!)</f>
        <v>#VALUE!</v>
      </c>
      <c r="AE3294" s="4" t="e">
        <f t="shared" si="63"/>
        <v>#VALUE!</v>
      </c>
    </row>
    <row r="3295" spans="8:31" x14ac:dyDescent="0.2"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  <c r="X3295" s="5"/>
      <c r="Y3295" s="5"/>
      <c r="Z3295" s="5"/>
      <c r="AA3295" s="5"/>
      <c r="AC3295" t="e">
        <f ca="1">RANK(AB3295,OFFSET($AB$2,0,0,#REF!,1))</f>
        <v>#REF!</v>
      </c>
      <c r="AD3295" s="4" t="e">
        <f>InsurerSize(#REF!)</f>
        <v>#VALUE!</v>
      </c>
      <c r="AE3295" s="4" t="e">
        <f t="shared" si="63"/>
        <v>#VALUE!</v>
      </c>
    </row>
    <row r="3296" spans="8:31" x14ac:dyDescent="0.2"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  <c r="X3296" s="5"/>
      <c r="Y3296" s="5"/>
      <c r="Z3296" s="5"/>
      <c r="AA3296" s="5"/>
      <c r="AC3296" t="e">
        <f ca="1">RANK(AB3296,OFFSET($AB$2,0,0,#REF!,1))</f>
        <v>#REF!</v>
      </c>
      <c r="AD3296" s="4" t="e">
        <f>InsurerSize(#REF!)</f>
        <v>#VALUE!</v>
      </c>
      <c r="AE3296" s="4" t="e">
        <f t="shared" si="63"/>
        <v>#VALUE!</v>
      </c>
    </row>
    <row r="3297" spans="8:31" x14ac:dyDescent="0.2"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  <c r="X3297" s="5"/>
      <c r="Y3297" s="5"/>
      <c r="Z3297" s="5"/>
      <c r="AA3297" s="5"/>
      <c r="AC3297" t="e">
        <f ca="1">RANK(AB3297,OFFSET($AB$2,0,0,#REF!,1))</f>
        <v>#REF!</v>
      </c>
      <c r="AD3297" s="4" t="e">
        <f>InsurerSize(#REF!)</f>
        <v>#VALUE!</v>
      </c>
      <c r="AE3297" s="4" t="e">
        <f t="shared" si="63"/>
        <v>#VALUE!</v>
      </c>
    </row>
    <row r="3298" spans="8:31" x14ac:dyDescent="0.2"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  <c r="X3298" s="5"/>
      <c r="Y3298" s="5"/>
      <c r="Z3298" s="5"/>
      <c r="AA3298" s="5"/>
      <c r="AC3298" t="e">
        <f ca="1">RANK(AB3298,OFFSET($AB$2,0,0,#REF!,1))</f>
        <v>#REF!</v>
      </c>
      <c r="AD3298" s="4" t="e">
        <f>InsurerSize(#REF!)</f>
        <v>#VALUE!</v>
      </c>
      <c r="AE3298" s="4" t="e">
        <f t="shared" si="63"/>
        <v>#VALUE!</v>
      </c>
    </row>
    <row r="3299" spans="8:31" x14ac:dyDescent="0.2"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  <c r="X3299" s="5"/>
      <c r="Y3299" s="5"/>
      <c r="Z3299" s="5"/>
      <c r="AA3299" s="5"/>
      <c r="AC3299" t="e">
        <f ca="1">RANK(AB3299,OFFSET($AB$2,0,0,#REF!,1))</f>
        <v>#REF!</v>
      </c>
      <c r="AD3299" s="4" t="e">
        <f>InsurerSize(#REF!)</f>
        <v>#VALUE!</v>
      </c>
      <c r="AE3299" s="4" t="e">
        <f t="shared" si="63"/>
        <v>#VALUE!</v>
      </c>
    </row>
    <row r="3300" spans="8:31" x14ac:dyDescent="0.2"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  <c r="X3300" s="5"/>
      <c r="Y3300" s="5"/>
      <c r="Z3300" s="5"/>
      <c r="AA3300" s="5"/>
      <c r="AC3300" t="e">
        <f ca="1">RANK(AB3300,OFFSET($AB$2,0,0,#REF!,1))</f>
        <v>#REF!</v>
      </c>
      <c r="AD3300" s="4" t="e">
        <f>InsurerSize(#REF!)</f>
        <v>#VALUE!</v>
      </c>
      <c r="AE3300" s="4" t="e">
        <f t="shared" si="63"/>
        <v>#VALUE!</v>
      </c>
    </row>
    <row r="3301" spans="8:31" x14ac:dyDescent="0.2"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  <c r="X3301" s="5"/>
      <c r="Y3301" s="5"/>
      <c r="Z3301" s="5"/>
      <c r="AA3301" s="5"/>
      <c r="AC3301" t="e">
        <f ca="1">RANK(AB3301,OFFSET($AB$2,0,0,#REF!,1))</f>
        <v>#REF!</v>
      </c>
      <c r="AD3301" s="4" t="e">
        <f>InsurerSize(#REF!)</f>
        <v>#VALUE!</v>
      </c>
      <c r="AE3301" s="4" t="e">
        <f t="shared" si="63"/>
        <v>#VALUE!</v>
      </c>
    </row>
    <row r="3302" spans="8:31" x14ac:dyDescent="0.2"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  <c r="X3302" s="5"/>
      <c r="Y3302" s="5"/>
      <c r="Z3302" s="5"/>
      <c r="AA3302" s="5"/>
      <c r="AC3302" t="e">
        <f ca="1">RANK(AB3302,OFFSET($AB$2,0,0,#REF!,1))</f>
        <v>#REF!</v>
      </c>
      <c r="AD3302" s="4" t="e">
        <f>InsurerSize(#REF!)</f>
        <v>#VALUE!</v>
      </c>
      <c r="AE3302" s="4" t="e">
        <f t="shared" si="63"/>
        <v>#VALUE!</v>
      </c>
    </row>
    <row r="3303" spans="8:31" x14ac:dyDescent="0.2"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  <c r="X3303" s="5"/>
      <c r="Y3303" s="5"/>
      <c r="Z3303" s="5"/>
      <c r="AA3303" s="5"/>
      <c r="AC3303" t="e">
        <f ca="1">RANK(AB3303,OFFSET($AB$2,0,0,#REF!,1))</f>
        <v>#REF!</v>
      </c>
      <c r="AD3303" s="4" t="e">
        <f>InsurerSize(#REF!)</f>
        <v>#VALUE!</v>
      </c>
      <c r="AE3303" s="4" t="e">
        <f t="shared" si="63"/>
        <v>#VALUE!</v>
      </c>
    </row>
    <row r="3304" spans="8:31" x14ac:dyDescent="0.2"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  <c r="X3304" s="5"/>
      <c r="Y3304" s="5"/>
      <c r="Z3304" s="5"/>
      <c r="AA3304" s="5"/>
      <c r="AC3304" t="e">
        <f ca="1">RANK(AB3304,OFFSET($AB$2,0,0,#REF!,1))</f>
        <v>#REF!</v>
      </c>
      <c r="AD3304" s="4" t="e">
        <f>InsurerSize(#REF!)</f>
        <v>#VALUE!</v>
      </c>
      <c r="AE3304" s="4" t="e">
        <f t="shared" si="63"/>
        <v>#VALUE!</v>
      </c>
    </row>
    <row r="3305" spans="8:31" x14ac:dyDescent="0.2"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  <c r="X3305" s="5"/>
      <c r="Y3305" s="5"/>
      <c r="Z3305" s="5"/>
      <c r="AA3305" s="5"/>
      <c r="AC3305" t="e">
        <f ca="1">RANK(AB3305,OFFSET($AB$2,0,0,#REF!,1))</f>
        <v>#REF!</v>
      </c>
      <c r="AD3305" s="4" t="e">
        <f>InsurerSize(#REF!)</f>
        <v>#VALUE!</v>
      </c>
      <c r="AE3305" s="4" t="e">
        <f t="shared" si="63"/>
        <v>#VALUE!</v>
      </c>
    </row>
    <row r="3306" spans="8:31" x14ac:dyDescent="0.2"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  <c r="X3306" s="5"/>
      <c r="Y3306" s="5"/>
      <c r="Z3306" s="5"/>
      <c r="AA3306" s="5"/>
      <c r="AC3306" t="e">
        <f ca="1">RANK(AB3306,OFFSET($AB$2,0,0,#REF!,1))</f>
        <v>#REF!</v>
      </c>
      <c r="AD3306" s="4" t="e">
        <f>InsurerSize(#REF!)</f>
        <v>#VALUE!</v>
      </c>
      <c r="AE3306" s="4" t="e">
        <f t="shared" si="63"/>
        <v>#VALUE!</v>
      </c>
    </row>
    <row r="3307" spans="8:31" x14ac:dyDescent="0.2"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  <c r="X3307" s="5"/>
      <c r="Y3307" s="5"/>
      <c r="Z3307" s="5"/>
      <c r="AA3307" s="5"/>
      <c r="AC3307" t="e">
        <f ca="1">RANK(AB3307,OFFSET($AB$2,0,0,#REF!,1))</f>
        <v>#REF!</v>
      </c>
      <c r="AD3307" s="4" t="e">
        <f>InsurerSize(#REF!)</f>
        <v>#VALUE!</v>
      </c>
      <c r="AE3307" s="4" t="e">
        <f t="shared" si="63"/>
        <v>#VALUE!</v>
      </c>
    </row>
    <row r="3308" spans="8:31" x14ac:dyDescent="0.2"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  <c r="X3308" s="5"/>
      <c r="Y3308" s="5"/>
      <c r="Z3308" s="5"/>
      <c r="AA3308" s="5"/>
      <c r="AC3308" t="e">
        <f ca="1">RANK(AB3308,OFFSET($AB$2,0,0,#REF!,1))</f>
        <v>#REF!</v>
      </c>
      <c r="AD3308" s="4" t="e">
        <f>InsurerSize(#REF!)</f>
        <v>#VALUE!</v>
      </c>
      <c r="AE3308" s="4" t="e">
        <f t="shared" si="63"/>
        <v>#VALUE!</v>
      </c>
    </row>
    <row r="3309" spans="8:31" x14ac:dyDescent="0.2"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  <c r="X3309" s="5"/>
      <c r="Y3309" s="5"/>
      <c r="Z3309" s="5"/>
      <c r="AA3309" s="5"/>
      <c r="AC3309" t="e">
        <f ca="1">RANK(AB3309,OFFSET($AB$2,0,0,#REF!,1))</f>
        <v>#REF!</v>
      </c>
      <c r="AD3309" s="4" t="e">
        <f>InsurerSize(#REF!)</f>
        <v>#VALUE!</v>
      </c>
      <c r="AE3309" s="4" t="e">
        <f t="shared" si="63"/>
        <v>#VALUE!</v>
      </c>
    </row>
    <row r="3310" spans="8:31" x14ac:dyDescent="0.2"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  <c r="X3310" s="5"/>
      <c r="Y3310" s="5"/>
      <c r="Z3310" s="5"/>
      <c r="AA3310" s="5"/>
      <c r="AC3310" t="e">
        <f ca="1">RANK(AB3310,OFFSET($AB$2,0,0,#REF!,1))</f>
        <v>#REF!</v>
      </c>
      <c r="AD3310" s="4" t="e">
        <f>InsurerSize(#REF!)</f>
        <v>#VALUE!</v>
      </c>
      <c r="AE3310" s="4" t="e">
        <f t="shared" si="63"/>
        <v>#VALUE!</v>
      </c>
    </row>
    <row r="3311" spans="8:31" x14ac:dyDescent="0.2"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  <c r="X3311" s="5"/>
      <c r="Y3311" s="5"/>
      <c r="Z3311" s="5"/>
      <c r="AA3311" s="5"/>
      <c r="AC3311" t="e">
        <f ca="1">RANK(AB3311,OFFSET($AB$2,0,0,#REF!,1))</f>
        <v>#REF!</v>
      </c>
      <c r="AD3311" s="4" t="e">
        <f>InsurerSize(#REF!)</f>
        <v>#VALUE!</v>
      </c>
      <c r="AE3311" s="4" t="e">
        <f t="shared" si="63"/>
        <v>#VALUE!</v>
      </c>
    </row>
    <row r="3312" spans="8:31" x14ac:dyDescent="0.2"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  <c r="X3312" s="5"/>
      <c r="Y3312" s="5"/>
      <c r="Z3312" s="5"/>
      <c r="AA3312" s="5"/>
      <c r="AC3312" t="e">
        <f ca="1">RANK(AB3312,OFFSET($AB$2,0,0,#REF!,1))</f>
        <v>#REF!</v>
      </c>
      <c r="AD3312" s="4" t="e">
        <f>InsurerSize(#REF!)</f>
        <v>#VALUE!</v>
      </c>
      <c r="AE3312" s="4" t="e">
        <f t="shared" si="63"/>
        <v>#VALUE!</v>
      </c>
    </row>
    <row r="3313" spans="8:31" x14ac:dyDescent="0.2"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  <c r="X3313" s="5"/>
      <c r="Y3313" s="5"/>
      <c r="Z3313" s="5"/>
      <c r="AA3313" s="5"/>
      <c r="AC3313" t="e">
        <f ca="1">RANK(AB3313,OFFSET($AB$2,0,0,#REF!,1))</f>
        <v>#REF!</v>
      </c>
      <c r="AD3313" s="4" t="e">
        <f>InsurerSize(#REF!)</f>
        <v>#VALUE!</v>
      </c>
      <c r="AE3313" s="4" t="e">
        <f t="shared" si="63"/>
        <v>#VALUE!</v>
      </c>
    </row>
    <row r="3314" spans="8:31" x14ac:dyDescent="0.2"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5"/>
      <c r="Z3314" s="5"/>
      <c r="AA3314" s="5"/>
      <c r="AC3314" t="e">
        <f ca="1">RANK(AB3314,OFFSET($AB$2,0,0,#REF!,1))</f>
        <v>#REF!</v>
      </c>
      <c r="AD3314" s="4" t="e">
        <f>InsurerSize(#REF!)</f>
        <v>#VALUE!</v>
      </c>
      <c r="AE3314" s="4" t="e">
        <f t="shared" si="63"/>
        <v>#VALUE!</v>
      </c>
    </row>
    <row r="3315" spans="8:31" x14ac:dyDescent="0.2"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  <c r="X3315" s="5"/>
      <c r="Y3315" s="5"/>
      <c r="Z3315" s="5"/>
      <c r="AA3315" s="5"/>
      <c r="AC3315" t="e">
        <f ca="1">RANK(AB3315,OFFSET($AB$2,0,0,#REF!,1))</f>
        <v>#REF!</v>
      </c>
      <c r="AD3315" s="4" t="e">
        <f>InsurerSize(#REF!)</f>
        <v>#VALUE!</v>
      </c>
      <c r="AE3315" s="4" t="e">
        <f t="shared" si="63"/>
        <v>#VALUE!</v>
      </c>
    </row>
    <row r="3316" spans="8:31" x14ac:dyDescent="0.2"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  <c r="X3316" s="5"/>
      <c r="Y3316" s="5"/>
      <c r="Z3316" s="5"/>
      <c r="AA3316" s="5"/>
      <c r="AC3316" t="e">
        <f ca="1">RANK(AB3316,OFFSET($AB$2,0,0,#REF!,1))</f>
        <v>#REF!</v>
      </c>
      <c r="AD3316" s="4" t="e">
        <f>InsurerSize(#REF!)</f>
        <v>#VALUE!</v>
      </c>
      <c r="AE3316" s="4" t="e">
        <f t="shared" si="63"/>
        <v>#VALUE!</v>
      </c>
    </row>
    <row r="3317" spans="8:31" x14ac:dyDescent="0.2"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5"/>
      <c r="Z3317" s="5"/>
      <c r="AA3317" s="5"/>
      <c r="AC3317" t="e">
        <f ca="1">RANK(AB3317,OFFSET($AB$2,0,0,#REF!,1))</f>
        <v>#REF!</v>
      </c>
      <c r="AD3317" s="4" t="e">
        <f>InsurerSize(#REF!)</f>
        <v>#VALUE!</v>
      </c>
      <c r="AE3317" s="4" t="e">
        <f t="shared" si="63"/>
        <v>#VALUE!</v>
      </c>
    </row>
    <row r="3318" spans="8:31" x14ac:dyDescent="0.2"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  <c r="X3318" s="5"/>
      <c r="Y3318" s="5"/>
      <c r="Z3318" s="5"/>
      <c r="AA3318" s="5"/>
      <c r="AC3318" t="e">
        <f ca="1">RANK(AB3318,OFFSET($AB$2,0,0,#REF!,1))</f>
        <v>#REF!</v>
      </c>
      <c r="AD3318" s="4" t="e">
        <f>InsurerSize(#REF!)</f>
        <v>#VALUE!</v>
      </c>
      <c r="AE3318" s="4" t="e">
        <f t="shared" si="63"/>
        <v>#VALUE!</v>
      </c>
    </row>
    <row r="3319" spans="8:31" x14ac:dyDescent="0.2"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  <c r="X3319" s="5"/>
      <c r="Y3319" s="5"/>
      <c r="Z3319" s="5"/>
      <c r="AA3319" s="5"/>
      <c r="AC3319" t="e">
        <f ca="1">RANK(AB3319,OFFSET($AB$2,0,0,#REF!,1))</f>
        <v>#REF!</v>
      </c>
      <c r="AD3319" s="4" t="e">
        <f>InsurerSize(#REF!)</f>
        <v>#VALUE!</v>
      </c>
      <c r="AE3319" s="4" t="e">
        <f t="shared" si="63"/>
        <v>#VALUE!</v>
      </c>
    </row>
    <row r="3320" spans="8:31" x14ac:dyDescent="0.2"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  <c r="X3320" s="5"/>
      <c r="Y3320" s="5"/>
      <c r="Z3320" s="5"/>
      <c r="AA3320" s="5"/>
      <c r="AC3320" t="e">
        <f ca="1">RANK(AB3320,OFFSET($AB$2,0,0,#REF!,1))</f>
        <v>#REF!</v>
      </c>
      <c r="AD3320" s="4" t="e">
        <f>InsurerSize(#REF!)</f>
        <v>#VALUE!</v>
      </c>
      <c r="AE3320" s="4" t="e">
        <f t="shared" si="63"/>
        <v>#VALUE!</v>
      </c>
    </row>
    <row r="3321" spans="8:31" x14ac:dyDescent="0.2"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  <c r="X3321" s="5"/>
      <c r="Y3321" s="5"/>
      <c r="Z3321" s="5"/>
      <c r="AA3321" s="5"/>
      <c r="AC3321" t="e">
        <f ca="1">RANK(AB3321,OFFSET($AB$2,0,0,#REF!,1))</f>
        <v>#REF!</v>
      </c>
      <c r="AD3321" s="4" t="e">
        <f>InsurerSize(#REF!)</f>
        <v>#VALUE!</v>
      </c>
      <c r="AE3321" s="4" t="e">
        <f t="shared" si="63"/>
        <v>#VALUE!</v>
      </c>
    </row>
    <row r="3322" spans="8:31" x14ac:dyDescent="0.2"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  <c r="X3322" s="5"/>
      <c r="Y3322" s="5"/>
      <c r="Z3322" s="5"/>
      <c r="AA3322" s="5"/>
      <c r="AC3322" t="e">
        <f ca="1">RANK(AB3322,OFFSET($AB$2,0,0,#REF!,1))</f>
        <v>#REF!</v>
      </c>
      <c r="AD3322" s="4" t="e">
        <f>InsurerSize(#REF!)</f>
        <v>#VALUE!</v>
      </c>
      <c r="AE3322" s="4" t="e">
        <f t="shared" si="63"/>
        <v>#VALUE!</v>
      </c>
    </row>
    <row r="3323" spans="8:31" x14ac:dyDescent="0.2"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  <c r="X3323" s="5"/>
      <c r="Y3323" s="5"/>
      <c r="Z3323" s="5"/>
      <c r="AA3323" s="5"/>
      <c r="AC3323" t="e">
        <f ca="1">RANK(AB3323,OFFSET($AB$2,0,0,#REF!,1))</f>
        <v>#REF!</v>
      </c>
      <c r="AD3323" s="4" t="e">
        <f>InsurerSize(#REF!)</f>
        <v>#VALUE!</v>
      </c>
      <c r="AE3323" s="4" t="e">
        <f t="shared" si="63"/>
        <v>#VALUE!</v>
      </c>
    </row>
    <row r="3324" spans="8:31" x14ac:dyDescent="0.2"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  <c r="X3324" s="5"/>
      <c r="Y3324" s="5"/>
      <c r="Z3324" s="5"/>
      <c r="AA3324" s="5"/>
      <c r="AC3324" t="e">
        <f ca="1">RANK(AB3324,OFFSET($AB$2,0,0,#REF!,1))</f>
        <v>#REF!</v>
      </c>
      <c r="AD3324" s="4" t="e">
        <f>InsurerSize(#REF!)</f>
        <v>#VALUE!</v>
      </c>
      <c r="AE3324" s="4" t="e">
        <f t="shared" si="63"/>
        <v>#VALUE!</v>
      </c>
    </row>
    <row r="3325" spans="8:31" x14ac:dyDescent="0.2"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  <c r="X3325" s="5"/>
      <c r="Y3325" s="5"/>
      <c r="Z3325" s="5"/>
      <c r="AA3325" s="5"/>
      <c r="AC3325" t="e">
        <f ca="1">RANK(AB3325,OFFSET($AB$2,0,0,#REF!,1))</f>
        <v>#REF!</v>
      </c>
      <c r="AD3325" s="4" t="e">
        <f>InsurerSize(#REF!)</f>
        <v>#VALUE!</v>
      </c>
      <c r="AE3325" s="4" t="e">
        <f t="shared" si="63"/>
        <v>#VALUE!</v>
      </c>
    </row>
    <row r="3326" spans="8:31" x14ac:dyDescent="0.2"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  <c r="X3326" s="5"/>
      <c r="Y3326" s="5"/>
      <c r="Z3326" s="5"/>
      <c r="AA3326" s="5"/>
      <c r="AC3326" t="e">
        <f ca="1">RANK(AB3326,OFFSET($AB$2,0,0,#REF!,1))</f>
        <v>#REF!</v>
      </c>
      <c r="AD3326" s="4" t="e">
        <f>InsurerSize(#REF!)</f>
        <v>#VALUE!</v>
      </c>
      <c r="AE3326" s="4" t="e">
        <f t="shared" si="63"/>
        <v>#VALUE!</v>
      </c>
    </row>
    <row r="3327" spans="8:31" x14ac:dyDescent="0.2"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  <c r="X3327" s="5"/>
      <c r="Y3327" s="5"/>
      <c r="Z3327" s="5"/>
      <c r="AA3327" s="5"/>
      <c r="AC3327" t="e">
        <f ca="1">RANK(AB3327,OFFSET($AB$2,0,0,#REF!,1))</f>
        <v>#REF!</v>
      </c>
      <c r="AD3327" s="4" t="e">
        <f>InsurerSize(#REF!)</f>
        <v>#VALUE!</v>
      </c>
      <c r="AE3327" s="4" t="e">
        <f t="shared" si="63"/>
        <v>#VALUE!</v>
      </c>
    </row>
    <row r="3328" spans="8:31" x14ac:dyDescent="0.2"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  <c r="X3328" s="5"/>
      <c r="Y3328" s="5"/>
      <c r="Z3328" s="5"/>
      <c r="AA3328" s="5"/>
      <c r="AC3328" t="e">
        <f ca="1">RANK(AB3328,OFFSET($AB$2,0,0,#REF!,1))</f>
        <v>#REF!</v>
      </c>
      <c r="AD3328" s="4" t="e">
        <f>InsurerSize(#REF!)</f>
        <v>#VALUE!</v>
      </c>
      <c r="AE3328" s="4" t="e">
        <f t="shared" si="63"/>
        <v>#VALUE!</v>
      </c>
    </row>
    <row r="3329" spans="8:31" x14ac:dyDescent="0.2"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  <c r="X3329" s="5"/>
      <c r="Y3329" s="5"/>
      <c r="Z3329" s="5"/>
      <c r="AA3329" s="5"/>
      <c r="AC3329" t="e">
        <f ca="1">RANK(AB3329,OFFSET($AB$2,0,0,#REF!,1))</f>
        <v>#REF!</v>
      </c>
      <c r="AD3329" s="4" t="e">
        <f>InsurerSize(#REF!)</f>
        <v>#VALUE!</v>
      </c>
      <c r="AE3329" s="4" t="e">
        <f t="shared" si="63"/>
        <v>#VALUE!</v>
      </c>
    </row>
    <row r="3330" spans="8:31" x14ac:dyDescent="0.2"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  <c r="X3330" s="5"/>
      <c r="Y3330" s="5"/>
      <c r="Z3330" s="5"/>
      <c r="AA3330" s="5"/>
      <c r="AC3330" t="e">
        <f ca="1">RANK(AB3330,OFFSET($AB$2,0,0,#REF!,1))</f>
        <v>#REF!</v>
      </c>
      <c r="AD3330" s="4" t="e">
        <f>InsurerSize(#REF!)</f>
        <v>#VALUE!</v>
      </c>
      <c r="AE3330" s="4" t="e">
        <f t="shared" ref="AE3330:AE3393" si="64">A3330&amp;AD3330</f>
        <v>#VALUE!</v>
      </c>
    </row>
    <row r="3331" spans="8:31" x14ac:dyDescent="0.2"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  <c r="X3331" s="5"/>
      <c r="Y3331" s="5"/>
      <c r="Z3331" s="5"/>
      <c r="AA3331" s="5"/>
      <c r="AC3331" t="e">
        <f ca="1">RANK(AB3331,OFFSET($AB$2,0,0,#REF!,1))</f>
        <v>#REF!</v>
      </c>
      <c r="AD3331" s="4" t="e">
        <f>InsurerSize(#REF!)</f>
        <v>#VALUE!</v>
      </c>
      <c r="AE3331" s="4" t="e">
        <f t="shared" si="64"/>
        <v>#VALUE!</v>
      </c>
    </row>
    <row r="3332" spans="8:31" x14ac:dyDescent="0.2"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  <c r="X3332" s="5"/>
      <c r="Y3332" s="5"/>
      <c r="Z3332" s="5"/>
      <c r="AA3332" s="5"/>
      <c r="AC3332" t="e">
        <f ca="1">RANK(AB3332,OFFSET($AB$2,0,0,#REF!,1))</f>
        <v>#REF!</v>
      </c>
      <c r="AD3332" s="4" t="e">
        <f>InsurerSize(#REF!)</f>
        <v>#VALUE!</v>
      </c>
      <c r="AE3332" s="4" t="e">
        <f t="shared" si="64"/>
        <v>#VALUE!</v>
      </c>
    </row>
    <row r="3333" spans="8:31" x14ac:dyDescent="0.2"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5"/>
      <c r="Z3333" s="5"/>
      <c r="AA3333" s="5"/>
      <c r="AC3333" t="e">
        <f ca="1">RANK(AB3333,OFFSET($AB$2,0,0,#REF!,1))</f>
        <v>#REF!</v>
      </c>
      <c r="AD3333" s="4" t="e">
        <f>InsurerSize(#REF!)</f>
        <v>#VALUE!</v>
      </c>
      <c r="AE3333" s="4" t="e">
        <f t="shared" si="64"/>
        <v>#VALUE!</v>
      </c>
    </row>
    <row r="3334" spans="8:31" x14ac:dyDescent="0.2"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  <c r="X3334" s="5"/>
      <c r="Y3334" s="5"/>
      <c r="Z3334" s="5"/>
      <c r="AA3334" s="5"/>
      <c r="AC3334" t="e">
        <f ca="1">RANK(AB3334,OFFSET($AB$2,0,0,#REF!,1))</f>
        <v>#REF!</v>
      </c>
      <c r="AD3334" s="4" t="e">
        <f>InsurerSize(#REF!)</f>
        <v>#VALUE!</v>
      </c>
      <c r="AE3334" s="4" t="e">
        <f t="shared" si="64"/>
        <v>#VALUE!</v>
      </c>
    </row>
    <row r="3335" spans="8:31" x14ac:dyDescent="0.2"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  <c r="X3335" s="5"/>
      <c r="Y3335" s="5"/>
      <c r="Z3335" s="5"/>
      <c r="AA3335" s="5"/>
      <c r="AC3335" t="e">
        <f ca="1">RANK(AB3335,OFFSET($AB$2,0,0,#REF!,1))</f>
        <v>#REF!</v>
      </c>
      <c r="AD3335" s="4" t="e">
        <f>InsurerSize(#REF!)</f>
        <v>#VALUE!</v>
      </c>
      <c r="AE3335" s="4" t="e">
        <f t="shared" si="64"/>
        <v>#VALUE!</v>
      </c>
    </row>
    <row r="3336" spans="8:31" x14ac:dyDescent="0.2"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  <c r="X3336" s="5"/>
      <c r="Y3336" s="5"/>
      <c r="Z3336" s="5"/>
      <c r="AA3336" s="5"/>
      <c r="AC3336" t="e">
        <f ca="1">RANK(AB3336,OFFSET($AB$2,0,0,#REF!,1))</f>
        <v>#REF!</v>
      </c>
      <c r="AD3336" s="4" t="e">
        <f>InsurerSize(#REF!)</f>
        <v>#VALUE!</v>
      </c>
      <c r="AE3336" s="4" t="e">
        <f t="shared" si="64"/>
        <v>#VALUE!</v>
      </c>
    </row>
    <row r="3337" spans="8:31" x14ac:dyDescent="0.2"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  <c r="X3337" s="5"/>
      <c r="Y3337" s="5"/>
      <c r="Z3337" s="5"/>
      <c r="AA3337" s="5"/>
      <c r="AC3337" t="e">
        <f ca="1">RANK(AB3337,OFFSET($AB$2,0,0,#REF!,1))</f>
        <v>#REF!</v>
      </c>
      <c r="AD3337" s="4" t="e">
        <f>InsurerSize(#REF!)</f>
        <v>#VALUE!</v>
      </c>
      <c r="AE3337" s="4" t="e">
        <f t="shared" si="64"/>
        <v>#VALUE!</v>
      </c>
    </row>
    <row r="3338" spans="8:31" x14ac:dyDescent="0.2"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  <c r="X3338" s="5"/>
      <c r="Y3338" s="5"/>
      <c r="Z3338" s="5"/>
      <c r="AA3338" s="5"/>
      <c r="AC3338" t="e">
        <f ca="1">RANK(AB3338,OFFSET($AB$2,0,0,#REF!,1))</f>
        <v>#REF!</v>
      </c>
      <c r="AD3338" s="4" t="e">
        <f>InsurerSize(#REF!)</f>
        <v>#VALUE!</v>
      </c>
      <c r="AE3338" s="4" t="e">
        <f t="shared" si="64"/>
        <v>#VALUE!</v>
      </c>
    </row>
    <row r="3339" spans="8:31" x14ac:dyDescent="0.2"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  <c r="X3339" s="5"/>
      <c r="Y3339" s="5"/>
      <c r="Z3339" s="5"/>
      <c r="AA3339" s="5"/>
      <c r="AC3339" t="e">
        <f ca="1">RANK(AB3339,OFFSET($AB$2,0,0,#REF!,1))</f>
        <v>#REF!</v>
      </c>
      <c r="AD3339" s="4" t="e">
        <f>InsurerSize(#REF!)</f>
        <v>#VALUE!</v>
      </c>
      <c r="AE3339" s="4" t="e">
        <f t="shared" si="64"/>
        <v>#VALUE!</v>
      </c>
    </row>
    <row r="3340" spans="8:31" x14ac:dyDescent="0.2"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  <c r="X3340" s="5"/>
      <c r="Y3340" s="5"/>
      <c r="Z3340" s="5"/>
      <c r="AA3340" s="5"/>
      <c r="AC3340" t="e">
        <f ca="1">RANK(AB3340,OFFSET($AB$2,0,0,#REF!,1))</f>
        <v>#REF!</v>
      </c>
      <c r="AD3340" s="4" t="e">
        <f>InsurerSize(#REF!)</f>
        <v>#VALUE!</v>
      </c>
      <c r="AE3340" s="4" t="e">
        <f t="shared" si="64"/>
        <v>#VALUE!</v>
      </c>
    </row>
    <row r="3341" spans="8:31" x14ac:dyDescent="0.2"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  <c r="X3341" s="5"/>
      <c r="Y3341" s="5"/>
      <c r="Z3341" s="5"/>
      <c r="AA3341" s="5"/>
      <c r="AC3341" t="e">
        <f ca="1">RANK(AB3341,OFFSET($AB$2,0,0,#REF!,1))</f>
        <v>#REF!</v>
      </c>
      <c r="AD3341" s="4" t="e">
        <f>InsurerSize(#REF!)</f>
        <v>#VALUE!</v>
      </c>
      <c r="AE3341" s="4" t="e">
        <f t="shared" si="64"/>
        <v>#VALUE!</v>
      </c>
    </row>
    <row r="3342" spans="8:31" x14ac:dyDescent="0.2"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  <c r="X3342" s="5"/>
      <c r="Y3342" s="5"/>
      <c r="Z3342" s="5"/>
      <c r="AA3342" s="5"/>
      <c r="AC3342" t="e">
        <f ca="1">RANK(AB3342,OFFSET($AB$2,0,0,#REF!,1))</f>
        <v>#REF!</v>
      </c>
      <c r="AD3342" s="4" t="e">
        <f>InsurerSize(#REF!)</f>
        <v>#VALUE!</v>
      </c>
      <c r="AE3342" s="4" t="e">
        <f t="shared" si="64"/>
        <v>#VALUE!</v>
      </c>
    </row>
    <row r="3343" spans="8:31" x14ac:dyDescent="0.2"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  <c r="X3343" s="5"/>
      <c r="Y3343" s="5"/>
      <c r="Z3343" s="5"/>
      <c r="AA3343" s="5"/>
      <c r="AC3343" t="e">
        <f ca="1">RANK(AB3343,OFFSET($AB$2,0,0,#REF!,1))</f>
        <v>#REF!</v>
      </c>
      <c r="AD3343" s="4" t="e">
        <f>InsurerSize(#REF!)</f>
        <v>#VALUE!</v>
      </c>
      <c r="AE3343" s="4" t="e">
        <f t="shared" si="64"/>
        <v>#VALUE!</v>
      </c>
    </row>
    <row r="3344" spans="8:31" x14ac:dyDescent="0.2"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  <c r="X3344" s="5"/>
      <c r="Y3344" s="5"/>
      <c r="Z3344" s="5"/>
      <c r="AA3344" s="5"/>
      <c r="AC3344" t="e">
        <f ca="1">RANK(AB3344,OFFSET($AB$2,0,0,#REF!,1))</f>
        <v>#REF!</v>
      </c>
      <c r="AD3344" s="4" t="e">
        <f>InsurerSize(#REF!)</f>
        <v>#VALUE!</v>
      </c>
      <c r="AE3344" s="4" t="e">
        <f t="shared" si="64"/>
        <v>#VALUE!</v>
      </c>
    </row>
    <row r="3345" spans="8:31" x14ac:dyDescent="0.2"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  <c r="X3345" s="5"/>
      <c r="Y3345" s="5"/>
      <c r="Z3345" s="5"/>
      <c r="AA3345" s="5"/>
      <c r="AC3345" t="e">
        <f ca="1">RANK(AB3345,OFFSET($AB$2,0,0,#REF!,1))</f>
        <v>#REF!</v>
      </c>
      <c r="AD3345" s="4" t="e">
        <f>InsurerSize(#REF!)</f>
        <v>#VALUE!</v>
      </c>
      <c r="AE3345" s="4" t="e">
        <f t="shared" si="64"/>
        <v>#VALUE!</v>
      </c>
    </row>
    <row r="3346" spans="8:31" x14ac:dyDescent="0.2"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  <c r="X3346" s="5"/>
      <c r="Y3346" s="5"/>
      <c r="Z3346" s="5"/>
      <c r="AA3346" s="5"/>
      <c r="AC3346" t="e">
        <f ca="1">RANK(AB3346,OFFSET($AB$2,0,0,#REF!,1))</f>
        <v>#REF!</v>
      </c>
      <c r="AD3346" s="4" t="e">
        <f>InsurerSize(#REF!)</f>
        <v>#VALUE!</v>
      </c>
      <c r="AE3346" s="4" t="e">
        <f t="shared" si="64"/>
        <v>#VALUE!</v>
      </c>
    </row>
    <row r="3347" spans="8:31" x14ac:dyDescent="0.2"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  <c r="X3347" s="5"/>
      <c r="Y3347" s="5"/>
      <c r="Z3347" s="5"/>
      <c r="AA3347" s="5"/>
      <c r="AC3347" t="e">
        <f ca="1">RANK(AB3347,OFFSET($AB$2,0,0,#REF!,1))</f>
        <v>#REF!</v>
      </c>
      <c r="AD3347" s="4" t="e">
        <f>InsurerSize(#REF!)</f>
        <v>#VALUE!</v>
      </c>
      <c r="AE3347" s="4" t="e">
        <f t="shared" si="64"/>
        <v>#VALUE!</v>
      </c>
    </row>
    <row r="3348" spans="8:31" x14ac:dyDescent="0.2"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  <c r="X3348" s="5"/>
      <c r="Y3348" s="5"/>
      <c r="Z3348" s="5"/>
      <c r="AA3348" s="5"/>
      <c r="AC3348" t="e">
        <f ca="1">RANK(AB3348,OFFSET($AB$2,0,0,#REF!,1))</f>
        <v>#REF!</v>
      </c>
      <c r="AD3348" s="4" t="e">
        <f>InsurerSize(#REF!)</f>
        <v>#VALUE!</v>
      </c>
      <c r="AE3348" s="4" t="e">
        <f t="shared" si="64"/>
        <v>#VALUE!</v>
      </c>
    </row>
    <row r="3349" spans="8:31" x14ac:dyDescent="0.2"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  <c r="X3349" s="5"/>
      <c r="Y3349" s="5"/>
      <c r="Z3349" s="5"/>
      <c r="AA3349" s="5"/>
      <c r="AC3349" t="e">
        <f ca="1">RANK(AB3349,OFFSET($AB$2,0,0,#REF!,1))</f>
        <v>#REF!</v>
      </c>
      <c r="AD3349" s="4" t="e">
        <f>InsurerSize(#REF!)</f>
        <v>#VALUE!</v>
      </c>
      <c r="AE3349" s="4" t="e">
        <f t="shared" si="64"/>
        <v>#VALUE!</v>
      </c>
    </row>
    <row r="3350" spans="8:31" x14ac:dyDescent="0.2"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  <c r="X3350" s="5"/>
      <c r="Y3350" s="5"/>
      <c r="Z3350" s="5"/>
      <c r="AA3350" s="5"/>
      <c r="AC3350" t="e">
        <f ca="1">RANK(AB3350,OFFSET($AB$2,0,0,#REF!,1))</f>
        <v>#REF!</v>
      </c>
      <c r="AD3350" s="4" t="e">
        <f>InsurerSize(#REF!)</f>
        <v>#VALUE!</v>
      </c>
      <c r="AE3350" s="4" t="e">
        <f t="shared" si="64"/>
        <v>#VALUE!</v>
      </c>
    </row>
    <row r="3351" spans="8:31" x14ac:dyDescent="0.2"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  <c r="X3351" s="5"/>
      <c r="Y3351" s="5"/>
      <c r="Z3351" s="5"/>
      <c r="AA3351" s="5"/>
      <c r="AC3351" t="e">
        <f ca="1">RANK(AB3351,OFFSET($AB$2,0,0,#REF!,1))</f>
        <v>#REF!</v>
      </c>
      <c r="AD3351" s="4" t="e">
        <f>InsurerSize(#REF!)</f>
        <v>#VALUE!</v>
      </c>
      <c r="AE3351" s="4" t="e">
        <f t="shared" si="64"/>
        <v>#VALUE!</v>
      </c>
    </row>
    <row r="3352" spans="8:31" x14ac:dyDescent="0.2"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  <c r="X3352" s="5"/>
      <c r="Y3352" s="5"/>
      <c r="Z3352" s="5"/>
      <c r="AA3352" s="5"/>
      <c r="AC3352" t="e">
        <f ca="1">RANK(AB3352,OFFSET($AB$2,0,0,#REF!,1))</f>
        <v>#REF!</v>
      </c>
      <c r="AD3352" s="4" t="e">
        <f>InsurerSize(#REF!)</f>
        <v>#VALUE!</v>
      </c>
      <c r="AE3352" s="4" t="e">
        <f t="shared" si="64"/>
        <v>#VALUE!</v>
      </c>
    </row>
    <row r="3353" spans="8:31" x14ac:dyDescent="0.2"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5"/>
      <c r="Z3353" s="5"/>
      <c r="AA3353" s="5"/>
      <c r="AC3353" t="e">
        <f ca="1">RANK(AB3353,OFFSET($AB$2,0,0,#REF!,1))</f>
        <v>#REF!</v>
      </c>
      <c r="AD3353" s="4" t="e">
        <f>InsurerSize(#REF!)</f>
        <v>#VALUE!</v>
      </c>
      <c r="AE3353" s="4" t="e">
        <f t="shared" si="64"/>
        <v>#VALUE!</v>
      </c>
    </row>
    <row r="3354" spans="8:31" x14ac:dyDescent="0.2"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  <c r="X3354" s="5"/>
      <c r="Y3354" s="5"/>
      <c r="Z3354" s="5"/>
      <c r="AA3354" s="5"/>
      <c r="AC3354" t="e">
        <f ca="1">RANK(AB3354,OFFSET($AB$2,0,0,#REF!,1))</f>
        <v>#REF!</v>
      </c>
      <c r="AD3354" s="4" t="e">
        <f>InsurerSize(#REF!)</f>
        <v>#VALUE!</v>
      </c>
      <c r="AE3354" s="4" t="e">
        <f t="shared" si="64"/>
        <v>#VALUE!</v>
      </c>
    </row>
    <row r="3355" spans="8:31" x14ac:dyDescent="0.2"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  <c r="X3355" s="5"/>
      <c r="Y3355" s="5"/>
      <c r="Z3355" s="5"/>
      <c r="AA3355" s="5"/>
      <c r="AC3355" t="e">
        <f ca="1">RANK(AB3355,OFFSET($AB$2,0,0,#REF!,1))</f>
        <v>#REF!</v>
      </c>
      <c r="AD3355" s="4" t="e">
        <f>InsurerSize(#REF!)</f>
        <v>#VALUE!</v>
      </c>
      <c r="AE3355" s="4" t="e">
        <f t="shared" si="64"/>
        <v>#VALUE!</v>
      </c>
    </row>
    <row r="3356" spans="8:31" x14ac:dyDescent="0.2"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  <c r="X3356" s="5"/>
      <c r="Y3356" s="5"/>
      <c r="Z3356" s="5"/>
      <c r="AA3356" s="5"/>
      <c r="AC3356" t="e">
        <f ca="1">RANK(AB3356,OFFSET($AB$2,0,0,#REF!,1))</f>
        <v>#REF!</v>
      </c>
      <c r="AD3356" s="4" t="e">
        <f>InsurerSize(#REF!)</f>
        <v>#VALUE!</v>
      </c>
      <c r="AE3356" s="4" t="e">
        <f t="shared" si="64"/>
        <v>#VALUE!</v>
      </c>
    </row>
    <row r="3357" spans="8:31" x14ac:dyDescent="0.2"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5"/>
      <c r="Z3357" s="5"/>
      <c r="AA3357" s="5"/>
      <c r="AC3357" t="e">
        <f ca="1">RANK(AB3357,OFFSET($AB$2,0,0,#REF!,1))</f>
        <v>#REF!</v>
      </c>
      <c r="AD3357" s="4" t="e">
        <f>InsurerSize(#REF!)</f>
        <v>#VALUE!</v>
      </c>
      <c r="AE3357" s="4" t="e">
        <f t="shared" si="64"/>
        <v>#VALUE!</v>
      </c>
    </row>
    <row r="3358" spans="8:31" x14ac:dyDescent="0.2"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  <c r="X3358" s="5"/>
      <c r="Y3358" s="5"/>
      <c r="Z3358" s="5"/>
      <c r="AA3358" s="5"/>
      <c r="AC3358" t="e">
        <f ca="1">RANK(AB3358,OFFSET($AB$2,0,0,#REF!,1))</f>
        <v>#REF!</v>
      </c>
      <c r="AD3358" s="4" t="e">
        <f>InsurerSize(#REF!)</f>
        <v>#VALUE!</v>
      </c>
      <c r="AE3358" s="4" t="e">
        <f t="shared" si="64"/>
        <v>#VALUE!</v>
      </c>
    </row>
    <row r="3359" spans="8:31" x14ac:dyDescent="0.2"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  <c r="X3359" s="5"/>
      <c r="Y3359" s="5"/>
      <c r="Z3359" s="5"/>
      <c r="AA3359" s="5"/>
      <c r="AC3359" t="e">
        <f ca="1">RANK(AB3359,OFFSET($AB$2,0,0,#REF!,1))</f>
        <v>#REF!</v>
      </c>
      <c r="AD3359" s="4" t="e">
        <f>InsurerSize(#REF!)</f>
        <v>#VALUE!</v>
      </c>
      <c r="AE3359" s="4" t="e">
        <f t="shared" si="64"/>
        <v>#VALUE!</v>
      </c>
    </row>
    <row r="3360" spans="8:31" x14ac:dyDescent="0.2"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  <c r="X3360" s="5"/>
      <c r="Y3360" s="5"/>
      <c r="Z3360" s="5"/>
      <c r="AA3360" s="5"/>
      <c r="AC3360" t="e">
        <f ca="1">RANK(AB3360,OFFSET($AB$2,0,0,#REF!,1))</f>
        <v>#REF!</v>
      </c>
      <c r="AD3360" s="4" t="e">
        <f>InsurerSize(#REF!)</f>
        <v>#VALUE!</v>
      </c>
      <c r="AE3360" s="4" t="e">
        <f t="shared" si="64"/>
        <v>#VALUE!</v>
      </c>
    </row>
    <row r="3361" spans="8:31" x14ac:dyDescent="0.2"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  <c r="X3361" s="5"/>
      <c r="Y3361" s="5"/>
      <c r="Z3361" s="5"/>
      <c r="AA3361" s="5"/>
      <c r="AC3361" t="e">
        <f ca="1">RANK(AB3361,OFFSET($AB$2,0,0,#REF!,1))</f>
        <v>#REF!</v>
      </c>
      <c r="AD3361" s="4" t="e">
        <f>InsurerSize(#REF!)</f>
        <v>#VALUE!</v>
      </c>
      <c r="AE3361" s="4" t="e">
        <f t="shared" si="64"/>
        <v>#VALUE!</v>
      </c>
    </row>
    <row r="3362" spans="8:31" x14ac:dyDescent="0.2"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  <c r="X3362" s="5"/>
      <c r="Y3362" s="5"/>
      <c r="Z3362" s="5"/>
      <c r="AA3362" s="5"/>
      <c r="AC3362" t="e">
        <f ca="1">RANK(AB3362,OFFSET($AB$2,0,0,#REF!,1))</f>
        <v>#REF!</v>
      </c>
      <c r="AD3362" s="4" t="e">
        <f>InsurerSize(#REF!)</f>
        <v>#VALUE!</v>
      </c>
      <c r="AE3362" s="4" t="e">
        <f t="shared" si="64"/>
        <v>#VALUE!</v>
      </c>
    </row>
    <row r="3363" spans="8:31" x14ac:dyDescent="0.2"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  <c r="X3363" s="5"/>
      <c r="Y3363" s="5"/>
      <c r="Z3363" s="5"/>
      <c r="AA3363" s="5"/>
      <c r="AC3363" t="e">
        <f ca="1">RANK(AB3363,OFFSET($AB$2,0,0,#REF!,1))</f>
        <v>#REF!</v>
      </c>
      <c r="AD3363" s="4" t="e">
        <f>InsurerSize(#REF!)</f>
        <v>#VALUE!</v>
      </c>
      <c r="AE3363" s="4" t="e">
        <f t="shared" si="64"/>
        <v>#VALUE!</v>
      </c>
    </row>
    <row r="3364" spans="8:31" x14ac:dyDescent="0.2"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  <c r="X3364" s="5"/>
      <c r="Y3364" s="5"/>
      <c r="Z3364" s="5"/>
      <c r="AA3364" s="5"/>
      <c r="AC3364" t="e">
        <f ca="1">RANK(AB3364,OFFSET($AB$2,0,0,#REF!,1))</f>
        <v>#REF!</v>
      </c>
      <c r="AD3364" s="4" t="e">
        <f>InsurerSize(#REF!)</f>
        <v>#VALUE!</v>
      </c>
      <c r="AE3364" s="4" t="e">
        <f t="shared" si="64"/>
        <v>#VALUE!</v>
      </c>
    </row>
    <row r="3365" spans="8:31" x14ac:dyDescent="0.2"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  <c r="X3365" s="5"/>
      <c r="Y3365" s="5"/>
      <c r="Z3365" s="5"/>
      <c r="AA3365" s="5"/>
      <c r="AC3365" t="e">
        <f ca="1">RANK(AB3365,OFFSET($AB$2,0,0,#REF!,1))</f>
        <v>#REF!</v>
      </c>
      <c r="AD3365" s="4" t="e">
        <f>InsurerSize(#REF!)</f>
        <v>#VALUE!</v>
      </c>
      <c r="AE3365" s="4" t="e">
        <f t="shared" si="64"/>
        <v>#VALUE!</v>
      </c>
    </row>
    <row r="3366" spans="8:31" x14ac:dyDescent="0.2"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  <c r="X3366" s="5"/>
      <c r="Y3366" s="5"/>
      <c r="Z3366" s="5"/>
      <c r="AA3366" s="5"/>
      <c r="AC3366" t="e">
        <f ca="1">RANK(AB3366,OFFSET($AB$2,0,0,#REF!,1))</f>
        <v>#REF!</v>
      </c>
      <c r="AD3366" s="4" t="e">
        <f>InsurerSize(#REF!)</f>
        <v>#VALUE!</v>
      </c>
      <c r="AE3366" s="4" t="e">
        <f t="shared" si="64"/>
        <v>#VALUE!</v>
      </c>
    </row>
    <row r="3367" spans="8:31" x14ac:dyDescent="0.2"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  <c r="X3367" s="5"/>
      <c r="Y3367" s="5"/>
      <c r="Z3367" s="5"/>
      <c r="AA3367" s="5"/>
      <c r="AC3367" t="e">
        <f ca="1">RANK(AB3367,OFFSET($AB$2,0,0,#REF!,1))</f>
        <v>#REF!</v>
      </c>
      <c r="AD3367" s="4" t="e">
        <f>InsurerSize(#REF!)</f>
        <v>#VALUE!</v>
      </c>
      <c r="AE3367" s="4" t="e">
        <f t="shared" si="64"/>
        <v>#VALUE!</v>
      </c>
    </row>
    <row r="3368" spans="8:31" x14ac:dyDescent="0.2"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  <c r="X3368" s="5"/>
      <c r="Y3368" s="5"/>
      <c r="Z3368" s="5"/>
      <c r="AA3368" s="5"/>
      <c r="AC3368" t="e">
        <f ca="1">RANK(AB3368,OFFSET($AB$2,0,0,#REF!,1))</f>
        <v>#REF!</v>
      </c>
      <c r="AD3368" s="4" t="e">
        <f>InsurerSize(#REF!)</f>
        <v>#VALUE!</v>
      </c>
      <c r="AE3368" s="4" t="e">
        <f t="shared" si="64"/>
        <v>#VALUE!</v>
      </c>
    </row>
    <row r="3369" spans="8:31" x14ac:dyDescent="0.2"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  <c r="X3369" s="5"/>
      <c r="Y3369" s="5"/>
      <c r="Z3369" s="5"/>
      <c r="AA3369" s="5"/>
      <c r="AC3369" t="e">
        <f ca="1">RANK(AB3369,OFFSET($AB$2,0,0,#REF!,1))</f>
        <v>#REF!</v>
      </c>
      <c r="AD3369" s="4" t="e">
        <f>InsurerSize(#REF!)</f>
        <v>#VALUE!</v>
      </c>
      <c r="AE3369" s="4" t="e">
        <f t="shared" si="64"/>
        <v>#VALUE!</v>
      </c>
    </row>
    <row r="3370" spans="8:31" x14ac:dyDescent="0.2"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  <c r="X3370" s="5"/>
      <c r="Y3370" s="5"/>
      <c r="Z3370" s="5"/>
      <c r="AA3370" s="5"/>
      <c r="AC3370" t="e">
        <f ca="1">RANK(AB3370,OFFSET($AB$2,0,0,#REF!,1))</f>
        <v>#REF!</v>
      </c>
      <c r="AD3370" s="4" t="e">
        <f>InsurerSize(#REF!)</f>
        <v>#VALUE!</v>
      </c>
      <c r="AE3370" s="4" t="e">
        <f t="shared" si="64"/>
        <v>#VALUE!</v>
      </c>
    </row>
    <row r="3371" spans="8:31" x14ac:dyDescent="0.2"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  <c r="X3371" s="5"/>
      <c r="Y3371" s="5"/>
      <c r="Z3371" s="5"/>
      <c r="AA3371" s="5"/>
      <c r="AC3371" t="e">
        <f ca="1">RANK(AB3371,OFFSET($AB$2,0,0,#REF!,1))</f>
        <v>#REF!</v>
      </c>
      <c r="AD3371" s="4" t="e">
        <f>InsurerSize(#REF!)</f>
        <v>#VALUE!</v>
      </c>
      <c r="AE3371" s="4" t="e">
        <f t="shared" si="64"/>
        <v>#VALUE!</v>
      </c>
    </row>
    <row r="3372" spans="8:31" x14ac:dyDescent="0.2"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  <c r="X3372" s="5"/>
      <c r="Y3372" s="5"/>
      <c r="Z3372" s="5"/>
      <c r="AA3372" s="5"/>
      <c r="AC3372" t="e">
        <f ca="1">RANK(AB3372,OFFSET($AB$2,0,0,#REF!,1))</f>
        <v>#REF!</v>
      </c>
      <c r="AD3372" s="4" t="e">
        <f>InsurerSize(#REF!)</f>
        <v>#VALUE!</v>
      </c>
      <c r="AE3372" s="4" t="e">
        <f t="shared" si="64"/>
        <v>#VALUE!</v>
      </c>
    </row>
    <row r="3373" spans="8:31" x14ac:dyDescent="0.2"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  <c r="X3373" s="5"/>
      <c r="Y3373" s="5"/>
      <c r="Z3373" s="5"/>
      <c r="AA3373" s="5"/>
      <c r="AC3373" t="e">
        <f ca="1">RANK(AB3373,OFFSET($AB$2,0,0,#REF!,1))</f>
        <v>#REF!</v>
      </c>
      <c r="AD3373" s="4" t="e">
        <f>InsurerSize(#REF!)</f>
        <v>#VALUE!</v>
      </c>
      <c r="AE3373" s="4" t="e">
        <f t="shared" si="64"/>
        <v>#VALUE!</v>
      </c>
    </row>
    <row r="3374" spans="8:31" x14ac:dyDescent="0.2"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  <c r="X3374" s="5"/>
      <c r="Y3374" s="5"/>
      <c r="Z3374" s="5"/>
      <c r="AA3374" s="5"/>
      <c r="AC3374" t="e">
        <f ca="1">RANK(AB3374,OFFSET($AB$2,0,0,#REF!,1))</f>
        <v>#REF!</v>
      </c>
      <c r="AD3374" s="4" t="e">
        <f>InsurerSize(#REF!)</f>
        <v>#VALUE!</v>
      </c>
      <c r="AE3374" s="4" t="e">
        <f t="shared" si="64"/>
        <v>#VALUE!</v>
      </c>
    </row>
    <row r="3375" spans="8:31" x14ac:dyDescent="0.2"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  <c r="X3375" s="5"/>
      <c r="Y3375" s="5"/>
      <c r="Z3375" s="5"/>
      <c r="AA3375" s="5"/>
      <c r="AC3375" t="e">
        <f ca="1">RANK(AB3375,OFFSET($AB$2,0,0,#REF!,1))</f>
        <v>#REF!</v>
      </c>
      <c r="AD3375" s="4" t="e">
        <f>InsurerSize(#REF!)</f>
        <v>#VALUE!</v>
      </c>
      <c r="AE3375" s="4" t="e">
        <f t="shared" si="64"/>
        <v>#VALUE!</v>
      </c>
    </row>
    <row r="3376" spans="8:31" x14ac:dyDescent="0.2"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  <c r="X3376" s="5"/>
      <c r="Y3376" s="5"/>
      <c r="Z3376" s="5"/>
      <c r="AA3376" s="5"/>
      <c r="AC3376" t="e">
        <f ca="1">RANK(AB3376,OFFSET($AB$2,0,0,#REF!,1))</f>
        <v>#REF!</v>
      </c>
      <c r="AD3376" s="4" t="e">
        <f>InsurerSize(#REF!)</f>
        <v>#VALUE!</v>
      </c>
      <c r="AE3376" s="4" t="e">
        <f t="shared" si="64"/>
        <v>#VALUE!</v>
      </c>
    </row>
    <row r="3377" spans="8:31" x14ac:dyDescent="0.2"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  <c r="X3377" s="5"/>
      <c r="Y3377" s="5"/>
      <c r="Z3377" s="5"/>
      <c r="AA3377" s="5"/>
      <c r="AC3377" t="e">
        <f ca="1">RANK(AB3377,OFFSET($AB$2,0,0,#REF!,1))</f>
        <v>#REF!</v>
      </c>
      <c r="AD3377" s="4" t="e">
        <f>InsurerSize(#REF!)</f>
        <v>#VALUE!</v>
      </c>
      <c r="AE3377" s="4" t="e">
        <f t="shared" si="64"/>
        <v>#VALUE!</v>
      </c>
    </row>
    <row r="3378" spans="8:31" x14ac:dyDescent="0.2"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  <c r="X3378" s="5"/>
      <c r="Y3378" s="5"/>
      <c r="Z3378" s="5"/>
      <c r="AA3378" s="5"/>
      <c r="AC3378" t="e">
        <f ca="1">RANK(AB3378,OFFSET($AB$2,0,0,#REF!,1))</f>
        <v>#REF!</v>
      </c>
      <c r="AD3378" s="4" t="e">
        <f>InsurerSize(#REF!)</f>
        <v>#VALUE!</v>
      </c>
      <c r="AE3378" s="4" t="e">
        <f t="shared" si="64"/>
        <v>#VALUE!</v>
      </c>
    </row>
    <row r="3379" spans="8:31" x14ac:dyDescent="0.2"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  <c r="X3379" s="5"/>
      <c r="Y3379" s="5"/>
      <c r="Z3379" s="5"/>
      <c r="AA3379" s="5"/>
      <c r="AC3379" t="e">
        <f ca="1">RANK(AB3379,OFFSET($AB$2,0,0,#REF!,1))</f>
        <v>#REF!</v>
      </c>
      <c r="AD3379" s="4" t="e">
        <f>InsurerSize(#REF!)</f>
        <v>#VALUE!</v>
      </c>
      <c r="AE3379" s="4" t="e">
        <f t="shared" si="64"/>
        <v>#VALUE!</v>
      </c>
    </row>
    <row r="3380" spans="8:31" x14ac:dyDescent="0.2"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  <c r="X3380" s="5"/>
      <c r="Y3380" s="5"/>
      <c r="Z3380" s="5"/>
      <c r="AA3380" s="5"/>
      <c r="AC3380" t="e">
        <f ca="1">RANK(AB3380,OFFSET($AB$2,0,0,#REF!,1))</f>
        <v>#REF!</v>
      </c>
      <c r="AD3380" s="4" t="e">
        <f>InsurerSize(#REF!)</f>
        <v>#VALUE!</v>
      </c>
      <c r="AE3380" s="4" t="e">
        <f t="shared" si="64"/>
        <v>#VALUE!</v>
      </c>
    </row>
    <row r="3381" spans="8:31" x14ac:dyDescent="0.2"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  <c r="X3381" s="5"/>
      <c r="Y3381" s="5"/>
      <c r="Z3381" s="5"/>
      <c r="AA3381" s="5"/>
      <c r="AC3381" t="e">
        <f ca="1">RANK(AB3381,OFFSET($AB$2,0,0,#REF!,1))</f>
        <v>#REF!</v>
      </c>
      <c r="AD3381" s="4" t="e">
        <f>InsurerSize(#REF!)</f>
        <v>#VALUE!</v>
      </c>
      <c r="AE3381" s="4" t="e">
        <f t="shared" si="64"/>
        <v>#VALUE!</v>
      </c>
    </row>
    <row r="3382" spans="8:31" x14ac:dyDescent="0.2"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  <c r="X3382" s="5"/>
      <c r="Y3382" s="5"/>
      <c r="Z3382" s="5"/>
      <c r="AA3382" s="5"/>
      <c r="AC3382" t="e">
        <f ca="1">RANK(AB3382,OFFSET($AB$2,0,0,#REF!,1))</f>
        <v>#REF!</v>
      </c>
      <c r="AD3382" s="4" t="e">
        <f>InsurerSize(#REF!)</f>
        <v>#VALUE!</v>
      </c>
      <c r="AE3382" s="4" t="e">
        <f t="shared" si="64"/>
        <v>#VALUE!</v>
      </c>
    </row>
    <row r="3383" spans="8:31" x14ac:dyDescent="0.2"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  <c r="X3383" s="5"/>
      <c r="Y3383" s="5"/>
      <c r="Z3383" s="5"/>
      <c r="AA3383" s="5"/>
      <c r="AC3383" t="e">
        <f ca="1">RANK(AB3383,OFFSET($AB$2,0,0,#REF!,1))</f>
        <v>#REF!</v>
      </c>
      <c r="AD3383" s="4" t="e">
        <f>InsurerSize(#REF!)</f>
        <v>#VALUE!</v>
      </c>
      <c r="AE3383" s="4" t="e">
        <f t="shared" si="64"/>
        <v>#VALUE!</v>
      </c>
    </row>
    <row r="3384" spans="8:31" x14ac:dyDescent="0.2"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  <c r="X3384" s="5"/>
      <c r="Y3384" s="5"/>
      <c r="Z3384" s="5"/>
      <c r="AA3384" s="5"/>
      <c r="AC3384" t="e">
        <f ca="1">RANK(AB3384,OFFSET($AB$2,0,0,#REF!,1))</f>
        <v>#REF!</v>
      </c>
      <c r="AD3384" s="4" t="e">
        <f>InsurerSize(#REF!)</f>
        <v>#VALUE!</v>
      </c>
      <c r="AE3384" s="4" t="e">
        <f t="shared" si="64"/>
        <v>#VALUE!</v>
      </c>
    </row>
    <row r="3385" spans="8:31" x14ac:dyDescent="0.2"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  <c r="X3385" s="5"/>
      <c r="Y3385" s="5"/>
      <c r="Z3385" s="5"/>
      <c r="AA3385" s="5"/>
      <c r="AC3385" t="e">
        <f ca="1">RANK(AB3385,OFFSET($AB$2,0,0,#REF!,1))</f>
        <v>#REF!</v>
      </c>
      <c r="AD3385" s="4" t="e">
        <f>InsurerSize(#REF!)</f>
        <v>#VALUE!</v>
      </c>
      <c r="AE3385" s="4" t="e">
        <f t="shared" si="64"/>
        <v>#VALUE!</v>
      </c>
    </row>
    <row r="3386" spans="8:31" x14ac:dyDescent="0.2"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  <c r="X3386" s="5"/>
      <c r="Y3386" s="5"/>
      <c r="Z3386" s="5"/>
      <c r="AA3386" s="5"/>
      <c r="AC3386" t="e">
        <f ca="1">RANK(AB3386,OFFSET($AB$2,0,0,#REF!,1))</f>
        <v>#REF!</v>
      </c>
      <c r="AD3386" s="4" t="e">
        <f>InsurerSize(#REF!)</f>
        <v>#VALUE!</v>
      </c>
      <c r="AE3386" s="4" t="e">
        <f t="shared" si="64"/>
        <v>#VALUE!</v>
      </c>
    </row>
    <row r="3387" spans="8:31" x14ac:dyDescent="0.2"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  <c r="X3387" s="5"/>
      <c r="Y3387" s="5"/>
      <c r="Z3387" s="5"/>
      <c r="AA3387" s="5"/>
      <c r="AC3387" t="e">
        <f ca="1">RANK(AB3387,OFFSET($AB$2,0,0,#REF!,1))</f>
        <v>#REF!</v>
      </c>
      <c r="AD3387" s="4" t="e">
        <f>InsurerSize(#REF!)</f>
        <v>#VALUE!</v>
      </c>
      <c r="AE3387" s="4" t="e">
        <f t="shared" si="64"/>
        <v>#VALUE!</v>
      </c>
    </row>
    <row r="3388" spans="8:31" x14ac:dyDescent="0.2"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  <c r="X3388" s="5"/>
      <c r="Y3388" s="5"/>
      <c r="Z3388" s="5"/>
      <c r="AA3388" s="5"/>
      <c r="AC3388" t="e">
        <f ca="1">RANK(AB3388,OFFSET($AB$2,0,0,#REF!,1))</f>
        <v>#REF!</v>
      </c>
      <c r="AD3388" s="4" t="e">
        <f>InsurerSize(#REF!)</f>
        <v>#VALUE!</v>
      </c>
      <c r="AE3388" s="4" t="e">
        <f t="shared" si="64"/>
        <v>#VALUE!</v>
      </c>
    </row>
    <row r="3389" spans="8:31" x14ac:dyDescent="0.2"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5"/>
      <c r="Z3389" s="5"/>
      <c r="AA3389" s="5"/>
      <c r="AC3389" t="e">
        <f ca="1">RANK(AB3389,OFFSET($AB$2,0,0,#REF!,1))</f>
        <v>#REF!</v>
      </c>
      <c r="AD3389" s="4" t="e">
        <f>InsurerSize(#REF!)</f>
        <v>#VALUE!</v>
      </c>
      <c r="AE3389" s="4" t="e">
        <f t="shared" si="64"/>
        <v>#VALUE!</v>
      </c>
    </row>
    <row r="3390" spans="8:31" x14ac:dyDescent="0.2"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  <c r="X3390" s="5"/>
      <c r="Y3390" s="5"/>
      <c r="Z3390" s="5"/>
      <c r="AA3390" s="5"/>
      <c r="AC3390" t="e">
        <f ca="1">RANK(AB3390,OFFSET($AB$2,0,0,#REF!,1))</f>
        <v>#REF!</v>
      </c>
      <c r="AD3390" s="4" t="e">
        <f>InsurerSize(#REF!)</f>
        <v>#VALUE!</v>
      </c>
      <c r="AE3390" s="4" t="e">
        <f t="shared" si="64"/>
        <v>#VALUE!</v>
      </c>
    </row>
    <row r="3391" spans="8:31" x14ac:dyDescent="0.2"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  <c r="X3391" s="5"/>
      <c r="Y3391" s="5"/>
      <c r="Z3391" s="5"/>
      <c r="AA3391" s="5"/>
      <c r="AC3391" t="e">
        <f ca="1">RANK(AB3391,OFFSET($AB$2,0,0,#REF!,1))</f>
        <v>#REF!</v>
      </c>
      <c r="AD3391" s="4" t="e">
        <f>InsurerSize(#REF!)</f>
        <v>#VALUE!</v>
      </c>
      <c r="AE3391" s="4" t="e">
        <f t="shared" si="64"/>
        <v>#VALUE!</v>
      </c>
    </row>
    <row r="3392" spans="8:31" x14ac:dyDescent="0.2"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  <c r="X3392" s="5"/>
      <c r="Y3392" s="5"/>
      <c r="Z3392" s="5"/>
      <c r="AA3392" s="5"/>
      <c r="AC3392" t="e">
        <f ca="1">RANK(AB3392,OFFSET($AB$2,0,0,#REF!,1))</f>
        <v>#REF!</v>
      </c>
      <c r="AD3392" s="4" t="e">
        <f>InsurerSize(#REF!)</f>
        <v>#VALUE!</v>
      </c>
      <c r="AE3392" s="4" t="e">
        <f t="shared" si="64"/>
        <v>#VALUE!</v>
      </c>
    </row>
    <row r="3393" spans="8:31" x14ac:dyDescent="0.2"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  <c r="X3393" s="5"/>
      <c r="Y3393" s="5"/>
      <c r="Z3393" s="5"/>
      <c r="AA3393" s="5"/>
      <c r="AC3393" t="e">
        <f ca="1">RANK(AB3393,OFFSET($AB$2,0,0,#REF!,1))</f>
        <v>#REF!</v>
      </c>
      <c r="AD3393" s="4" t="e">
        <f>InsurerSize(#REF!)</f>
        <v>#VALUE!</v>
      </c>
      <c r="AE3393" s="4" t="e">
        <f t="shared" si="64"/>
        <v>#VALUE!</v>
      </c>
    </row>
    <row r="3394" spans="8:31" x14ac:dyDescent="0.2"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  <c r="X3394" s="5"/>
      <c r="Y3394" s="5"/>
      <c r="Z3394" s="5"/>
      <c r="AA3394" s="5"/>
      <c r="AC3394" t="e">
        <f ca="1">RANK(AB3394,OFFSET($AB$2,0,0,#REF!,1))</f>
        <v>#REF!</v>
      </c>
      <c r="AD3394" s="4" t="e">
        <f>InsurerSize(#REF!)</f>
        <v>#VALUE!</v>
      </c>
      <c r="AE3394" s="4" t="e">
        <f t="shared" ref="AE3394:AE3457" si="65">A3394&amp;AD3394</f>
        <v>#VALUE!</v>
      </c>
    </row>
    <row r="3395" spans="8:31" x14ac:dyDescent="0.2"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  <c r="X3395" s="5"/>
      <c r="Y3395" s="5"/>
      <c r="Z3395" s="5"/>
      <c r="AA3395" s="5"/>
      <c r="AC3395" t="e">
        <f ca="1">RANK(AB3395,OFFSET($AB$2,0,0,#REF!,1))</f>
        <v>#REF!</v>
      </c>
      <c r="AD3395" s="4" t="e">
        <f>InsurerSize(#REF!)</f>
        <v>#VALUE!</v>
      </c>
      <c r="AE3395" s="4" t="e">
        <f t="shared" si="65"/>
        <v>#VALUE!</v>
      </c>
    </row>
    <row r="3396" spans="8:31" x14ac:dyDescent="0.2"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  <c r="X3396" s="5"/>
      <c r="Y3396" s="5"/>
      <c r="Z3396" s="5"/>
      <c r="AA3396" s="5"/>
      <c r="AC3396" t="e">
        <f ca="1">RANK(AB3396,OFFSET($AB$2,0,0,#REF!,1))</f>
        <v>#REF!</v>
      </c>
      <c r="AD3396" s="4" t="e">
        <f>InsurerSize(#REF!)</f>
        <v>#VALUE!</v>
      </c>
      <c r="AE3396" s="4" t="e">
        <f t="shared" si="65"/>
        <v>#VALUE!</v>
      </c>
    </row>
    <row r="3397" spans="8:31" x14ac:dyDescent="0.2"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  <c r="X3397" s="5"/>
      <c r="Y3397" s="5"/>
      <c r="Z3397" s="5"/>
      <c r="AA3397" s="5"/>
      <c r="AC3397" t="e">
        <f ca="1">RANK(AB3397,OFFSET($AB$2,0,0,#REF!,1))</f>
        <v>#REF!</v>
      </c>
      <c r="AD3397" s="4" t="e">
        <f>InsurerSize(#REF!)</f>
        <v>#VALUE!</v>
      </c>
      <c r="AE3397" s="4" t="e">
        <f t="shared" si="65"/>
        <v>#VALUE!</v>
      </c>
    </row>
    <row r="3398" spans="8:31" x14ac:dyDescent="0.2"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  <c r="X3398" s="5"/>
      <c r="Y3398" s="5"/>
      <c r="Z3398" s="5"/>
      <c r="AA3398" s="5"/>
      <c r="AC3398" t="e">
        <f ca="1">RANK(AB3398,OFFSET($AB$2,0,0,#REF!,1))</f>
        <v>#REF!</v>
      </c>
      <c r="AD3398" s="4" t="e">
        <f>InsurerSize(#REF!)</f>
        <v>#VALUE!</v>
      </c>
      <c r="AE3398" s="4" t="e">
        <f t="shared" si="65"/>
        <v>#VALUE!</v>
      </c>
    </row>
    <row r="3399" spans="8:31" x14ac:dyDescent="0.2"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  <c r="X3399" s="5"/>
      <c r="Y3399" s="5"/>
      <c r="Z3399" s="5"/>
      <c r="AA3399" s="5"/>
      <c r="AC3399" t="e">
        <f ca="1">RANK(AB3399,OFFSET($AB$2,0,0,#REF!,1))</f>
        <v>#REF!</v>
      </c>
      <c r="AD3399" s="4" t="e">
        <f>InsurerSize(#REF!)</f>
        <v>#VALUE!</v>
      </c>
      <c r="AE3399" s="4" t="e">
        <f t="shared" si="65"/>
        <v>#VALUE!</v>
      </c>
    </row>
    <row r="3400" spans="8:31" x14ac:dyDescent="0.2"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5"/>
      <c r="Z3400" s="5"/>
      <c r="AA3400" s="5"/>
      <c r="AC3400" t="e">
        <f ca="1">RANK(AB3400,OFFSET($AB$2,0,0,#REF!,1))</f>
        <v>#REF!</v>
      </c>
      <c r="AD3400" s="4" t="e">
        <f>InsurerSize(#REF!)</f>
        <v>#VALUE!</v>
      </c>
      <c r="AE3400" s="4" t="e">
        <f t="shared" si="65"/>
        <v>#VALUE!</v>
      </c>
    </row>
    <row r="3401" spans="8:31" x14ac:dyDescent="0.2"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  <c r="X3401" s="5"/>
      <c r="Y3401" s="5"/>
      <c r="Z3401" s="5"/>
      <c r="AA3401" s="5"/>
      <c r="AC3401" t="e">
        <f ca="1">RANK(AB3401,OFFSET($AB$2,0,0,#REF!,1))</f>
        <v>#REF!</v>
      </c>
      <c r="AD3401" s="4" t="e">
        <f>InsurerSize(#REF!)</f>
        <v>#VALUE!</v>
      </c>
      <c r="AE3401" s="4" t="e">
        <f t="shared" si="65"/>
        <v>#VALUE!</v>
      </c>
    </row>
    <row r="3402" spans="8:31" x14ac:dyDescent="0.2"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  <c r="X3402" s="5"/>
      <c r="Y3402" s="5"/>
      <c r="Z3402" s="5"/>
      <c r="AA3402" s="5"/>
      <c r="AC3402" t="e">
        <f ca="1">RANK(AB3402,OFFSET($AB$2,0,0,#REF!,1))</f>
        <v>#REF!</v>
      </c>
      <c r="AD3402" s="4" t="e">
        <f>InsurerSize(#REF!)</f>
        <v>#VALUE!</v>
      </c>
      <c r="AE3402" s="4" t="e">
        <f t="shared" si="65"/>
        <v>#VALUE!</v>
      </c>
    </row>
    <row r="3403" spans="8:31" x14ac:dyDescent="0.2"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  <c r="X3403" s="5"/>
      <c r="Y3403" s="5"/>
      <c r="Z3403" s="5"/>
      <c r="AA3403" s="5"/>
      <c r="AC3403" t="e">
        <f ca="1">RANK(AB3403,OFFSET($AB$2,0,0,#REF!,1))</f>
        <v>#REF!</v>
      </c>
      <c r="AD3403" s="4" t="e">
        <f>InsurerSize(#REF!)</f>
        <v>#VALUE!</v>
      </c>
      <c r="AE3403" s="4" t="e">
        <f t="shared" si="65"/>
        <v>#VALUE!</v>
      </c>
    </row>
    <row r="3404" spans="8:31" x14ac:dyDescent="0.2"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  <c r="X3404" s="5"/>
      <c r="Y3404" s="5"/>
      <c r="Z3404" s="5"/>
      <c r="AA3404" s="5"/>
      <c r="AC3404" t="e">
        <f ca="1">RANK(AB3404,OFFSET($AB$2,0,0,#REF!,1))</f>
        <v>#REF!</v>
      </c>
      <c r="AD3404" s="4" t="e">
        <f>InsurerSize(#REF!)</f>
        <v>#VALUE!</v>
      </c>
      <c r="AE3404" s="4" t="e">
        <f t="shared" si="65"/>
        <v>#VALUE!</v>
      </c>
    </row>
    <row r="3405" spans="8:31" x14ac:dyDescent="0.2"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  <c r="X3405" s="5"/>
      <c r="Y3405" s="5"/>
      <c r="Z3405" s="5"/>
      <c r="AA3405" s="5"/>
      <c r="AC3405" t="e">
        <f ca="1">RANK(AB3405,OFFSET($AB$2,0,0,#REF!,1))</f>
        <v>#REF!</v>
      </c>
      <c r="AD3405" s="4" t="e">
        <f>InsurerSize(#REF!)</f>
        <v>#VALUE!</v>
      </c>
      <c r="AE3405" s="4" t="e">
        <f t="shared" si="65"/>
        <v>#VALUE!</v>
      </c>
    </row>
    <row r="3406" spans="8:31" x14ac:dyDescent="0.2"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  <c r="X3406" s="5"/>
      <c r="Y3406" s="5"/>
      <c r="Z3406" s="5"/>
      <c r="AA3406" s="5"/>
      <c r="AC3406" t="e">
        <f ca="1">RANK(AB3406,OFFSET($AB$2,0,0,#REF!,1))</f>
        <v>#REF!</v>
      </c>
      <c r="AD3406" s="4" t="e">
        <f>InsurerSize(#REF!)</f>
        <v>#VALUE!</v>
      </c>
      <c r="AE3406" s="4" t="e">
        <f t="shared" si="65"/>
        <v>#VALUE!</v>
      </c>
    </row>
    <row r="3407" spans="8:31" x14ac:dyDescent="0.2"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  <c r="X3407" s="5"/>
      <c r="Y3407" s="5"/>
      <c r="Z3407" s="5"/>
      <c r="AA3407" s="5"/>
      <c r="AC3407" t="e">
        <f ca="1">RANK(AB3407,OFFSET($AB$2,0,0,#REF!,1))</f>
        <v>#REF!</v>
      </c>
      <c r="AD3407" s="4" t="e">
        <f>InsurerSize(#REF!)</f>
        <v>#VALUE!</v>
      </c>
      <c r="AE3407" s="4" t="e">
        <f t="shared" si="65"/>
        <v>#VALUE!</v>
      </c>
    </row>
    <row r="3408" spans="8:31" x14ac:dyDescent="0.2"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  <c r="X3408" s="5"/>
      <c r="Y3408" s="5"/>
      <c r="Z3408" s="5"/>
      <c r="AA3408" s="5"/>
      <c r="AC3408" t="e">
        <f ca="1">RANK(AB3408,OFFSET($AB$2,0,0,#REF!,1))</f>
        <v>#REF!</v>
      </c>
      <c r="AD3408" s="4" t="e">
        <f>InsurerSize(#REF!)</f>
        <v>#VALUE!</v>
      </c>
      <c r="AE3408" s="4" t="e">
        <f t="shared" si="65"/>
        <v>#VALUE!</v>
      </c>
    </row>
    <row r="3409" spans="8:31" x14ac:dyDescent="0.2">
      <c r="H3409" s="5"/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  <c r="X3409" s="5"/>
      <c r="Y3409" s="5"/>
      <c r="Z3409" s="5"/>
      <c r="AA3409" s="5"/>
      <c r="AC3409" t="e">
        <f ca="1">RANK(AB3409,OFFSET($AB$2,0,0,#REF!,1))</f>
        <v>#REF!</v>
      </c>
      <c r="AD3409" s="4" t="e">
        <f>InsurerSize(#REF!)</f>
        <v>#VALUE!</v>
      </c>
      <c r="AE3409" s="4" t="e">
        <f t="shared" si="65"/>
        <v>#VALUE!</v>
      </c>
    </row>
    <row r="3410" spans="8:31" x14ac:dyDescent="0.2"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  <c r="X3410" s="5"/>
      <c r="Y3410" s="5"/>
      <c r="Z3410" s="5"/>
      <c r="AA3410" s="5"/>
      <c r="AC3410" t="e">
        <f ca="1">RANK(AB3410,OFFSET($AB$2,0,0,#REF!,1))</f>
        <v>#REF!</v>
      </c>
      <c r="AD3410" s="4" t="e">
        <f>InsurerSize(#REF!)</f>
        <v>#VALUE!</v>
      </c>
      <c r="AE3410" s="4" t="e">
        <f t="shared" si="65"/>
        <v>#VALUE!</v>
      </c>
    </row>
    <row r="3411" spans="8:31" x14ac:dyDescent="0.2">
      <c r="H3411" s="5"/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  <c r="X3411" s="5"/>
      <c r="Y3411" s="5"/>
      <c r="Z3411" s="5"/>
      <c r="AA3411" s="5"/>
      <c r="AC3411" t="e">
        <f ca="1">RANK(AB3411,OFFSET($AB$2,0,0,#REF!,1))</f>
        <v>#REF!</v>
      </c>
      <c r="AD3411" s="4" t="e">
        <f>InsurerSize(#REF!)</f>
        <v>#VALUE!</v>
      </c>
      <c r="AE3411" s="4" t="e">
        <f t="shared" si="65"/>
        <v>#VALUE!</v>
      </c>
    </row>
    <row r="3412" spans="8:31" x14ac:dyDescent="0.2">
      <c r="H3412" s="5"/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  <c r="X3412" s="5"/>
      <c r="Y3412" s="5"/>
      <c r="Z3412" s="5"/>
      <c r="AA3412" s="5"/>
      <c r="AC3412" t="e">
        <f ca="1">RANK(AB3412,OFFSET($AB$2,0,0,#REF!,1))</f>
        <v>#REF!</v>
      </c>
      <c r="AD3412" s="4" t="e">
        <f>InsurerSize(#REF!)</f>
        <v>#VALUE!</v>
      </c>
      <c r="AE3412" s="4" t="e">
        <f t="shared" si="65"/>
        <v>#VALUE!</v>
      </c>
    </row>
    <row r="3413" spans="8:31" x14ac:dyDescent="0.2">
      <c r="H3413" s="5"/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  <c r="X3413" s="5"/>
      <c r="Y3413" s="5"/>
      <c r="Z3413" s="5"/>
      <c r="AA3413" s="5"/>
      <c r="AC3413" t="e">
        <f ca="1">RANK(AB3413,OFFSET($AB$2,0,0,#REF!,1))</f>
        <v>#REF!</v>
      </c>
      <c r="AD3413" s="4" t="e">
        <f>InsurerSize(#REF!)</f>
        <v>#VALUE!</v>
      </c>
      <c r="AE3413" s="4" t="e">
        <f t="shared" si="65"/>
        <v>#VALUE!</v>
      </c>
    </row>
    <row r="3414" spans="8:31" x14ac:dyDescent="0.2">
      <c r="H3414" s="5"/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  <c r="X3414" s="5"/>
      <c r="Y3414" s="5"/>
      <c r="Z3414" s="5"/>
      <c r="AA3414" s="5"/>
      <c r="AC3414" t="e">
        <f ca="1">RANK(AB3414,OFFSET($AB$2,0,0,#REF!,1))</f>
        <v>#REF!</v>
      </c>
      <c r="AD3414" s="4" t="e">
        <f>InsurerSize(#REF!)</f>
        <v>#VALUE!</v>
      </c>
      <c r="AE3414" s="4" t="e">
        <f t="shared" si="65"/>
        <v>#VALUE!</v>
      </c>
    </row>
    <row r="3415" spans="8:31" x14ac:dyDescent="0.2">
      <c r="H3415" s="5"/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  <c r="X3415" s="5"/>
      <c r="Y3415" s="5"/>
      <c r="Z3415" s="5"/>
      <c r="AA3415" s="5"/>
      <c r="AC3415" t="e">
        <f ca="1">RANK(AB3415,OFFSET($AB$2,0,0,#REF!,1))</f>
        <v>#REF!</v>
      </c>
      <c r="AD3415" s="4" t="e">
        <f>InsurerSize(#REF!)</f>
        <v>#VALUE!</v>
      </c>
      <c r="AE3415" s="4" t="e">
        <f t="shared" si="65"/>
        <v>#VALUE!</v>
      </c>
    </row>
    <row r="3416" spans="8:31" x14ac:dyDescent="0.2"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  <c r="X3416" s="5"/>
      <c r="Y3416" s="5"/>
      <c r="Z3416" s="5"/>
      <c r="AA3416" s="5"/>
      <c r="AC3416" t="e">
        <f ca="1">RANK(AB3416,OFFSET($AB$2,0,0,#REF!,1))</f>
        <v>#REF!</v>
      </c>
      <c r="AD3416" s="4" t="e">
        <f>InsurerSize(#REF!)</f>
        <v>#VALUE!</v>
      </c>
      <c r="AE3416" s="4" t="e">
        <f t="shared" si="65"/>
        <v>#VALUE!</v>
      </c>
    </row>
    <row r="3417" spans="8:31" x14ac:dyDescent="0.2">
      <c r="H3417" s="5"/>
      <c r="I3417" s="5"/>
      <c r="J3417" s="5"/>
      <c r="K3417" s="5"/>
      <c r="L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  <c r="W3417" s="5"/>
      <c r="X3417" s="5"/>
      <c r="Y3417" s="5"/>
      <c r="Z3417" s="5"/>
      <c r="AA3417" s="5"/>
      <c r="AC3417" t="e">
        <f ca="1">RANK(AB3417,OFFSET($AB$2,0,0,#REF!,1))</f>
        <v>#REF!</v>
      </c>
      <c r="AD3417" s="4" t="e">
        <f>InsurerSize(#REF!)</f>
        <v>#VALUE!</v>
      </c>
      <c r="AE3417" s="4" t="e">
        <f t="shared" si="65"/>
        <v>#VALUE!</v>
      </c>
    </row>
    <row r="3418" spans="8:31" x14ac:dyDescent="0.2">
      <c r="H3418" s="5"/>
      <c r="I3418" s="5"/>
      <c r="J3418" s="5"/>
      <c r="K3418" s="5"/>
      <c r="L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  <c r="W3418" s="5"/>
      <c r="X3418" s="5"/>
      <c r="Y3418" s="5"/>
      <c r="Z3418" s="5"/>
      <c r="AA3418" s="5"/>
      <c r="AC3418" t="e">
        <f ca="1">RANK(AB3418,OFFSET($AB$2,0,0,#REF!,1))</f>
        <v>#REF!</v>
      </c>
      <c r="AD3418" s="4" t="e">
        <f>InsurerSize(#REF!)</f>
        <v>#VALUE!</v>
      </c>
      <c r="AE3418" s="4" t="e">
        <f t="shared" si="65"/>
        <v>#VALUE!</v>
      </c>
    </row>
    <row r="3419" spans="8:31" x14ac:dyDescent="0.2">
      <c r="H3419" s="5"/>
      <c r="I3419" s="5"/>
      <c r="J3419" s="5"/>
      <c r="K3419" s="5"/>
      <c r="L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  <c r="W3419" s="5"/>
      <c r="X3419" s="5"/>
      <c r="Y3419" s="5"/>
      <c r="Z3419" s="5"/>
      <c r="AA3419" s="5"/>
      <c r="AC3419" t="e">
        <f ca="1">RANK(AB3419,OFFSET($AB$2,0,0,#REF!,1))</f>
        <v>#REF!</v>
      </c>
      <c r="AD3419" s="4" t="e">
        <f>InsurerSize(#REF!)</f>
        <v>#VALUE!</v>
      </c>
      <c r="AE3419" s="4" t="e">
        <f t="shared" si="65"/>
        <v>#VALUE!</v>
      </c>
    </row>
    <row r="3420" spans="8:31" x14ac:dyDescent="0.2">
      <c r="H3420" s="5"/>
      <c r="I3420" s="5"/>
      <c r="J3420" s="5"/>
      <c r="K3420" s="5"/>
      <c r="L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  <c r="W3420" s="5"/>
      <c r="X3420" s="5"/>
      <c r="Y3420" s="5"/>
      <c r="Z3420" s="5"/>
      <c r="AA3420" s="5"/>
      <c r="AC3420" t="e">
        <f ca="1">RANK(AB3420,OFFSET($AB$2,0,0,#REF!,1))</f>
        <v>#REF!</v>
      </c>
      <c r="AD3420" s="4" t="e">
        <f>InsurerSize(#REF!)</f>
        <v>#VALUE!</v>
      </c>
      <c r="AE3420" s="4" t="e">
        <f t="shared" si="65"/>
        <v>#VALUE!</v>
      </c>
    </row>
    <row r="3421" spans="8:31" x14ac:dyDescent="0.2">
      <c r="H3421" s="5"/>
      <c r="I3421" s="5"/>
      <c r="J3421" s="5"/>
      <c r="K3421" s="5"/>
      <c r="L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  <c r="W3421" s="5"/>
      <c r="X3421" s="5"/>
      <c r="Y3421" s="5"/>
      <c r="Z3421" s="5"/>
      <c r="AA3421" s="5"/>
      <c r="AC3421" t="e">
        <f ca="1">RANK(AB3421,OFFSET($AB$2,0,0,#REF!,1))</f>
        <v>#REF!</v>
      </c>
      <c r="AD3421" s="4" t="e">
        <f>InsurerSize(#REF!)</f>
        <v>#VALUE!</v>
      </c>
      <c r="AE3421" s="4" t="e">
        <f t="shared" si="65"/>
        <v>#VALUE!</v>
      </c>
    </row>
    <row r="3422" spans="8:31" x14ac:dyDescent="0.2">
      <c r="H3422" s="5"/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  <c r="X3422" s="5"/>
      <c r="Y3422" s="5"/>
      <c r="Z3422" s="5"/>
      <c r="AA3422" s="5"/>
      <c r="AC3422" t="e">
        <f ca="1">RANK(AB3422,OFFSET($AB$2,0,0,#REF!,1))</f>
        <v>#REF!</v>
      </c>
      <c r="AD3422" s="4" t="e">
        <f>InsurerSize(#REF!)</f>
        <v>#VALUE!</v>
      </c>
      <c r="AE3422" s="4" t="e">
        <f t="shared" si="65"/>
        <v>#VALUE!</v>
      </c>
    </row>
    <row r="3423" spans="8:31" x14ac:dyDescent="0.2">
      <c r="H3423" s="5"/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  <c r="X3423" s="5"/>
      <c r="Y3423" s="5"/>
      <c r="Z3423" s="5"/>
      <c r="AA3423" s="5"/>
      <c r="AC3423" t="e">
        <f ca="1">RANK(AB3423,OFFSET($AB$2,0,0,#REF!,1))</f>
        <v>#REF!</v>
      </c>
      <c r="AD3423" s="4" t="e">
        <f>InsurerSize(#REF!)</f>
        <v>#VALUE!</v>
      </c>
      <c r="AE3423" s="4" t="e">
        <f t="shared" si="65"/>
        <v>#VALUE!</v>
      </c>
    </row>
    <row r="3424" spans="8:31" x14ac:dyDescent="0.2">
      <c r="H3424" s="5"/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  <c r="X3424" s="5"/>
      <c r="Y3424" s="5"/>
      <c r="Z3424" s="5"/>
      <c r="AA3424" s="5"/>
      <c r="AC3424" t="e">
        <f ca="1">RANK(AB3424,OFFSET($AB$2,0,0,#REF!,1))</f>
        <v>#REF!</v>
      </c>
      <c r="AD3424" s="4" t="e">
        <f>InsurerSize(#REF!)</f>
        <v>#VALUE!</v>
      </c>
      <c r="AE3424" s="4" t="e">
        <f t="shared" si="65"/>
        <v>#VALUE!</v>
      </c>
    </row>
    <row r="3425" spans="8:31" x14ac:dyDescent="0.2">
      <c r="H3425" s="5"/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5"/>
      <c r="Z3425" s="5"/>
      <c r="AA3425" s="5"/>
      <c r="AC3425" t="e">
        <f ca="1">RANK(AB3425,OFFSET($AB$2,0,0,#REF!,1))</f>
        <v>#REF!</v>
      </c>
      <c r="AD3425" s="4" t="e">
        <f>InsurerSize(#REF!)</f>
        <v>#VALUE!</v>
      </c>
      <c r="AE3425" s="4" t="e">
        <f t="shared" si="65"/>
        <v>#VALUE!</v>
      </c>
    </row>
    <row r="3426" spans="8:31" x14ac:dyDescent="0.2">
      <c r="H3426" s="5"/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  <c r="X3426" s="5"/>
      <c r="Y3426" s="5"/>
      <c r="Z3426" s="5"/>
      <c r="AA3426" s="5"/>
      <c r="AC3426" t="e">
        <f ca="1">RANK(AB3426,OFFSET($AB$2,0,0,#REF!,1))</f>
        <v>#REF!</v>
      </c>
      <c r="AD3426" s="4" t="e">
        <f>InsurerSize(#REF!)</f>
        <v>#VALUE!</v>
      </c>
      <c r="AE3426" s="4" t="e">
        <f t="shared" si="65"/>
        <v>#VALUE!</v>
      </c>
    </row>
    <row r="3427" spans="8:31" x14ac:dyDescent="0.2">
      <c r="H3427" s="5"/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  <c r="X3427" s="5"/>
      <c r="Y3427" s="5"/>
      <c r="Z3427" s="5"/>
      <c r="AA3427" s="5"/>
      <c r="AC3427" t="e">
        <f ca="1">RANK(AB3427,OFFSET($AB$2,0,0,#REF!,1))</f>
        <v>#REF!</v>
      </c>
      <c r="AD3427" s="4" t="e">
        <f>InsurerSize(#REF!)</f>
        <v>#VALUE!</v>
      </c>
      <c r="AE3427" s="4" t="e">
        <f t="shared" si="65"/>
        <v>#VALUE!</v>
      </c>
    </row>
    <row r="3428" spans="8:31" x14ac:dyDescent="0.2">
      <c r="H3428" s="5"/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  <c r="X3428" s="5"/>
      <c r="Y3428" s="5"/>
      <c r="Z3428" s="5"/>
      <c r="AA3428" s="5"/>
      <c r="AC3428" t="e">
        <f ca="1">RANK(AB3428,OFFSET($AB$2,0,0,#REF!,1))</f>
        <v>#REF!</v>
      </c>
      <c r="AD3428" s="4" t="e">
        <f>InsurerSize(#REF!)</f>
        <v>#VALUE!</v>
      </c>
      <c r="AE3428" s="4" t="e">
        <f t="shared" si="65"/>
        <v>#VALUE!</v>
      </c>
    </row>
    <row r="3429" spans="8:31" x14ac:dyDescent="0.2">
      <c r="H3429" s="5"/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  <c r="X3429" s="5"/>
      <c r="Y3429" s="5"/>
      <c r="Z3429" s="5"/>
      <c r="AA3429" s="5"/>
      <c r="AC3429" t="e">
        <f ca="1">RANK(AB3429,OFFSET($AB$2,0,0,#REF!,1))</f>
        <v>#REF!</v>
      </c>
      <c r="AD3429" s="4" t="e">
        <f>InsurerSize(#REF!)</f>
        <v>#VALUE!</v>
      </c>
      <c r="AE3429" s="4" t="e">
        <f t="shared" si="65"/>
        <v>#VALUE!</v>
      </c>
    </row>
    <row r="3430" spans="8:31" x14ac:dyDescent="0.2">
      <c r="H3430" s="5"/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  <c r="X3430" s="5"/>
      <c r="Y3430" s="5"/>
      <c r="Z3430" s="5"/>
      <c r="AA3430" s="5"/>
      <c r="AC3430" t="e">
        <f ca="1">RANK(AB3430,OFFSET($AB$2,0,0,#REF!,1))</f>
        <v>#REF!</v>
      </c>
      <c r="AD3430" s="4" t="e">
        <f>InsurerSize(#REF!)</f>
        <v>#VALUE!</v>
      </c>
      <c r="AE3430" s="4" t="e">
        <f t="shared" si="65"/>
        <v>#VALUE!</v>
      </c>
    </row>
    <row r="3431" spans="8:31" x14ac:dyDescent="0.2"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  <c r="X3431" s="5"/>
      <c r="Y3431" s="5"/>
      <c r="Z3431" s="5"/>
      <c r="AA3431" s="5"/>
      <c r="AC3431" t="e">
        <f ca="1">RANK(AB3431,OFFSET($AB$2,0,0,#REF!,1))</f>
        <v>#REF!</v>
      </c>
      <c r="AD3431" s="4" t="e">
        <f>InsurerSize(#REF!)</f>
        <v>#VALUE!</v>
      </c>
      <c r="AE3431" s="4" t="e">
        <f t="shared" si="65"/>
        <v>#VALUE!</v>
      </c>
    </row>
    <row r="3432" spans="8:31" x14ac:dyDescent="0.2"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  <c r="X3432" s="5"/>
      <c r="Y3432" s="5"/>
      <c r="Z3432" s="5"/>
      <c r="AA3432" s="5"/>
      <c r="AC3432" t="e">
        <f ca="1">RANK(AB3432,OFFSET($AB$2,0,0,#REF!,1))</f>
        <v>#REF!</v>
      </c>
      <c r="AD3432" s="4" t="e">
        <f>InsurerSize(#REF!)</f>
        <v>#VALUE!</v>
      </c>
      <c r="AE3432" s="4" t="e">
        <f t="shared" si="65"/>
        <v>#VALUE!</v>
      </c>
    </row>
    <row r="3433" spans="8:31" x14ac:dyDescent="0.2"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  <c r="X3433" s="5"/>
      <c r="Y3433" s="5"/>
      <c r="Z3433" s="5"/>
      <c r="AA3433" s="5"/>
      <c r="AC3433" t="e">
        <f ca="1">RANK(AB3433,OFFSET($AB$2,0,0,#REF!,1))</f>
        <v>#REF!</v>
      </c>
      <c r="AD3433" s="4" t="e">
        <f>InsurerSize(#REF!)</f>
        <v>#VALUE!</v>
      </c>
      <c r="AE3433" s="4" t="e">
        <f t="shared" si="65"/>
        <v>#VALUE!</v>
      </c>
    </row>
    <row r="3434" spans="8:31" x14ac:dyDescent="0.2"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  <c r="X3434" s="5"/>
      <c r="Y3434" s="5"/>
      <c r="Z3434" s="5"/>
      <c r="AA3434" s="5"/>
      <c r="AC3434" t="e">
        <f ca="1">RANK(AB3434,OFFSET($AB$2,0,0,#REF!,1))</f>
        <v>#REF!</v>
      </c>
      <c r="AD3434" s="4" t="e">
        <f>InsurerSize(#REF!)</f>
        <v>#VALUE!</v>
      </c>
      <c r="AE3434" s="4" t="e">
        <f t="shared" si="65"/>
        <v>#VALUE!</v>
      </c>
    </row>
    <row r="3435" spans="8:31" x14ac:dyDescent="0.2">
      <c r="H3435" s="5"/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  <c r="X3435" s="5"/>
      <c r="Y3435" s="5"/>
      <c r="Z3435" s="5"/>
      <c r="AA3435" s="5"/>
      <c r="AC3435" t="e">
        <f ca="1">RANK(AB3435,OFFSET($AB$2,0,0,#REF!,1))</f>
        <v>#REF!</v>
      </c>
      <c r="AD3435" s="4" t="e">
        <f>InsurerSize(#REF!)</f>
        <v>#VALUE!</v>
      </c>
      <c r="AE3435" s="4" t="e">
        <f t="shared" si="65"/>
        <v>#VALUE!</v>
      </c>
    </row>
    <row r="3436" spans="8:31" x14ac:dyDescent="0.2">
      <c r="H3436" s="5"/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  <c r="X3436" s="5"/>
      <c r="Y3436" s="5"/>
      <c r="Z3436" s="5"/>
      <c r="AA3436" s="5"/>
      <c r="AC3436" t="e">
        <f ca="1">RANK(AB3436,OFFSET($AB$2,0,0,#REF!,1))</f>
        <v>#REF!</v>
      </c>
      <c r="AD3436" s="4" t="e">
        <f>InsurerSize(#REF!)</f>
        <v>#VALUE!</v>
      </c>
      <c r="AE3436" s="4" t="e">
        <f t="shared" si="65"/>
        <v>#VALUE!</v>
      </c>
    </row>
    <row r="3437" spans="8:31" x14ac:dyDescent="0.2"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  <c r="X3437" s="5"/>
      <c r="Y3437" s="5"/>
      <c r="Z3437" s="5"/>
      <c r="AA3437" s="5"/>
      <c r="AC3437" t="e">
        <f ca="1">RANK(AB3437,OFFSET($AB$2,0,0,#REF!,1))</f>
        <v>#REF!</v>
      </c>
      <c r="AD3437" s="4" t="e">
        <f>InsurerSize(#REF!)</f>
        <v>#VALUE!</v>
      </c>
      <c r="AE3437" s="4" t="e">
        <f t="shared" si="65"/>
        <v>#VALUE!</v>
      </c>
    </row>
    <row r="3438" spans="8:31" x14ac:dyDescent="0.2">
      <c r="H3438" s="5"/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  <c r="X3438" s="5"/>
      <c r="Y3438" s="5"/>
      <c r="Z3438" s="5"/>
      <c r="AA3438" s="5"/>
      <c r="AC3438" t="e">
        <f ca="1">RANK(AB3438,OFFSET($AB$2,0,0,#REF!,1))</f>
        <v>#REF!</v>
      </c>
      <c r="AD3438" s="4" t="e">
        <f>InsurerSize(#REF!)</f>
        <v>#VALUE!</v>
      </c>
      <c r="AE3438" s="4" t="e">
        <f t="shared" si="65"/>
        <v>#VALUE!</v>
      </c>
    </row>
    <row r="3439" spans="8:31" x14ac:dyDescent="0.2">
      <c r="H3439" s="5"/>
      <c r="I3439" s="5"/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  <c r="X3439" s="5"/>
      <c r="Y3439" s="5"/>
      <c r="Z3439" s="5"/>
      <c r="AA3439" s="5"/>
      <c r="AC3439" t="e">
        <f ca="1">RANK(AB3439,OFFSET($AB$2,0,0,#REF!,1))</f>
        <v>#REF!</v>
      </c>
      <c r="AD3439" s="4" t="e">
        <f>InsurerSize(#REF!)</f>
        <v>#VALUE!</v>
      </c>
      <c r="AE3439" s="4" t="e">
        <f t="shared" si="65"/>
        <v>#VALUE!</v>
      </c>
    </row>
    <row r="3440" spans="8:31" x14ac:dyDescent="0.2">
      <c r="H3440" s="5"/>
      <c r="I3440" s="5"/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  <c r="X3440" s="5"/>
      <c r="Y3440" s="5"/>
      <c r="Z3440" s="5"/>
      <c r="AA3440" s="5"/>
      <c r="AC3440" t="e">
        <f ca="1">RANK(AB3440,OFFSET($AB$2,0,0,#REF!,1))</f>
        <v>#REF!</v>
      </c>
      <c r="AD3440" s="4" t="e">
        <f>InsurerSize(#REF!)</f>
        <v>#VALUE!</v>
      </c>
      <c r="AE3440" s="4" t="e">
        <f t="shared" si="65"/>
        <v>#VALUE!</v>
      </c>
    </row>
    <row r="3441" spans="8:31" x14ac:dyDescent="0.2">
      <c r="H3441" s="5"/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  <c r="X3441" s="5"/>
      <c r="Y3441" s="5"/>
      <c r="Z3441" s="5"/>
      <c r="AA3441" s="5"/>
      <c r="AC3441" t="e">
        <f ca="1">RANK(AB3441,OFFSET($AB$2,0,0,#REF!,1))</f>
        <v>#REF!</v>
      </c>
      <c r="AD3441" s="4" t="e">
        <f>InsurerSize(#REF!)</f>
        <v>#VALUE!</v>
      </c>
      <c r="AE3441" s="4" t="e">
        <f t="shared" si="65"/>
        <v>#VALUE!</v>
      </c>
    </row>
    <row r="3442" spans="8:31" x14ac:dyDescent="0.2">
      <c r="H3442" s="5"/>
      <c r="I3442" s="5"/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  <c r="X3442" s="5"/>
      <c r="Y3442" s="5"/>
      <c r="Z3442" s="5"/>
      <c r="AA3442" s="5"/>
      <c r="AC3442" t="e">
        <f ca="1">RANK(AB3442,OFFSET($AB$2,0,0,#REF!,1))</f>
        <v>#REF!</v>
      </c>
      <c r="AD3442" s="4" t="e">
        <f>InsurerSize(#REF!)</f>
        <v>#VALUE!</v>
      </c>
      <c r="AE3442" s="4" t="e">
        <f t="shared" si="65"/>
        <v>#VALUE!</v>
      </c>
    </row>
    <row r="3443" spans="8:31" x14ac:dyDescent="0.2"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  <c r="X3443" s="5"/>
      <c r="Y3443" s="5"/>
      <c r="Z3443" s="5"/>
      <c r="AA3443" s="5"/>
      <c r="AC3443" t="e">
        <f ca="1">RANK(AB3443,OFFSET($AB$2,0,0,#REF!,1))</f>
        <v>#REF!</v>
      </c>
      <c r="AD3443" s="4" t="e">
        <f>InsurerSize(#REF!)</f>
        <v>#VALUE!</v>
      </c>
      <c r="AE3443" s="4" t="e">
        <f t="shared" si="65"/>
        <v>#VALUE!</v>
      </c>
    </row>
    <row r="3444" spans="8:31" x14ac:dyDescent="0.2"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  <c r="X3444" s="5"/>
      <c r="Y3444" s="5"/>
      <c r="Z3444" s="5"/>
      <c r="AA3444" s="5"/>
      <c r="AC3444" t="e">
        <f ca="1">RANK(AB3444,OFFSET($AB$2,0,0,#REF!,1))</f>
        <v>#REF!</v>
      </c>
      <c r="AD3444" s="4" t="e">
        <f>InsurerSize(#REF!)</f>
        <v>#VALUE!</v>
      </c>
      <c r="AE3444" s="4" t="e">
        <f t="shared" si="65"/>
        <v>#VALUE!</v>
      </c>
    </row>
    <row r="3445" spans="8:31" x14ac:dyDescent="0.2">
      <c r="H3445" s="5"/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  <c r="X3445" s="5"/>
      <c r="Y3445" s="5"/>
      <c r="Z3445" s="5"/>
      <c r="AA3445" s="5"/>
      <c r="AC3445" t="e">
        <f ca="1">RANK(AB3445,OFFSET($AB$2,0,0,#REF!,1))</f>
        <v>#REF!</v>
      </c>
      <c r="AD3445" s="4" t="e">
        <f>InsurerSize(#REF!)</f>
        <v>#VALUE!</v>
      </c>
      <c r="AE3445" s="4" t="e">
        <f t="shared" si="65"/>
        <v>#VALUE!</v>
      </c>
    </row>
    <row r="3446" spans="8:31" x14ac:dyDescent="0.2">
      <c r="H3446" s="5"/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  <c r="X3446" s="5"/>
      <c r="Y3446" s="5"/>
      <c r="Z3446" s="5"/>
      <c r="AA3446" s="5"/>
      <c r="AC3446" t="e">
        <f ca="1">RANK(AB3446,OFFSET($AB$2,0,0,#REF!,1))</f>
        <v>#REF!</v>
      </c>
      <c r="AD3446" s="4" t="e">
        <f>InsurerSize(#REF!)</f>
        <v>#VALUE!</v>
      </c>
      <c r="AE3446" s="4" t="e">
        <f t="shared" si="65"/>
        <v>#VALUE!</v>
      </c>
    </row>
    <row r="3447" spans="8:31" x14ac:dyDescent="0.2">
      <c r="H3447" s="5"/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  <c r="X3447" s="5"/>
      <c r="Y3447" s="5"/>
      <c r="Z3447" s="5"/>
      <c r="AA3447" s="5"/>
      <c r="AC3447" t="e">
        <f ca="1">RANK(AB3447,OFFSET($AB$2,0,0,#REF!,1))</f>
        <v>#REF!</v>
      </c>
      <c r="AD3447" s="4" t="e">
        <f>InsurerSize(#REF!)</f>
        <v>#VALUE!</v>
      </c>
      <c r="AE3447" s="4" t="e">
        <f t="shared" si="65"/>
        <v>#VALUE!</v>
      </c>
    </row>
    <row r="3448" spans="8:31" x14ac:dyDescent="0.2"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  <c r="X3448" s="5"/>
      <c r="Y3448" s="5"/>
      <c r="Z3448" s="5"/>
      <c r="AA3448" s="5"/>
      <c r="AC3448" t="e">
        <f ca="1">RANK(AB3448,OFFSET($AB$2,0,0,#REF!,1))</f>
        <v>#REF!</v>
      </c>
      <c r="AD3448" s="4" t="e">
        <f>InsurerSize(#REF!)</f>
        <v>#VALUE!</v>
      </c>
      <c r="AE3448" s="4" t="e">
        <f t="shared" si="65"/>
        <v>#VALUE!</v>
      </c>
    </row>
    <row r="3449" spans="8:31" x14ac:dyDescent="0.2">
      <c r="H3449" s="5"/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  <c r="X3449" s="5"/>
      <c r="Y3449" s="5"/>
      <c r="Z3449" s="5"/>
      <c r="AA3449" s="5"/>
      <c r="AC3449" t="e">
        <f ca="1">RANK(AB3449,OFFSET($AB$2,0,0,#REF!,1))</f>
        <v>#REF!</v>
      </c>
      <c r="AD3449" s="4" t="e">
        <f>InsurerSize(#REF!)</f>
        <v>#VALUE!</v>
      </c>
      <c r="AE3449" s="4" t="e">
        <f t="shared" si="65"/>
        <v>#VALUE!</v>
      </c>
    </row>
    <row r="3450" spans="8:31" x14ac:dyDescent="0.2">
      <c r="H3450" s="5"/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  <c r="X3450" s="5"/>
      <c r="Y3450" s="5"/>
      <c r="Z3450" s="5"/>
      <c r="AA3450" s="5"/>
      <c r="AC3450" t="e">
        <f ca="1">RANK(AB3450,OFFSET($AB$2,0,0,#REF!,1))</f>
        <v>#REF!</v>
      </c>
      <c r="AD3450" s="4" t="e">
        <f>InsurerSize(#REF!)</f>
        <v>#VALUE!</v>
      </c>
      <c r="AE3450" s="4" t="e">
        <f t="shared" si="65"/>
        <v>#VALUE!</v>
      </c>
    </row>
    <row r="3451" spans="8:31" x14ac:dyDescent="0.2"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  <c r="X3451" s="5"/>
      <c r="Y3451" s="5"/>
      <c r="Z3451" s="5"/>
      <c r="AA3451" s="5"/>
      <c r="AC3451" t="e">
        <f ca="1">RANK(AB3451,OFFSET($AB$2,0,0,#REF!,1))</f>
        <v>#REF!</v>
      </c>
      <c r="AD3451" s="4" t="e">
        <f>InsurerSize(#REF!)</f>
        <v>#VALUE!</v>
      </c>
      <c r="AE3451" s="4" t="e">
        <f t="shared" si="65"/>
        <v>#VALUE!</v>
      </c>
    </row>
    <row r="3452" spans="8:31" x14ac:dyDescent="0.2"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  <c r="X3452" s="5"/>
      <c r="Y3452" s="5"/>
      <c r="Z3452" s="5"/>
      <c r="AA3452" s="5"/>
      <c r="AC3452" t="e">
        <f ca="1">RANK(AB3452,OFFSET($AB$2,0,0,#REF!,1))</f>
        <v>#REF!</v>
      </c>
      <c r="AD3452" s="4" t="e">
        <f>InsurerSize(#REF!)</f>
        <v>#VALUE!</v>
      </c>
      <c r="AE3452" s="4" t="e">
        <f t="shared" si="65"/>
        <v>#VALUE!</v>
      </c>
    </row>
    <row r="3453" spans="8:31" x14ac:dyDescent="0.2">
      <c r="H3453" s="5"/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  <c r="X3453" s="5"/>
      <c r="Y3453" s="5"/>
      <c r="Z3453" s="5"/>
      <c r="AA3453" s="5"/>
      <c r="AC3453" t="e">
        <f ca="1">RANK(AB3453,OFFSET($AB$2,0,0,#REF!,1))</f>
        <v>#REF!</v>
      </c>
      <c r="AD3453" s="4" t="e">
        <f>InsurerSize(#REF!)</f>
        <v>#VALUE!</v>
      </c>
      <c r="AE3453" s="4" t="e">
        <f t="shared" si="65"/>
        <v>#VALUE!</v>
      </c>
    </row>
    <row r="3454" spans="8:31" x14ac:dyDescent="0.2">
      <c r="H3454" s="5"/>
      <c r="I3454" s="5"/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  <c r="X3454" s="5"/>
      <c r="Y3454" s="5"/>
      <c r="Z3454" s="5"/>
      <c r="AA3454" s="5"/>
      <c r="AC3454" t="e">
        <f ca="1">RANK(AB3454,OFFSET($AB$2,0,0,#REF!,1))</f>
        <v>#REF!</v>
      </c>
      <c r="AD3454" s="4" t="e">
        <f>InsurerSize(#REF!)</f>
        <v>#VALUE!</v>
      </c>
      <c r="AE3454" s="4" t="e">
        <f t="shared" si="65"/>
        <v>#VALUE!</v>
      </c>
    </row>
    <row r="3455" spans="8:31" x14ac:dyDescent="0.2">
      <c r="H3455" s="5"/>
      <c r="I3455" s="5"/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  <c r="X3455" s="5"/>
      <c r="Y3455" s="5"/>
      <c r="Z3455" s="5"/>
      <c r="AA3455" s="5"/>
      <c r="AC3455" t="e">
        <f ca="1">RANK(AB3455,OFFSET($AB$2,0,0,#REF!,1))</f>
        <v>#REF!</v>
      </c>
      <c r="AD3455" s="4" t="e">
        <f>InsurerSize(#REF!)</f>
        <v>#VALUE!</v>
      </c>
      <c r="AE3455" s="4" t="e">
        <f t="shared" si="65"/>
        <v>#VALUE!</v>
      </c>
    </row>
    <row r="3456" spans="8:31" x14ac:dyDescent="0.2">
      <c r="H3456" s="5"/>
      <c r="I3456" s="5"/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  <c r="X3456" s="5"/>
      <c r="Y3456" s="5"/>
      <c r="Z3456" s="5"/>
      <c r="AA3456" s="5"/>
      <c r="AC3456" t="e">
        <f ca="1">RANK(AB3456,OFFSET($AB$2,0,0,#REF!,1))</f>
        <v>#REF!</v>
      </c>
      <c r="AD3456" s="4" t="e">
        <f>InsurerSize(#REF!)</f>
        <v>#VALUE!</v>
      </c>
      <c r="AE3456" s="4" t="e">
        <f t="shared" si="65"/>
        <v>#VALUE!</v>
      </c>
    </row>
    <row r="3457" spans="8:31" x14ac:dyDescent="0.2">
      <c r="H3457" s="5"/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  <c r="X3457" s="5"/>
      <c r="Y3457" s="5"/>
      <c r="Z3457" s="5"/>
      <c r="AA3457" s="5"/>
      <c r="AC3457" t="e">
        <f ca="1">RANK(AB3457,OFFSET($AB$2,0,0,#REF!,1))</f>
        <v>#REF!</v>
      </c>
      <c r="AD3457" s="4" t="e">
        <f>InsurerSize(#REF!)</f>
        <v>#VALUE!</v>
      </c>
      <c r="AE3457" s="4" t="e">
        <f t="shared" si="65"/>
        <v>#VALUE!</v>
      </c>
    </row>
    <row r="3458" spans="8:31" x14ac:dyDescent="0.2">
      <c r="H3458" s="5"/>
      <c r="I3458" s="5"/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  <c r="X3458" s="5"/>
      <c r="Y3458" s="5"/>
      <c r="Z3458" s="5"/>
      <c r="AA3458" s="5"/>
      <c r="AC3458" t="e">
        <f ca="1">RANK(AB3458,OFFSET($AB$2,0,0,#REF!,1))</f>
        <v>#REF!</v>
      </c>
      <c r="AD3458" s="4" t="e">
        <f>InsurerSize(#REF!)</f>
        <v>#VALUE!</v>
      </c>
      <c r="AE3458" s="4" t="e">
        <f t="shared" ref="AE3458:AE3521" si="66">A3458&amp;AD3458</f>
        <v>#VALUE!</v>
      </c>
    </row>
    <row r="3459" spans="8:31" x14ac:dyDescent="0.2">
      <c r="H3459" s="5"/>
      <c r="I3459" s="5"/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  <c r="X3459" s="5"/>
      <c r="Y3459" s="5"/>
      <c r="Z3459" s="5"/>
      <c r="AA3459" s="5"/>
      <c r="AC3459" t="e">
        <f ca="1">RANK(AB3459,OFFSET($AB$2,0,0,#REF!,1))</f>
        <v>#REF!</v>
      </c>
      <c r="AD3459" s="4" t="e">
        <f>InsurerSize(#REF!)</f>
        <v>#VALUE!</v>
      </c>
      <c r="AE3459" s="4" t="e">
        <f t="shared" si="66"/>
        <v>#VALUE!</v>
      </c>
    </row>
    <row r="3460" spans="8:31" x14ac:dyDescent="0.2">
      <c r="H3460" s="5"/>
      <c r="I3460" s="5"/>
      <c r="J3460" s="5"/>
      <c r="K3460" s="5"/>
      <c r="L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  <c r="W3460" s="5"/>
      <c r="X3460" s="5"/>
      <c r="Y3460" s="5"/>
      <c r="Z3460" s="5"/>
      <c r="AA3460" s="5"/>
      <c r="AC3460" t="e">
        <f ca="1">RANK(AB3460,OFFSET($AB$2,0,0,#REF!,1))</f>
        <v>#REF!</v>
      </c>
      <c r="AD3460" s="4" t="e">
        <f>InsurerSize(#REF!)</f>
        <v>#VALUE!</v>
      </c>
      <c r="AE3460" s="4" t="e">
        <f t="shared" si="66"/>
        <v>#VALUE!</v>
      </c>
    </row>
    <row r="3461" spans="8:31" x14ac:dyDescent="0.2">
      <c r="H3461" s="5"/>
      <c r="I3461" s="5"/>
      <c r="J3461" s="5"/>
      <c r="K3461" s="5"/>
      <c r="L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  <c r="W3461" s="5"/>
      <c r="X3461" s="5"/>
      <c r="Y3461" s="5"/>
      <c r="Z3461" s="5"/>
      <c r="AA3461" s="5"/>
      <c r="AC3461" t="e">
        <f ca="1">RANK(AB3461,OFFSET($AB$2,0,0,#REF!,1))</f>
        <v>#REF!</v>
      </c>
      <c r="AD3461" s="4" t="e">
        <f>InsurerSize(#REF!)</f>
        <v>#VALUE!</v>
      </c>
      <c r="AE3461" s="4" t="e">
        <f t="shared" si="66"/>
        <v>#VALUE!</v>
      </c>
    </row>
    <row r="3462" spans="8:31" x14ac:dyDescent="0.2">
      <c r="H3462" s="5"/>
      <c r="I3462" s="5"/>
      <c r="J3462" s="5"/>
      <c r="K3462" s="5"/>
      <c r="L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  <c r="W3462" s="5"/>
      <c r="X3462" s="5"/>
      <c r="Y3462" s="5"/>
      <c r="Z3462" s="5"/>
      <c r="AA3462" s="5"/>
      <c r="AC3462" t="e">
        <f ca="1">RANK(AB3462,OFFSET($AB$2,0,0,#REF!,1))</f>
        <v>#REF!</v>
      </c>
      <c r="AD3462" s="4" t="e">
        <f>InsurerSize(#REF!)</f>
        <v>#VALUE!</v>
      </c>
      <c r="AE3462" s="4" t="e">
        <f t="shared" si="66"/>
        <v>#VALUE!</v>
      </c>
    </row>
    <row r="3463" spans="8:31" x14ac:dyDescent="0.2">
      <c r="H3463" s="5"/>
      <c r="I3463" s="5"/>
      <c r="J3463" s="5"/>
      <c r="K3463" s="5"/>
      <c r="L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  <c r="W3463" s="5"/>
      <c r="X3463" s="5"/>
      <c r="Y3463" s="5"/>
      <c r="Z3463" s="5"/>
      <c r="AA3463" s="5"/>
      <c r="AC3463" t="e">
        <f ca="1">RANK(AB3463,OFFSET($AB$2,0,0,#REF!,1))</f>
        <v>#REF!</v>
      </c>
      <c r="AD3463" s="4" t="e">
        <f>InsurerSize(#REF!)</f>
        <v>#VALUE!</v>
      </c>
      <c r="AE3463" s="4" t="e">
        <f t="shared" si="66"/>
        <v>#VALUE!</v>
      </c>
    </row>
    <row r="3464" spans="8:31" x14ac:dyDescent="0.2">
      <c r="H3464" s="5"/>
      <c r="I3464" s="5"/>
      <c r="J3464" s="5"/>
      <c r="K3464" s="5"/>
      <c r="L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  <c r="W3464" s="5"/>
      <c r="X3464" s="5"/>
      <c r="Y3464" s="5"/>
      <c r="Z3464" s="5"/>
      <c r="AA3464" s="5"/>
      <c r="AC3464" t="e">
        <f ca="1">RANK(AB3464,OFFSET($AB$2,0,0,#REF!,1))</f>
        <v>#REF!</v>
      </c>
      <c r="AD3464" s="4" t="e">
        <f>InsurerSize(#REF!)</f>
        <v>#VALUE!</v>
      </c>
      <c r="AE3464" s="4" t="e">
        <f t="shared" si="66"/>
        <v>#VALUE!</v>
      </c>
    </row>
    <row r="3465" spans="8:31" x14ac:dyDescent="0.2">
      <c r="H3465" s="5"/>
      <c r="I3465" s="5"/>
      <c r="J3465" s="5"/>
      <c r="K3465" s="5"/>
      <c r="L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  <c r="W3465" s="5"/>
      <c r="X3465" s="5"/>
      <c r="Y3465" s="5"/>
      <c r="Z3465" s="5"/>
      <c r="AA3465" s="5"/>
      <c r="AC3465" t="e">
        <f ca="1">RANK(AB3465,OFFSET($AB$2,0,0,#REF!,1))</f>
        <v>#REF!</v>
      </c>
      <c r="AD3465" s="4" t="e">
        <f>InsurerSize(#REF!)</f>
        <v>#VALUE!</v>
      </c>
      <c r="AE3465" s="4" t="e">
        <f t="shared" si="66"/>
        <v>#VALUE!</v>
      </c>
    </row>
    <row r="3466" spans="8:31" x14ac:dyDescent="0.2">
      <c r="H3466" s="5"/>
      <c r="I3466" s="5"/>
      <c r="J3466" s="5"/>
      <c r="K3466" s="5"/>
      <c r="L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  <c r="W3466" s="5"/>
      <c r="X3466" s="5"/>
      <c r="Y3466" s="5"/>
      <c r="Z3466" s="5"/>
      <c r="AA3466" s="5"/>
      <c r="AC3466" t="e">
        <f ca="1">RANK(AB3466,OFFSET($AB$2,0,0,#REF!,1))</f>
        <v>#REF!</v>
      </c>
      <c r="AD3466" s="4" t="e">
        <f>InsurerSize(#REF!)</f>
        <v>#VALUE!</v>
      </c>
      <c r="AE3466" s="4" t="e">
        <f t="shared" si="66"/>
        <v>#VALUE!</v>
      </c>
    </row>
    <row r="3467" spans="8:31" x14ac:dyDescent="0.2">
      <c r="H3467" s="5"/>
      <c r="I3467" s="5"/>
      <c r="J3467" s="5"/>
      <c r="K3467" s="5"/>
      <c r="L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  <c r="W3467" s="5"/>
      <c r="X3467" s="5"/>
      <c r="Y3467" s="5"/>
      <c r="Z3467" s="5"/>
      <c r="AA3467" s="5"/>
      <c r="AC3467" t="e">
        <f ca="1">RANK(AB3467,OFFSET($AB$2,0,0,#REF!,1))</f>
        <v>#REF!</v>
      </c>
      <c r="AD3467" s="4" t="e">
        <f>InsurerSize(#REF!)</f>
        <v>#VALUE!</v>
      </c>
      <c r="AE3467" s="4" t="e">
        <f t="shared" si="66"/>
        <v>#VALUE!</v>
      </c>
    </row>
    <row r="3468" spans="8:31" x14ac:dyDescent="0.2">
      <c r="H3468" s="5"/>
      <c r="I3468" s="5"/>
      <c r="J3468" s="5"/>
      <c r="K3468" s="5"/>
      <c r="L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  <c r="W3468" s="5"/>
      <c r="X3468" s="5"/>
      <c r="Y3468" s="5"/>
      <c r="Z3468" s="5"/>
      <c r="AA3468" s="5"/>
      <c r="AC3468" t="e">
        <f ca="1">RANK(AB3468,OFFSET($AB$2,0,0,#REF!,1))</f>
        <v>#REF!</v>
      </c>
      <c r="AD3468" s="4" t="e">
        <f>InsurerSize(#REF!)</f>
        <v>#VALUE!</v>
      </c>
      <c r="AE3468" s="4" t="e">
        <f t="shared" si="66"/>
        <v>#VALUE!</v>
      </c>
    </row>
    <row r="3469" spans="8:31" x14ac:dyDescent="0.2">
      <c r="H3469" s="5"/>
      <c r="I3469" s="5"/>
      <c r="J3469" s="5"/>
      <c r="K3469" s="5"/>
      <c r="L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  <c r="W3469" s="5"/>
      <c r="X3469" s="5"/>
      <c r="Y3469" s="5"/>
      <c r="Z3469" s="5"/>
      <c r="AA3469" s="5"/>
      <c r="AC3469" t="e">
        <f ca="1">RANK(AB3469,OFFSET($AB$2,0,0,#REF!,1))</f>
        <v>#REF!</v>
      </c>
      <c r="AD3469" s="4" t="e">
        <f>InsurerSize(#REF!)</f>
        <v>#VALUE!</v>
      </c>
      <c r="AE3469" s="4" t="e">
        <f t="shared" si="66"/>
        <v>#VALUE!</v>
      </c>
    </row>
    <row r="3470" spans="8:31" x14ac:dyDescent="0.2">
      <c r="H3470" s="5"/>
      <c r="I3470" s="5"/>
      <c r="J3470" s="5"/>
      <c r="K3470" s="5"/>
      <c r="L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  <c r="W3470" s="5"/>
      <c r="X3470" s="5"/>
      <c r="Y3470" s="5"/>
      <c r="Z3470" s="5"/>
      <c r="AA3470" s="5"/>
      <c r="AC3470" t="e">
        <f ca="1">RANK(AB3470,OFFSET($AB$2,0,0,#REF!,1))</f>
        <v>#REF!</v>
      </c>
      <c r="AD3470" s="4" t="e">
        <f>InsurerSize(#REF!)</f>
        <v>#VALUE!</v>
      </c>
      <c r="AE3470" s="4" t="e">
        <f t="shared" si="66"/>
        <v>#VALUE!</v>
      </c>
    </row>
    <row r="3471" spans="8:31" x14ac:dyDescent="0.2">
      <c r="H3471" s="5"/>
      <c r="I3471" s="5"/>
      <c r="J3471" s="5"/>
      <c r="K3471" s="5"/>
      <c r="L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  <c r="W3471" s="5"/>
      <c r="X3471" s="5"/>
      <c r="Y3471" s="5"/>
      <c r="Z3471" s="5"/>
      <c r="AA3471" s="5"/>
      <c r="AC3471" t="e">
        <f ca="1">RANK(AB3471,OFFSET($AB$2,0,0,#REF!,1))</f>
        <v>#REF!</v>
      </c>
      <c r="AD3471" s="4" t="e">
        <f>InsurerSize(#REF!)</f>
        <v>#VALUE!</v>
      </c>
      <c r="AE3471" s="4" t="e">
        <f t="shared" si="66"/>
        <v>#VALUE!</v>
      </c>
    </row>
    <row r="3472" spans="8:31" x14ac:dyDescent="0.2">
      <c r="H3472" s="5"/>
      <c r="I3472" s="5"/>
      <c r="J3472" s="5"/>
      <c r="K3472" s="5"/>
      <c r="L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  <c r="W3472" s="5"/>
      <c r="X3472" s="5"/>
      <c r="Y3472" s="5"/>
      <c r="Z3472" s="5"/>
      <c r="AA3472" s="5"/>
      <c r="AC3472" t="e">
        <f ca="1">RANK(AB3472,OFFSET($AB$2,0,0,#REF!,1))</f>
        <v>#REF!</v>
      </c>
      <c r="AD3472" s="4" t="e">
        <f>InsurerSize(#REF!)</f>
        <v>#VALUE!</v>
      </c>
      <c r="AE3472" s="4" t="e">
        <f t="shared" si="66"/>
        <v>#VALUE!</v>
      </c>
    </row>
    <row r="3473" spans="8:31" x14ac:dyDescent="0.2">
      <c r="H3473" s="5"/>
      <c r="I3473" s="5"/>
      <c r="J3473" s="5"/>
      <c r="K3473" s="5"/>
      <c r="L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  <c r="W3473" s="5"/>
      <c r="X3473" s="5"/>
      <c r="Y3473" s="5"/>
      <c r="Z3473" s="5"/>
      <c r="AA3473" s="5"/>
      <c r="AC3473" t="e">
        <f ca="1">RANK(AB3473,OFFSET($AB$2,0,0,#REF!,1))</f>
        <v>#REF!</v>
      </c>
      <c r="AD3473" s="4" t="e">
        <f>InsurerSize(#REF!)</f>
        <v>#VALUE!</v>
      </c>
      <c r="AE3473" s="4" t="e">
        <f t="shared" si="66"/>
        <v>#VALUE!</v>
      </c>
    </row>
    <row r="3474" spans="8:31" x14ac:dyDescent="0.2">
      <c r="H3474" s="5"/>
      <c r="I3474" s="5"/>
      <c r="J3474" s="5"/>
      <c r="K3474" s="5"/>
      <c r="L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  <c r="W3474" s="5"/>
      <c r="X3474" s="5"/>
      <c r="Y3474" s="5"/>
      <c r="Z3474" s="5"/>
      <c r="AA3474" s="5"/>
      <c r="AC3474" t="e">
        <f ca="1">RANK(AB3474,OFFSET($AB$2,0,0,#REF!,1))</f>
        <v>#REF!</v>
      </c>
      <c r="AD3474" s="4" t="e">
        <f>InsurerSize(#REF!)</f>
        <v>#VALUE!</v>
      </c>
      <c r="AE3474" s="4" t="e">
        <f t="shared" si="66"/>
        <v>#VALUE!</v>
      </c>
    </row>
    <row r="3475" spans="8:31" x14ac:dyDescent="0.2">
      <c r="H3475" s="5"/>
      <c r="I3475" s="5"/>
      <c r="J3475" s="5"/>
      <c r="K3475" s="5"/>
      <c r="L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  <c r="W3475" s="5"/>
      <c r="X3475" s="5"/>
      <c r="Y3475" s="5"/>
      <c r="Z3475" s="5"/>
      <c r="AA3475" s="5"/>
      <c r="AC3475" t="e">
        <f ca="1">RANK(AB3475,OFFSET($AB$2,0,0,#REF!,1))</f>
        <v>#REF!</v>
      </c>
      <c r="AD3475" s="4" t="e">
        <f>InsurerSize(#REF!)</f>
        <v>#VALUE!</v>
      </c>
      <c r="AE3475" s="4" t="e">
        <f t="shared" si="66"/>
        <v>#VALUE!</v>
      </c>
    </row>
    <row r="3476" spans="8:31" x14ac:dyDescent="0.2"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  <c r="X3476" s="5"/>
      <c r="Y3476" s="5"/>
      <c r="Z3476" s="5"/>
      <c r="AA3476" s="5"/>
      <c r="AC3476" t="e">
        <f ca="1">RANK(AB3476,OFFSET($AB$2,0,0,#REF!,1))</f>
        <v>#REF!</v>
      </c>
      <c r="AD3476" s="4" t="e">
        <f>InsurerSize(#REF!)</f>
        <v>#VALUE!</v>
      </c>
      <c r="AE3476" s="4" t="e">
        <f t="shared" si="66"/>
        <v>#VALUE!</v>
      </c>
    </row>
    <row r="3477" spans="8:31" x14ac:dyDescent="0.2"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  <c r="X3477" s="5"/>
      <c r="Y3477" s="5"/>
      <c r="Z3477" s="5"/>
      <c r="AA3477" s="5"/>
      <c r="AC3477" t="e">
        <f ca="1">RANK(AB3477,OFFSET($AB$2,0,0,#REF!,1))</f>
        <v>#REF!</v>
      </c>
      <c r="AD3477" s="4" t="e">
        <f>InsurerSize(#REF!)</f>
        <v>#VALUE!</v>
      </c>
      <c r="AE3477" s="4" t="e">
        <f t="shared" si="66"/>
        <v>#VALUE!</v>
      </c>
    </row>
    <row r="3478" spans="8:31" x14ac:dyDescent="0.2"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  <c r="X3478" s="5"/>
      <c r="Y3478" s="5"/>
      <c r="Z3478" s="5"/>
      <c r="AA3478" s="5"/>
      <c r="AC3478" t="e">
        <f ca="1">RANK(AB3478,OFFSET($AB$2,0,0,#REF!,1))</f>
        <v>#REF!</v>
      </c>
      <c r="AD3478" s="4" t="e">
        <f>InsurerSize(#REF!)</f>
        <v>#VALUE!</v>
      </c>
      <c r="AE3478" s="4" t="e">
        <f t="shared" si="66"/>
        <v>#VALUE!</v>
      </c>
    </row>
    <row r="3479" spans="8:31" x14ac:dyDescent="0.2"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  <c r="X3479" s="5"/>
      <c r="Y3479" s="5"/>
      <c r="Z3479" s="5"/>
      <c r="AA3479" s="5"/>
      <c r="AC3479" t="e">
        <f ca="1">RANK(AB3479,OFFSET($AB$2,0,0,#REF!,1))</f>
        <v>#REF!</v>
      </c>
      <c r="AD3479" s="4" t="e">
        <f>InsurerSize(#REF!)</f>
        <v>#VALUE!</v>
      </c>
      <c r="AE3479" s="4" t="e">
        <f t="shared" si="66"/>
        <v>#VALUE!</v>
      </c>
    </row>
    <row r="3480" spans="8:31" x14ac:dyDescent="0.2"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  <c r="X3480" s="5"/>
      <c r="Y3480" s="5"/>
      <c r="Z3480" s="5"/>
      <c r="AA3480" s="5"/>
      <c r="AC3480" t="e">
        <f ca="1">RANK(AB3480,OFFSET($AB$2,0,0,#REF!,1))</f>
        <v>#REF!</v>
      </c>
      <c r="AD3480" s="4" t="e">
        <f>InsurerSize(#REF!)</f>
        <v>#VALUE!</v>
      </c>
      <c r="AE3480" s="4" t="e">
        <f t="shared" si="66"/>
        <v>#VALUE!</v>
      </c>
    </row>
    <row r="3481" spans="8:31" x14ac:dyDescent="0.2"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  <c r="X3481" s="5"/>
      <c r="Y3481" s="5"/>
      <c r="Z3481" s="5"/>
      <c r="AA3481" s="5"/>
      <c r="AC3481" t="e">
        <f ca="1">RANK(AB3481,OFFSET($AB$2,0,0,#REF!,1))</f>
        <v>#REF!</v>
      </c>
      <c r="AD3481" s="4" t="e">
        <f>InsurerSize(#REF!)</f>
        <v>#VALUE!</v>
      </c>
      <c r="AE3481" s="4" t="e">
        <f t="shared" si="66"/>
        <v>#VALUE!</v>
      </c>
    </row>
    <row r="3482" spans="8:31" x14ac:dyDescent="0.2"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  <c r="X3482" s="5"/>
      <c r="Y3482" s="5"/>
      <c r="Z3482" s="5"/>
      <c r="AA3482" s="5"/>
      <c r="AC3482" t="e">
        <f ca="1">RANK(AB3482,OFFSET($AB$2,0,0,#REF!,1))</f>
        <v>#REF!</v>
      </c>
      <c r="AD3482" s="4" t="e">
        <f>InsurerSize(#REF!)</f>
        <v>#VALUE!</v>
      </c>
      <c r="AE3482" s="4" t="e">
        <f t="shared" si="66"/>
        <v>#VALUE!</v>
      </c>
    </row>
    <row r="3483" spans="8:31" x14ac:dyDescent="0.2"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  <c r="X3483" s="5"/>
      <c r="Y3483" s="5"/>
      <c r="Z3483" s="5"/>
      <c r="AA3483" s="5"/>
      <c r="AC3483" t="e">
        <f ca="1">RANK(AB3483,OFFSET($AB$2,0,0,#REF!,1))</f>
        <v>#REF!</v>
      </c>
      <c r="AD3483" s="4" t="e">
        <f>InsurerSize(#REF!)</f>
        <v>#VALUE!</v>
      </c>
      <c r="AE3483" s="4" t="e">
        <f t="shared" si="66"/>
        <v>#VALUE!</v>
      </c>
    </row>
    <row r="3484" spans="8:31" x14ac:dyDescent="0.2"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  <c r="X3484" s="5"/>
      <c r="Y3484" s="5"/>
      <c r="Z3484" s="5"/>
      <c r="AA3484" s="5"/>
      <c r="AC3484" t="e">
        <f ca="1">RANK(AB3484,OFFSET($AB$2,0,0,#REF!,1))</f>
        <v>#REF!</v>
      </c>
      <c r="AD3484" s="4" t="e">
        <f>InsurerSize(#REF!)</f>
        <v>#VALUE!</v>
      </c>
      <c r="AE3484" s="4" t="e">
        <f t="shared" si="66"/>
        <v>#VALUE!</v>
      </c>
    </row>
    <row r="3485" spans="8:31" x14ac:dyDescent="0.2"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  <c r="X3485" s="5"/>
      <c r="Y3485" s="5"/>
      <c r="Z3485" s="5"/>
      <c r="AA3485" s="5"/>
      <c r="AC3485" t="e">
        <f ca="1">RANK(AB3485,OFFSET($AB$2,0,0,#REF!,1))</f>
        <v>#REF!</v>
      </c>
      <c r="AD3485" s="4" t="e">
        <f>InsurerSize(#REF!)</f>
        <v>#VALUE!</v>
      </c>
      <c r="AE3485" s="4" t="e">
        <f t="shared" si="66"/>
        <v>#VALUE!</v>
      </c>
    </row>
    <row r="3486" spans="8:31" x14ac:dyDescent="0.2"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  <c r="X3486" s="5"/>
      <c r="Y3486" s="5"/>
      <c r="Z3486" s="5"/>
      <c r="AA3486" s="5"/>
      <c r="AC3486" t="e">
        <f ca="1">RANK(AB3486,OFFSET($AB$2,0,0,#REF!,1))</f>
        <v>#REF!</v>
      </c>
      <c r="AD3486" s="4" t="e">
        <f>InsurerSize(#REF!)</f>
        <v>#VALUE!</v>
      </c>
      <c r="AE3486" s="4" t="e">
        <f t="shared" si="66"/>
        <v>#VALUE!</v>
      </c>
    </row>
    <row r="3487" spans="8:31" x14ac:dyDescent="0.2"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  <c r="X3487" s="5"/>
      <c r="Y3487" s="5"/>
      <c r="Z3487" s="5"/>
      <c r="AA3487" s="5"/>
      <c r="AC3487" t="e">
        <f ca="1">RANK(AB3487,OFFSET($AB$2,0,0,#REF!,1))</f>
        <v>#REF!</v>
      </c>
      <c r="AD3487" s="4" t="e">
        <f>InsurerSize(#REF!)</f>
        <v>#VALUE!</v>
      </c>
      <c r="AE3487" s="4" t="e">
        <f t="shared" si="66"/>
        <v>#VALUE!</v>
      </c>
    </row>
    <row r="3488" spans="8:31" x14ac:dyDescent="0.2"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  <c r="X3488" s="5"/>
      <c r="Y3488" s="5"/>
      <c r="Z3488" s="5"/>
      <c r="AA3488" s="5"/>
      <c r="AC3488" t="e">
        <f ca="1">RANK(AB3488,OFFSET($AB$2,0,0,#REF!,1))</f>
        <v>#REF!</v>
      </c>
      <c r="AD3488" s="4" t="e">
        <f>InsurerSize(#REF!)</f>
        <v>#VALUE!</v>
      </c>
      <c r="AE3488" s="4" t="e">
        <f t="shared" si="66"/>
        <v>#VALUE!</v>
      </c>
    </row>
    <row r="3489" spans="8:31" x14ac:dyDescent="0.2"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  <c r="X3489" s="5"/>
      <c r="Y3489" s="5"/>
      <c r="Z3489" s="5"/>
      <c r="AA3489" s="5"/>
      <c r="AC3489" t="e">
        <f ca="1">RANK(AB3489,OFFSET($AB$2,0,0,#REF!,1))</f>
        <v>#REF!</v>
      </c>
      <c r="AD3489" s="4" t="e">
        <f>InsurerSize(#REF!)</f>
        <v>#VALUE!</v>
      </c>
      <c r="AE3489" s="4" t="e">
        <f t="shared" si="66"/>
        <v>#VALUE!</v>
      </c>
    </row>
    <row r="3490" spans="8:31" x14ac:dyDescent="0.2"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  <c r="X3490" s="5"/>
      <c r="Y3490" s="5"/>
      <c r="Z3490" s="5"/>
      <c r="AA3490" s="5"/>
      <c r="AC3490" t="e">
        <f ca="1">RANK(AB3490,OFFSET($AB$2,0,0,#REF!,1))</f>
        <v>#REF!</v>
      </c>
      <c r="AD3490" s="4" t="e">
        <f>InsurerSize(#REF!)</f>
        <v>#VALUE!</v>
      </c>
      <c r="AE3490" s="4" t="e">
        <f t="shared" si="66"/>
        <v>#VALUE!</v>
      </c>
    </row>
    <row r="3491" spans="8:31" x14ac:dyDescent="0.2"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  <c r="X3491" s="5"/>
      <c r="Y3491" s="5"/>
      <c r="Z3491" s="5"/>
      <c r="AA3491" s="5"/>
      <c r="AC3491" t="e">
        <f ca="1">RANK(AB3491,OFFSET($AB$2,0,0,#REF!,1))</f>
        <v>#REF!</v>
      </c>
      <c r="AD3491" s="4" t="e">
        <f>InsurerSize(#REF!)</f>
        <v>#VALUE!</v>
      </c>
      <c r="AE3491" s="4" t="e">
        <f t="shared" si="66"/>
        <v>#VALUE!</v>
      </c>
    </row>
    <row r="3492" spans="8:31" x14ac:dyDescent="0.2"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  <c r="X3492" s="5"/>
      <c r="Y3492" s="5"/>
      <c r="Z3492" s="5"/>
      <c r="AA3492" s="5"/>
      <c r="AC3492" t="e">
        <f ca="1">RANK(AB3492,OFFSET($AB$2,0,0,#REF!,1))</f>
        <v>#REF!</v>
      </c>
      <c r="AD3492" s="4" t="e">
        <f>InsurerSize(#REF!)</f>
        <v>#VALUE!</v>
      </c>
      <c r="AE3492" s="4" t="e">
        <f t="shared" si="66"/>
        <v>#VALUE!</v>
      </c>
    </row>
    <row r="3493" spans="8:31" x14ac:dyDescent="0.2"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  <c r="X3493" s="5"/>
      <c r="Y3493" s="5"/>
      <c r="Z3493" s="5"/>
      <c r="AA3493" s="5"/>
      <c r="AC3493" t="e">
        <f ca="1">RANK(AB3493,OFFSET($AB$2,0,0,#REF!,1))</f>
        <v>#REF!</v>
      </c>
      <c r="AD3493" s="4" t="e">
        <f>InsurerSize(#REF!)</f>
        <v>#VALUE!</v>
      </c>
      <c r="AE3493" s="4" t="e">
        <f t="shared" si="66"/>
        <v>#VALUE!</v>
      </c>
    </row>
    <row r="3494" spans="8:31" x14ac:dyDescent="0.2"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  <c r="X3494" s="5"/>
      <c r="Y3494" s="5"/>
      <c r="Z3494" s="5"/>
      <c r="AA3494" s="5"/>
      <c r="AC3494" t="e">
        <f ca="1">RANK(AB3494,OFFSET($AB$2,0,0,#REF!,1))</f>
        <v>#REF!</v>
      </c>
      <c r="AD3494" s="4" t="e">
        <f>InsurerSize(#REF!)</f>
        <v>#VALUE!</v>
      </c>
      <c r="AE3494" s="4" t="e">
        <f t="shared" si="66"/>
        <v>#VALUE!</v>
      </c>
    </row>
    <row r="3495" spans="8:31" x14ac:dyDescent="0.2"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  <c r="X3495" s="5"/>
      <c r="Y3495" s="5"/>
      <c r="Z3495" s="5"/>
      <c r="AA3495" s="5"/>
      <c r="AC3495" t="e">
        <f ca="1">RANK(AB3495,OFFSET($AB$2,0,0,#REF!,1))</f>
        <v>#REF!</v>
      </c>
      <c r="AD3495" s="4" t="e">
        <f>InsurerSize(#REF!)</f>
        <v>#VALUE!</v>
      </c>
      <c r="AE3495" s="4" t="e">
        <f t="shared" si="66"/>
        <v>#VALUE!</v>
      </c>
    </row>
    <row r="3496" spans="8:31" x14ac:dyDescent="0.2"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  <c r="X3496" s="5"/>
      <c r="Y3496" s="5"/>
      <c r="Z3496" s="5"/>
      <c r="AA3496" s="5"/>
      <c r="AC3496" t="e">
        <f ca="1">RANK(AB3496,OFFSET($AB$2,0,0,#REF!,1))</f>
        <v>#REF!</v>
      </c>
      <c r="AD3496" s="4" t="e">
        <f>InsurerSize(#REF!)</f>
        <v>#VALUE!</v>
      </c>
      <c r="AE3496" s="4" t="e">
        <f t="shared" si="66"/>
        <v>#VALUE!</v>
      </c>
    </row>
    <row r="3497" spans="8:31" x14ac:dyDescent="0.2"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5"/>
      <c r="Z3497" s="5"/>
      <c r="AA3497" s="5"/>
      <c r="AC3497" t="e">
        <f ca="1">RANK(AB3497,OFFSET($AB$2,0,0,#REF!,1))</f>
        <v>#REF!</v>
      </c>
      <c r="AD3497" s="4" t="e">
        <f>InsurerSize(#REF!)</f>
        <v>#VALUE!</v>
      </c>
      <c r="AE3497" s="4" t="e">
        <f t="shared" si="66"/>
        <v>#VALUE!</v>
      </c>
    </row>
    <row r="3498" spans="8:31" x14ac:dyDescent="0.2"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  <c r="X3498" s="5"/>
      <c r="Y3498" s="5"/>
      <c r="Z3498" s="5"/>
      <c r="AA3498" s="5"/>
      <c r="AC3498" t="e">
        <f ca="1">RANK(AB3498,OFFSET($AB$2,0,0,#REF!,1))</f>
        <v>#REF!</v>
      </c>
      <c r="AD3498" s="4" t="e">
        <f>InsurerSize(#REF!)</f>
        <v>#VALUE!</v>
      </c>
      <c r="AE3498" s="4" t="e">
        <f t="shared" si="66"/>
        <v>#VALUE!</v>
      </c>
    </row>
    <row r="3499" spans="8:31" x14ac:dyDescent="0.2"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  <c r="X3499" s="5"/>
      <c r="Y3499" s="5"/>
      <c r="Z3499" s="5"/>
      <c r="AA3499" s="5"/>
      <c r="AC3499" t="e">
        <f ca="1">RANK(AB3499,OFFSET($AB$2,0,0,#REF!,1))</f>
        <v>#REF!</v>
      </c>
      <c r="AD3499" s="4" t="e">
        <f>InsurerSize(#REF!)</f>
        <v>#VALUE!</v>
      </c>
      <c r="AE3499" s="4" t="e">
        <f t="shared" si="66"/>
        <v>#VALUE!</v>
      </c>
    </row>
    <row r="3500" spans="8:31" x14ac:dyDescent="0.2"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  <c r="X3500" s="5"/>
      <c r="Y3500" s="5"/>
      <c r="Z3500" s="5"/>
      <c r="AA3500" s="5"/>
      <c r="AC3500" t="e">
        <f ca="1">RANK(AB3500,OFFSET($AB$2,0,0,#REF!,1))</f>
        <v>#REF!</v>
      </c>
      <c r="AD3500" s="4" t="e">
        <f>InsurerSize(#REF!)</f>
        <v>#VALUE!</v>
      </c>
      <c r="AE3500" s="4" t="e">
        <f t="shared" si="66"/>
        <v>#VALUE!</v>
      </c>
    </row>
    <row r="3501" spans="8:31" x14ac:dyDescent="0.2"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  <c r="X3501" s="5"/>
      <c r="Y3501" s="5"/>
      <c r="Z3501" s="5"/>
      <c r="AA3501" s="5"/>
      <c r="AC3501" t="e">
        <f ca="1">RANK(AB3501,OFFSET($AB$2,0,0,#REF!,1))</f>
        <v>#REF!</v>
      </c>
      <c r="AD3501" s="4" t="e">
        <f>InsurerSize(#REF!)</f>
        <v>#VALUE!</v>
      </c>
      <c r="AE3501" s="4" t="e">
        <f t="shared" si="66"/>
        <v>#VALUE!</v>
      </c>
    </row>
    <row r="3502" spans="8:31" x14ac:dyDescent="0.2"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  <c r="X3502" s="5"/>
      <c r="Y3502" s="5"/>
      <c r="Z3502" s="5"/>
      <c r="AA3502" s="5"/>
      <c r="AC3502" t="e">
        <f ca="1">RANK(AB3502,OFFSET($AB$2,0,0,#REF!,1))</f>
        <v>#REF!</v>
      </c>
      <c r="AD3502" s="4" t="e">
        <f>InsurerSize(#REF!)</f>
        <v>#VALUE!</v>
      </c>
      <c r="AE3502" s="4" t="e">
        <f t="shared" si="66"/>
        <v>#VALUE!</v>
      </c>
    </row>
    <row r="3503" spans="8:31" x14ac:dyDescent="0.2"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  <c r="X3503" s="5"/>
      <c r="Y3503" s="5"/>
      <c r="Z3503" s="5"/>
      <c r="AA3503" s="5"/>
      <c r="AC3503" t="e">
        <f ca="1">RANK(AB3503,OFFSET($AB$2,0,0,#REF!,1))</f>
        <v>#REF!</v>
      </c>
      <c r="AD3503" s="4" t="e">
        <f>InsurerSize(#REF!)</f>
        <v>#VALUE!</v>
      </c>
      <c r="AE3503" s="4" t="e">
        <f t="shared" si="66"/>
        <v>#VALUE!</v>
      </c>
    </row>
    <row r="3504" spans="8:31" x14ac:dyDescent="0.2"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  <c r="X3504" s="5"/>
      <c r="Y3504" s="5"/>
      <c r="Z3504" s="5"/>
      <c r="AA3504" s="5"/>
      <c r="AC3504" t="e">
        <f ca="1">RANK(AB3504,OFFSET($AB$2,0,0,#REF!,1))</f>
        <v>#REF!</v>
      </c>
      <c r="AD3504" s="4" t="e">
        <f>InsurerSize(#REF!)</f>
        <v>#VALUE!</v>
      </c>
      <c r="AE3504" s="4" t="e">
        <f t="shared" si="66"/>
        <v>#VALUE!</v>
      </c>
    </row>
    <row r="3505" spans="8:31" x14ac:dyDescent="0.2"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  <c r="X3505" s="5"/>
      <c r="Y3505" s="5"/>
      <c r="Z3505" s="5"/>
      <c r="AA3505" s="5"/>
      <c r="AC3505" t="e">
        <f ca="1">RANK(AB3505,OFFSET($AB$2,0,0,#REF!,1))</f>
        <v>#REF!</v>
      </c>
      <c r="AD3505" s="4" t="e">
        <f>InsurerSize(#REF!)</f>
        <v>#VALUE!</v>
      </c>
      <c r="AE3505" s="4" t="e">
        <f t="shared" si="66"/>
        <v>#VALUE!</v>
      </c>
    </row>
    <row r="3506" spans="8:31" x14ac:dyDescent="0.2">
      <c r="H3506" s="5"/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  <c r="X3506" s="5"/>
      <c r="Y3506" s="5"/>
      <c r="Z3506" s="5"/>
      <c r="AA3506" s="5"/>
      <c r="AC3506" t="e">
        <f ca="1">RANK(AB3506,OFFSET($AB$2,0,0,#REF!,1))</f>
        <v>#REF!</v>
      </c>
      <c r="AD3506" s="4" t="e">
        <f>InsurerSize(#REF!)</f>
        <v>#VALUE!</v>
      </c>
      <c r="AE3506" s="4" t="e">
        <f t="shared" si="66"/>
        <v>#VALUE!</v>
      </c>
    </row>
    <row r="3507" spans="8:31" x14ac:dyDescent="0.2">
      <c r="H3507" s="5"/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  <c r="X3507" s="5"/>
      <c r="Y3507" s="5"/>
      <c r="Z3507" s="5"/>
      <c r="AA3507" s="5"/>
      <c r="AC3507" t="e">
        <f ca="1">RANK(AB3507,OFFSET($AB$2,0,0,#REF!,1))</f>
        <v>#REF!</v>
      </c>
      <c r="AD3507" s="4" t="e">
        <f>InsurerSize(#REF!)</f>
        <v>#VALUE!</v>
      </c>
      <c r="AE3507" s="4" t="e">
        <f t="shared" si="66"/>
        <v>#VALUE!</v>
      </c>
    </row>
    <row r="3508" spans="8:31" x14ac:dyDescent="0.2">
      <c r="H3508" s="5"/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  <c r="X3508" s="5"/>
      <c r="Y3508" s="5"/>
      <c r="Z3508" s="5"/>
      <c r="AA3508" s="5"/>
      <c r="AC3508" t="e">
        <f ca="1">RANK(AB3508,OFFSET($AB$2,0,0,#REF!,1))</f>
        <v>#REF!</v>
      </c>
      <c r="AD3508" s="4" t="e">
        <f>InsurerSize(#REF!)</f>
        <v>#VALUE!</v>
      </c>
      <c r="AE3508" s="4" t="e">
        <f t="shared" si="66"/>
        <v>#VALUE!</v>
      </c>
    </row>
    <row r="3509" spans="8:31" x14ac:dyDescent="0.2">
      <c r="H3509" s="5"/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  <c r="X3509" s="5"/>
      <c r="Y3509" s="5"/>
      <c r="Z3509" s="5"/>
      <c r="AA3509" s="5"/>
      <c r="AC3509" t="e">
        <f ca="1">RANK(AB3509,OFFSET($AB$2,0,0,#REF!,1))</f>
        <v>#REF!</v>
      </c>
      <c r="AD3509" s="4" t="e">
        <f>InsurerSize(#REF!)</f>
        <v>#VALUE!</v>
      </c>
      <c r="AE3509" s="4" t="e">
        <f t="shared" si="66"/>
        <v>#VALUE!</v>
      </c>
    </row>
    <row r="3510" spans="8:31" x14ac:dyDescent="0.2">
      <c r="H3510" s="5"/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  <c r="X3510" s="5"/>
      <c r="Y3510" s="5"/>
      <c r="Z3510" s="5"/>
      <c r="AA3510" s="5"/>
      <c r="AC3510" t="e">
        <f ca="1">RANK(AB3510,OFFSET($AB$2,0,0,#REF!,1))</f>
        <v>#REF!</v>
      </c>
      <c r="AD3510" s="4" t="e">
        <f>InsurerSize(#REF!)</f>
        <v>#VALUE!</v>
      </c>
      <c r="AE3510" s="4" t="e">
        <f t="shared" si="66"/>
        <v>#VALUE!</v>
      </c>
    </row>
    <row r="3511" spans="8:31" x14ac:dyDescent="0.2">
      <c r="H3511" s="5"/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  <c r="X3511" s="5"/>
      <c r="Y3511" s="5"/>
      <c r="Z3511" s="5"/>
      <c r="AA3511" s="5"/>
      <c r="AC3511" t="e">
        <f ca="1">RANK(AB3511,OFFSET($AB$2,0,0,#REF!,1))</f>
        <v>#REF!</v>
      </c>
      <c r="AD3511" s="4" t="e">
        <f>InsurerSize(#REF!)</f>
        <v>#VALUE!</v>
      </c>
      <c r="AE3511" s="4" t="e">
        <f t="shared" si="66"/>
        <v>#VALUE!</v>
      </c>
    </row>
    <row r="3512" spans="8:31" x14ac:dyDescent="0.2"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  <c r="X3512" s="5"/>
      <c r="Y3512" s="5"/>
      <c r="Z3512" s="5"/>
      <c r="AA3512" s="5"/>
      <c r="AC3512" t="e">
        <f ca="1">RANK(AB3512,OFFSET($AB$2,0,0,#REF!,1))</f>
        <v>#REF!</v>
      </c>
      <c r="AD3512" s="4" t="e">
        <f>InsurerSize(#REF!)</f>
        <v>#VALUE!</v>
      </c>
      <c r="AE3512" s="4" t="e">
        <f t="shared" si="66"/>
        <v>#VALUE!</v>
      </c>
    </row>
    <row r="3513" spans="8:31" x14ac:dyDescent="0.2">
      <c r="H3513" s="5"/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  <c r="X3513" s="5"/>
      <c r="Y3513" s="5"/>
      <c r="Z3513" s="5"/>
      <c r="AA3513" s="5"/>
      <c r="AC3513" t="e">
        <f ca="1">RANK(AB3513,OFFSET($AB$2,0,0,#REF!,1))</f>
        <v>#REF!</v>
      </c>
      <c r="AD3513" s="4" t="e">
        <f>InsurerSize(#REF!)</f>
        <v>#VALUE!</v>
      </c>
      <c r="AE3513" s="4" t="e">
        <f t="shared" si="66"/>
        <v>#VALUE!</v>
      </c>
    </row>
    <row r="3514" spans="8:31" x14ac:dyDescent="0.2">
      <c r="H3514" s="5"/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  <c r="X3514" s="5"/>
      <c r="Y3514" s="5"/>
      <c r="Z3514" s="5"/>
      <c r="AA3514" s="5"/>
      <c r="AC3514" t="e">
        <f ca="1">RANK(AB3514,OFFSET($AB$2,0,0,#REF!,1))</f>
        <v>#REF!</v>
      </c>
      <c r="AD3514" s="4" t="e">
        <f>InsurerSize(#REF!)</f>
        <v>#VALUE!</v>
      </c>
      <c r="AE3514" s="4" t="e">
        <f t="shared" si="66"/>
        <v>#VALUE!</v>
      </c>
    </row>
    <row r="3515" spans="8:31" x14ac:dyDescent="0.2"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  <c r="X3515" s="5"/>
      <c r="Y3515" s="5"/>
      <c r="Z3515" s="5"/>
      <c r="AA3515" s="5"/>
      <c r="AC3515" t="e">
        <f ca="1">RANK(AB3515,OFFSET($AB$2,0,0,#REF!,1))</f>
        <v>#REF!</v>
      </c>
      <c r="AD3515" s="4" t="e">
        <f>InsurerSize(#REF!)</f>
        <v>#VALUE!</v>
      </c>
      <c r="AE3515" s="4" t="e">
        <f t="shared" si="66"/>
        <v>#VALUE!</v>
      </c>
    </row>
    <row r="3516" spans="8:31" x14ac:dyDescent="0.2"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  <c r="X3516" s="5"/>
      <c r="Y3516" s="5"/>
      <c r="Z3516" s="5"/>
      <c r="AA3516" s="5"/>
      <c r="AC3516" t="e">
        <f ca="1">RANK(AB3516,OFFSET($AB$2,0,0,#REF!,1))</f>
        <v>#REF!</v>
      </c>
      <c r="AD3516" s="4" t="e">
        <f>InsurerSize(#REF!)</f>
        <v>#VALUE!</v>
      </c>
      <c r="AE3516" s="4" t="e">
        <f t="shared" si="66"/>
        <v>#VALUE!</v>
      </c>
    </row>
    <row r="3517" spans="8:31" x14ac:dyDescent="0.2">
      <c r="H3517" s="5"/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  <c r="X3517" s="5"/>
      <c r="Y3517" s="5"/>
      <c r="Z3517" s="5"/>
      <c r="AA3517" s="5"/>
      <c r="AC3517" t="e">
        <f ca="1">RANK(AB3517,OFFSET($AB$2,0,0,#REF!,1))</f>
        <v>#REF!</v>
      </c>
      <c r="AD3517" s="4" t="e">
        <f>InsurerSize(#REF!)</f>
        <v>#VALUE!</v>
      </c>
      <c r="AE3517" s="4" t="e">
        <f t="shared" si="66"/>
        <v>#VALUE!</v>
      </c>
    </row>
    <row r="3518" spans="8:31" x14ac:dyDescent="0.2">
      <c r="H3518" s="5"/>
      <c r="I3518" s="5"/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  <c r="X3518" s="5"/>
      <c r="Y3518" s="5"/>
      <c r="Z3518" s="5"/>
      <c r="AA3518" s="5"/>
      <c r="AC3518" t="e">
        <f ca="1">RANK(AB3518,OFFSET($AB$2,0,0,#REF!,1))</f>
        <v>#REF!</v>
      </c>
      <c r="AD3518" s="4" t="e">
        <f>InsurerSize(#REF!)</f>
        <v>#VALUE!</v>
      </c>
      <c r="AE3518" s="4" t="e">
        <f t="shared" si="66"/>
        <v>#VALUE!</v>
      </c>
    </row>
    <row r="3519" spans="8:31" x14ac:dyDescent="0.2">
      <c r="H3519" s="5"/>
      <c r="I3519" s="5"/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  <c r="X3519" s="5"/>
      <c r="Y3519" s="5"/>
      <c r="Z3519" s="5"/>
      <c r="AA3519" s="5"/>
      <c r="AC3519" t="e">
        <f ca="1">RANK(AB3519,OFFSET($AB$2,0,0,#REF!,1))</f>
        <v>#REF!</v>
      </c>
      <c r="AD3519" s="4" t="e">
        <f>InsurerSize(#REF!)</f>
        <v>#VALUE!</v>
      </c>
      <c r="AE3519" s="4" t="e">
        <f t="shared" si="66"/>
        <v>#VALUE!</v>
      </c>
    </row>
    <row r="3520" spans="8:31" x14ac:dyDescent="0.2">
      <c r="H3520" s="5"/>
      <c r="I3520" s="5"/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  <c r="X3520" s="5"/>
      <c r="Y3520" s="5"/>
      <c r="Z3520" s="5"/>
      <c r="AA3520" s="5"/>
      <c r="AC3520" t="e">
        <f ca="1">RANK(AB3520,OFFSET($AB$2,0,0,#REF!,1))</f>
        <v>#REF!</v>
      </c>
      <c r="AD3520" s="4" t="e">
        <f>InsurerSize(#REF!)</f>
        <v>#VALUE!</v>
      </c>
      <c r="AE3520" s="4" t="e">
        <f t="shared" si="66"/>
        <v>#VALUE!</v>
      </c>
    </row>
    <row r="3521" spans="8:31" x14ac:dyDescent="0.2">
      <c r="H3521" s="5"/>
      <c r="I3521" s="5"/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  <c r="X3521" s="5"/>
      <c r="Y3521" s="5"/>
      <c r="Z3521" s="5"/>
      <c r="AA3521" s="5"/>
      <c r="AC3521" t="e">
        <f ca="1">RANK(AB3521,OFFSET($AB$2,0,0,#REF!,1))</f>
        <v>#REF!</v>
      </c>
      <c r="AD3521" s="4" t="e">
        <f>InsurerSize(#REF!)</f>
        <v>#VALUE!</v>
      </c>
      <c r="AE3521" s="4" t="e">
        <f t="shared" si="66"/>
        <v>#VALUE!</v>
      </c>
    </row>
    <row r="3522" spans="8:31" x14ac:dyDescent="0.2">
      <c r="H3522" s="5"/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  <c r="X3522" s="5"/>
      <c r="Y3522" s="5"/>
      <c r="Z3522" s="5"/>
      <c r="AA3522" s="5"/>
      <c r="AC3522" t="e">
        <f ca="1">RANK(AB3522,OFFSET($AB$2,0,0,#REF!,1))</f>
        <v>#REF!</v>
      </c>
      <c r="AD3522" s="4" t="e">
        <f>InsurerSize(#REF!)</f>
        <v>#VALUE!</v>
      </c>
      <c r="AE3522" s="4" t="e">
        <f t="shared" ref="AE3522:AE3585" si="67">A3522&amp;AD3522</f>
        <v>#VALUE!</v>
      </c>
    </row>
    <row r="3523" spans="8:31" x14ac:dyDescent="0.2">
      <c r="H3523" s="5"/>
      <c r="I3523" s="5"/>
      <c r="J3523" s="5"/>
      <c r="K3523" s="5"/>
      <c r="L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  <c r="W3523" s="5"/>
      <c r="X3523" s="5"/>
      <c r="Y3523" s="5"/>
      <c r="Z3523" s="5"/>
      <c r="AA3523" s="5"/>
      <c r="AC3523" t="e">
        <f ca="1">RANK(AB3523,OFFSET($AB$2,0,0,#REF!,1))</f>
        <v>#REF!</v>
      </c>
      <c r="AD3523" s="4" t="e">
        <f>InsurerSize(#REF!)</f>
        <v>#VALUE!</v>
      </c>
      <c r="AE3523" s="4" t="e">
        <f t="shared" si="67"/>
        <v>#VALUE!</v>
      </c>
    </row>
    <row r="3524" spans="8:31" x14ac:dyDescent="0.2">
      <c r="H3524" s="5"/>
      <c r="I3524" s="5"/>
      <c r="J3524" s="5"/>
      <c r="K3524" s="5"/>
      <c r="L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  <c r="W3524" s="5"/>
      <c r="X3524" s="5"/>
      <c r="Y3524" s="5"/>
      <c r="Z3524" s="5"/>
      <c r="AA3524" s="5"/>
      <c r="AC3524" t="e">
        <f ca="1">RANK(AB3524,OFFSET($AB$2,0,0,#REF!,1))</f>
        <v>#REF!</v>
      </c>
      <c r="AD3524" s="4" t="e">
        <f>InsurerSize(#REF!)</f>
        <v>#VALUE!</v>
      </c>
      <c r="AE3524" s="4" t="e">
        <f t="shared" si="67"/>
        <v>#VALUE!</v>
      </c>
    </row>
    <row r="3525" spans="8:31" x14ac:dyDescent="0.2">
      <c r="H3525" s="5"/>
      <c r="I3525" s="5"/>
      <c r="J3525" s="5"/>
      <c r="K3525" s="5"/>
      <c r="L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  <c r="W3525" s="5"/>
      <c r="X3525" s="5"/>
      <c r="Y3525" s="5"/>
      <c r="Z3525" s="5"/>
      <c r="AA3525" s="5"/>
      <c r="AC3525" t="e">
        <f ca="1">RANK(AB3525,OFFSET($AB$2,0,0,#REF!,1))</f>
        <v>#REF!</v>
      </c>
      <c r="AD3525" s="4" t="e">
        <f>InsurerSize(#REF!)</f>
        <v>#VALUE!</v>
      </c>
      <c r="AE3525" s="4" t="e">
        <f t="shared" si="67"/>
        <v>#VALUE!</v>
      </c>
    </row>
    <row r="3526" spans="8:31" x14ac:dyDescent="0.2">
      <c r="H3526" s="5"/>
      <c r="I3526" s="5"/>
      <c r="J3526" s="5"/>
      <c r="K3526" s="5"/>
      <c r="L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  <c r="W3526" s="5"/>
      <c r="X3526" s="5"/>
      <c r="Y3526" s="5"/>
      <c r="Z3526" s="5"/>
      <c r="AA3526" s="5"/>
      <c r="AC3526" t="e">
        <f ca="1">RANK(AB3526,OFFSET($AB$2,0,0,#REF!,1))</f>
        <v>#REF!</v>
      </c>
      <c r="AD3526" s="4" t="e">
        <f>InsurerSize(#REF!)</f>
        <v>#VALUE!</v>
      </c>
      <c r="AE3526" s="4" t="e">
        <f t="shared" si="67"/>
        <v>#VALUE!</v>
      </c>
    </row>
    <row r="3527" spans="8:31" x14ac:dyDescent="0.2">
      <c r="H3527" s="5"/>
      <c r="I3527" s="5"/>
      <c r="J3527" s="5"/>
      <c r="K3527" s="5"/>
      <c r="L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  <c r="W3527" s="5"/>
      <c r="X3527" s="5"/>
      <c r="Y3527" s="5"/>
      <c r="Z3527" s="5"/>
      <c r="AA3527" s="5"/>
      <c r="AC3527" t="e">
        <f ca="1">RANK(AB3527,OFFSET($AB$2,0,0,#REF!,1))</f>
        <v>#REF!</v>
      </c>
      <c r="AD3527" s="4" t="e">
        <f>InsurerSize(#REF!)</f>
        <v>#VALUE!</v>
      </c>
      <c r="AE3527" s="4" t="e">
        <f t="shared" si="67"/>
        <v>#VALUE!</v>
      </c>
    </row>
    <row r="3528" spans="8:31" x14ac:dyDescent="0.2">
      <c r="H3528" s="5"/>
      <c r="I3528" s="5"/>
      <c r="J3528" s="5"/>
      <c r="K3528" s="5"/>
      <c r="L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  <c r="W3528" s="5"/>
      <c r="X3528" s="5"/>
      <c r="Y3528" s="5"/>
      <c r="Z3528" s="5"/>
      <c r="AA3528" s="5"/>
      <c r="AC3528" t="e">
        <f ca="1">RANK(AB3528,OFFSET($AB$2,0,0,#REF!,1))</f>
        <v>#REF!</v>
      </c>
      <c r="AD3528" s="4" t="e">
        <f>InsurerSize(#REF!)</f>
        <v>#VALUE!</v>
      </c>
      <c r="AE3528" s="4" t="e">
        <f t="shared" si="67"/>
        <v>#VALUE!</v>
      </c>
    </row>
    <row r="3529" spans="8:31" x14ac:dyDescent="0.2">
      <c r="H3529" s="5"/>
      <c r="I3529" s="5"/>
      <c r="J3529" s="5"/>
      <c r="K3529" s="5"/>
      <c r="L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  <c r="W3529" s="5"/>
      <c r="X3529" s="5"/>
      <c r="Y3529" s="5"/>
      <c r="Z3529" s="5"/>
      <c r="AA3529" s="5"/>
      <c r="AC3529" t="e">
        <f ca="1">RANK(AB3529,OFFSET($AB$2,0,0,#REF!,1))</f>
        <v>#REF!</v>
      </c>
      <c r="AD3529" s="4" t="e">
        <f>InsurerSize(#REF!)</f>
        <v>#VALUE!</v>
      </c>
      <c r="AE3529" s="4" t="e">
        <f t="shared" si="67"/>
        <v>#VALUE!</v>
      </c>
    </row>
    <row r="3530" spans="8:31" x14ac:dyDescent="0.2">
      <c r="H3530" s="5"/>
      <c r="I3530" s="5"/>
      <c r="J3530" s="5"/>
      <c r="K3530" s="5"/>
      <c r="L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  <c r="W3530" s="5"/>
      <c r="X3530" s="5"/>
      <c r="Y3530" s="5"/>
      <c r="Z3530" s="5"/>
      <c r="AA3530" s="5"/>
      <c r="AC3530" t="e">
        <f ca="1">RANK(AB3530,OFFSET($AB$2,0,0,#REF!,1))</f>
        <v>#REF!</v>
      </c>
      <c r="AD3530" s="4" t="e">
        <f>InsurerSize(#REF!)</f>
        <v>#VALUE!</v>
      </c>
      <c r="AE3530" s="4" t="e">
        <f t="shared" si="67"/>
        <v>#VALUE!</v>
      </c>
    </row>
    <row r="3531" spans="8:31" x14ac:dyDescent="0.2">
      <c r="H3531" s="5"/>
      <c r="I3531" s="5"/>
      <c r="J3531" s="5"/>
      <c r="K3531" s="5"/>
      <c r="L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  <c r="W3531" s="5"/>
      <c r="X3531" s="5"/>
      <c r="Y3531" s="5"/>
      <c r="Z3531" s="5"/>
      <c r="AA3531" s="5"/>
      <c r="AC3531" t="e">
        <f ca="1">RANK(AB3531,OFFSET($AB$2,0,0,#REF!,1))</f>
        <v>#REF!</v>
      </c>
      <c r="AD3531" s="4" t="e">
        <f>InsurerSize(#REF!)</f>
        <v>#VALUE!</v>
      </c>
      <c r="AE3531" s="4" t="e">
        <f t="shared" si="67"/>
        <v>#VALUE!</v>
      </c>
    </row>
    <row r="3532" spans="8:31" x14ac:dyDescent="0.2">
      <c r="H3532" s="5"/>
      <c r="I3532" s="5"/>
      <c r="J3532" s="5"/>
      <c r="K3532" s="5"/>
      <c r="L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  <c r="W3532" s="5"/>
      <c r="X3532" s="5"/>
      <c r="Y3532" s="5"/>
      <c r="Z3532" s="5"/>
      <c r="AA3532" s="5"/>
      <c r="AC3532" t="e">
        <f ca="1">RANK(AB3532,OFFSET($AB$2,0,0,#REF!,1))</f>
        <v>#REF!</v>
      </c>
      <c r="AD3532" s="4" t="e">
        <f>InsurerSize(#REF!)</f>
        <v>#VALUE!</v>
      </c>
      <c r="AE3532" s="4" t="e">
        <f t="shared" si="67"/>
        <v>#VALUE!</v>
      </c>
    </row>
    <row r="3533" spans="8:31" x14ac:dyDescent="0.2">
      <c r="H3533" s="5"/>
      <c r="I3533" s="5"/>
      <c r="J3533" s="5"/>
      <c r="K3533" s="5"/>
      <c r="L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5"/>
      <c r="Z3533" s="5"/>
      <c r="AA3533" s="5"/>
      <c r="AC3533" t="e">
        <f ca="1">RANK(AB3533,OFFSET($AB$2,0,0,#REF!,1))</f>
        <v>#REF!</v>
      </c>
      <c r="AD3533" s="4" t="e">
        <f>InsurerSize(#REF!)</f>
        <v>#VALUE!</v>
      </c>
      <c r="AE3533" s="4" t="e">
        <f t="shared" si="67"/>
        <v>#VALUE!</v>
      </c>
    </row>
    <row r="3534" spans="8:31" x14ac:dyDescent="0.2">
      <c r="H3534" s="5"/>
      <c r="I3534" s="5"/>
      <c r="J3534" s="5"/>
      <c r="K3534" s="5"/>
      <c r="L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  <c r="W3534" s="5"/>
      <c r="X3534" s="5"/>
      <c r="Y3534" s="5"/>
      <c r="Z3534" s="5"/>
      <c r="AA3534" s="5"/>
      <c r="AC3534" t="e">
        <f ca="1">RANK(AB3534,OFFSET($AB$2,0,0,#REF!,1))</f>
        <v>#REF!</v>
      </c>
      <c r="AD3534" s="4" t="e">
        <f>InsurerSize(#REF!)</f>
        <v>#VALUE!</v>
      </c>
      <c r="AE3534" s="4" t="e">
        <f t="shared" si="67"/>
        <v>#VALUE!</v>
      </c>
    </row>
    <row r="3535" spans="8:31" x14ac:dyDescent="0.2">
      <c r="H3535" s="5"/>
      <c r="I3535" s="5"/>
      <c r="J3535" s="5"/>
      <c r="K3535" s="5"/>
      <c r="L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  <c r="W3535" s="5"/>
      <c r="X3535" s="5"/>
      <c r="Y3535" s="5"/>
      <c r="Z3535" s="5"/>
      <c r="AA3535" s="5"/>
      <c r="AC3535" t="e">
        <f ca="1">RANK(AB3535,OFFSET($AB$2,0,0,#REF!,1))</f>
        <v>#REF!</v>
      </c>
      <c r="AD3535" s="4" t="e">
        <f>InsurerSize(#REF!)</f>
        <v>#VALUE!</v>
      </c>
      <c r="AE3535" s="4" t="e">
        <f t="shared" si="67"/>
        <v>#VALUE!</v>
      </c>
    </row>
    <row r="3536" spans="8:31" x14ac:dyDescent="0.2">
      <c r="H3536" s="5"/>
      <c r="I3536" s="5"/>
      <c r="J3536" s="5"/>
      <c r="K3536" s="5"/>
      <c r="L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  <c r="W3536" s="5"/>
      <c r="X3536" s="5"/>
      <c r="Y3536" s="5"/>
      <c r="Z3536" s="5"/>
      <c r="AA3536" s="5"/>
      <c r="AC3536" t="e">
        <f ca="1">RANK(AB3536,OFFSET($AB$2,0,0,#REF!,1))</f>
        <v>#REF!</v>
      </c>
      <c r="AD3536" s="4" t="e">
        <f>InsurerSize(#REF!)</f>
        <v>#VALUE!</v>
      </c>
      <c r="AE3536" s="4" t="e">
        <f t="shared" si="67"/>
        <v>#VALUE!</v>
      </c>
    </row>
    <row r="3537" spans="8:31" x14ac:dyDescent="0.2">
      <c r="H3537" s="5"/>
      <c r="I3537" s="5"/>
      <c r="J3537" s="5"/>
      <c r="K3537" s="5"/>
      <c r="L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  <c r="W3537" s="5"/>
      <c r="X3537" s="5"/>
      <c r="Y3537" s="5"/>
      <c r="Z3537" s="5"/>
      <c r="AA3537" s="5"/>
      <c r="AC3537" t="e">
        <f ca="1">RANK(AB3537,OFFSET($AB$2,0,0,#REF!,1))</f>
        <v>#REF!</v>
      </c>
      <c r="AD3537" s="4" t="e">
        <f>InsurerSize(#REF!)</f>
        <v>#VALUE!</v>
      </c>
      <c r="AE3537" s="4" t="e">
        <f t="shared" si="67"/>
        <v>#VALUE!</v>
      </c>
    </row>
    <row r="3538" spans="8:31" x14ac:dyDescent="0.2">
      <c r="H3538" s="5"/>
      <c r="I3538" s="5"/>
      <c r="J3538" s="5"/>
      <c r="K3538" s="5"/>
      <c r="L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  <c r="W3538" s="5"/>
      <c r="X3538" s="5"/>
      <c r="Y3538" s="5"/>
      <c r="Z3538" s="5"/>
      <c r="AA3538" s="5"/>
      <c r="AC3538" t="e">
        <f ca="1">RANK(AB3538,OFFSET($AB$2,0,0,#REF!,1))</f>
        <v>#REF!</v>
      </c>
      <c r="AD3538" s="4" t="e">
        <f>InsurerSize(#REF!)</f>
        <v>#VALUE!</v>
      </c>
      <c r="AE3538" s="4" t="e">
        <f t="shared" si="67"/>
        <v>#VALUE!</v>
      </c>
    </row>
    <row r="3539" spans="8:31" x14ac:dyDescent="0.2">
      <c r="H3539" s="5"/>
      <c r="I3539" s="5"/>
      <c r="J3539" s="5"/>
      <c r="K3539" s="5"/>
      <c r="L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  <c r="W3539" s="5"/>
      <c r="X3539" s="5"/>
      <c r="Y3539" s="5"/>
      <c r="Z3539" s="5"/>
      <c r="AA3539" s="5"/>
      <c r="AC3539" t="e">
        <f ca="1">RANK(AB3539,OFFSET($AB$2,0,0,#REF!,1))</f>
        <v>#REF!</v>
      </c>
      <c r="AD3539" s="4" t="e">
        <f>InsurerSize(#REF!)</f>
        <v>#VALUE!</v>
      </c>
      <c r="AE3539" s="4" t="e">
        <f t="shared" si="67"/>
        <v>#VALUE!</v>
      </c>
    </row>
    <row r="3540" spans="8:31" x14ac:dyDescent="0.2">
      <c r="H3540" s="5"/>
      <c r="I3540" s="5"/>
      <c r="J3540" s="5"/>
      <c r="K3540" s="5"/>
      <c r="L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  <c r="W3540" s="5"/>
      <c r="X3540" s="5"/>
      <c r="Y3540" s="5"/>
      <c r="Z3540" s="5"/>
      <c r="AA3540" s="5"/>
      <c r="AC3540" t="e">
        <f ca="1">RANK(AB3540,OFFSET($AB$2,0,0,#REF!,1))</f>
        <v>#REF!</v>
      </c>
      <c r="AD3540" s="4" t="e">
        <f>InsurerSize(#REF!)</f>
        <v>#VALUE!</v>
      </c>
      <c r="AE3540" s="4" t="e">
        <f t="shared" si="67"/>
        <v>#VALUE!</v>
      </c>
    </row>
    <row r="3541" spans="8:31" x14ac:dyDescent="0.2">
      <c r="H3541" s="5"/>
      <c r="I3541" s="5"/>
      <c r="J3541" s="5"/>
      <c r="K3541" s="5"/>
      <c r="L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  <c r="W3541" s="5"/>
      <c r="X3541" s="5"/>
      <c r="Y3541" s="5"/>
      <c r="Z3541" s="5"/>
      <c r="AA3541" s="5"/>
      <c r="AC3541" t="e">
        <f ca="1">RANK(AB3541,OFFSET($AB$2,0,0,#REF!,1))</f>
        <v>#REF!</v>
      </c>
      <c r="AD3541" s="4" t="e">
        <f>InsurerSize(#REF!)</f>
        <v>#VALUE!</v>
      </c>
      <c r="AE3541" s="4" t="e">
        <f t="shared" si="67"/>
        <v>#VALUE!</v>
      </c>
    </row>
    <row r="3542" spans="8:31" x14ac:dyDescent="0.2">
      <c r="H3542" s="5"/>
      <c r="I3542" s="5"/>
      <c r="J3542" s="5"/>
      <c r="K3542" s="5"/>
      <c r="L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  <c r="W3542" s="5"/>
      <c r="X3542" s="5"/>
      <c r="Y3542" s="5"/>
      <c r="Z3542" s="5"/>
      <c r="AA3542" s="5"/>
      <c r="AC3542" t="e">
        <f ca="1">RANK(AB3542,OFFSET($AB$2,0,0,#REF!,1))</f>
        <v>#REF!</v>
      </c>
      <c r="AD3542" s="4" t="e">
        <f>InsurerSize(#REF!)</f>
        <v>#VALUE!</v>
      </c>
      <c r="AE3542" s="4" t="e">
        <f t="shared" si="67"/>
        <v>#VALUE!</v>
      </c>
    </row>
    <row r="3543" spans="8:31" x14ac:dyDescent="0.2">
      <c r="H3543" s="5"/>
      <c r="I3543" s="5"/>
      <c r="J3543" s="5"/>
      <c r="K3543" s="5"/>
      <c r="L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  <c r="W3543" s="5"/>
      <c r="X3543" s="5"/>
      <c r="Y3543" s="5"/>
      <c r="Z3543" s="5"/>
      <c r="AA3543" s="5"/>
      <c r="AC3543" t="e">
        <f ca="1">RANK(AB3543,OFFSET($AB$2,0,0,#REF!,1))</f>
        <v>#REF!</v>
      </c>
      <c r="AD3543" s="4" t="e">
        <f>InsurerSize(#REF!)</f>
        <v>#VALUE!</v>
      </c>
      <c r="AE3543" s="4" t="e">
        <f t="shared" si="67"/>
        <v>#VALUE!</v>
      </c>
    </row>
    <row r="3544" spans="8:31" x14ac:dyDescent="0.2">
      <c r="H3544" s="5"/>
      <c r="I3544" s="5"/>
      <c r="J3544" s="5"/>
      <c r="K3544" s="5"/>
      <c r="L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  <c r="W3544" s="5"/>
      <c r="X3544" s="5"/>
      <c r="Y3544" s="5"/>
      <c r="Z3544" s="5"/>
      <c r="AA3544" s="5"/>
      <c r="AC3544" t="e">
        <f ca="1">RANK(AB3544,OFFSET($AB$2,0,0,#REF!,1))</f>
        <v>#REF!</v>
      </c>
      <c r="AD3544" s="4" t="e">
        <f>InsurerSize(#REF!)</f>
        <v>#VALUE!</v>
      </c>
      <c r="AE3544" s="4" t="e">
        <f t="shared" si="67"/>
        <v>#VALUE!</v>
      </c>
    </row>
    <row r="3545" spans="8:31" x14ac:dyDescent="0.2">
      <c r="H3545" s="5"/>
      <c r="I3545" s="5"/>
      <c r="J3545" s="5"/>
      <c r="K3545" s="5"/>
      <c r="L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  <c r="W3545" s="5"/>
      <c r="X3545" s="5"/>
      <c r="Y3545" s="5"/>
      <c r="Z3545" s="5"/>
      <c r="AA3545" s="5"/>
      <c r="AC3545" t="e">
        <f ca="1">RANK(AB3545,OFFSET($AB$2,0,0,#REF!,1))</f>
        <v>#REF!</v>
      </c>
      <c r="AD3545" s="4" t="e">
        <f>InsurerSize(#REF!)</f>
        <v>#VALUE!</v>
      </c>
      <c r="AE3545" s="4" t="e">
        <f t="shared" si="67"/>
        <v>#VALUE!</v>
      </c>
    </row>
    <row r="3546" spans="8:31" x14ac:dyDescent="0.2">
      <c r="H3546" s="5"/>
      <c r="I3546" s="5"/>
      <c r="J3546" s="5"/>
      <c r="K3546" s="5"/>
      <c r="L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  <c r="W3546" s="5"/>
      <c r="X3546" s="5"/>
      <c r="Y3546" s="5"/>
      <c r="Z3546" s="5"/>
      <c r="AA3546" s="5"/>
      <c r="AC3546" t="e">
        <f ca="1">RANK(AB3546,OFFSET($AB$2,0,0,#REF!,1))</f>
        <v>#REF!</v>
      </c>
      <c r="AD3546" s="4" t="e">
        <f>InsurerSize(#REF!)</f>
        <v>#VALUE!</v>
      </c>
      <c r="AE3546" s="4" t="e">
        <f t="shared" si="67"/>
        <v>#VALUE!</v>
      </c>
    </row>
    <row r="3547" spans="8:31" x14ac:dyDescent="0.2">
      <c r="H3547" s="5"/>
      <c r="I3547" s="5"/>
      <c r="J3547" s="5"/>
      <c r="K3547" s="5"/>
      <c r="L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  <c r="W3547" s="5"/>
      <c r="X3547" s="5"/>
      <c r="Y3547" s="5"/>
      <c r="Z3547" s="5"/>
      <c r="AA3547" s="5"/>
      <c r="AC3547" t="e">
        <f ca="1">RANK(AB3547,OFFSET($AB$2,0,0,#REF!,1))</f>
        <v>#REF!</v>
      </c>
      <c r="AD3547" s="4" t="e">
        <f>InsurerSize(#REF!)</f>
        <v>#VALUE!</v>
      </c>
      <c r="AE3547" s="4" t="e">
        <f t="shared" si="67"/>
        <v>#VALUE!</v>
      </c>
    </row>
    <row r="3548" spans="8:31" x14ac:dyDescent="0.2">
      <c r="H3548" s="5"/>
      <c r="I3548" s="5"/>
      <c r="J3548" s="5"/>
      <c r="K3548" s="5"/>
      <c r="L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  <c r="W3548" s="5"/>
      <c r="X3548" s="5"/>
      <c r="Y3548" s="5"/>
      <c r="Z3548" s="5"/>
      <c r="AA3548" s="5"/>
      <c r="AC3548" t="e">
        <f ca="1">RANK(AB3548,OFFSET($AB$2,0,0,#REF!,1))</f>
        <v>#REF!</v>
      </c>
      <c r="AD3548" s="4" t="e">
        <f>InsurerSize(#REF!)</f>
        <v>#VALUE!</v>
      </c>
      <c r="AE3548" s="4" t="e">
        <f t="shared" si="67"/>
        <v>#VALUE!</v>
      </c>
    </row>
    <row r="3549" spans="8:31" x14ac:dyDescent="0.2">
      <c r="H3549" s="5"/>
      <c r="I3549" s="5"/>
      <c r="J3549" s="5"/>
      <c r="K3549" s="5"/>
      <c r="L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  <c r="W3549" s="5"/>
      <c r="X3549" s="5"/>
      <c r="Y3549" s="5"/>
      <c r="Z3549" s="5"/>
      <c r="AA3549" s="5"/>
      <c r="AC3549" t="e">
        <f ca="1">RANK(AB3549,OFFSET($AB$2,0,0,#REF!,1))</f>
        <v>#REF!</v>
      </c>
      <c r="AD3549" s="4" t="e">
        <f>InsurerSize(#REF!)</f>
        <v>#VALUE!</v>
      </c>
      <c r="AE3549" s="4" t="e">
        <f t="shared" si="67"/>
        <v>#VALUE!</v>
      </c>
    </row>
    <row r="3550" spans="8:31" x14ac:dyDescent="0.2">
      <c r="H3550" s="5"/>
      <c r="I3550" s="5"/>
      <c r="J3550" s="5"/>
      <c r="K3550" s="5"/>
      <c r="L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  <c r="W3550" s="5"/>
      <c r="X3550" s="5"/>
      <c r="Y3550" s="5"/>
      <c r="Z3550" s="5"/>
      <c r="AA3550" s="5"/>
      <c r="AC3550" t="e">
        <f ca="1">RANK(AB3550,OFFSET($AB$2,0,0,#REF!,1))</f>
        <v>#REF!</v>
      </c>
      <c r="AD3550" s="4" t="e">
        <f>InsurerSize(#REF!)</f>
        <v>#VALUE!</v>
      </c>
      <c r="AE3550" s="4" t="e">
        <f t="shared" si="67"/>
        <v>#VALUE!</v>
      </c>
    </row>
    <row r="3551" spans="8:31" x14ac:dyDescent="0.2">
      <c r="H3551" s="5"/>
      <c r="I3551" s="5"/>
      <c r="J3551" s="5"/>
      <c r="K3551" s="5"/>
      <c r="L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  <c r="W3551" s="5"/>
      <c r="X3551" s="5"/>
      <c r="Y3551" s="5"/>
      <c r="Z3551" s="5"/>
      <c r="AA3551" s="5"/>
      <c r="AC3551" t="e">
        <f ca="1">RANK(AB3551,OFFSET($AB$2,0,0,#REF!,1))</f>
        <v>#REF!</v>
      </c>
      <c r="AD3551" s="4" t="e">
        <f>InsurerSize(#REF!)</f>
        <v>#VALUE!</v>
      </c>
      <c r="AE3551" s="4" t="e">
        <f t="shared" si="67"/>
        <v>#VALUE!</v>
      </c>
    </row>
    <row r="3552" spans="8:31" x14ac:dyDescent="0.2">
      <c r="H3552" s="5"/>
      <c r="I3552" s="5"/>
      <c r="J3552" s="5"/>
      <c r="K3552" s="5"/>
      <c r="L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  <c r="W3552" s="5"/>
      <c r="X3552" s="5"/>
      <c r="Y3552" s="5"/>
      <c r="Z3552" s="5"/>
      <c r="AA3552" s="5"/>
      <c r="AC3552" t="e">
        <f ca="1">RANK(AB3552,OFFSET($AB$2,0,0,#REF!,1))</f>
        <v>#REF!</v>
      </c>
      <c r="AD3552" s="4" t="e">
        <f>InsurerSize(#REF!)</f>
        <v>#VALUE!</v>
      </c>
      <c r="AE3552" s="4" t="e">
        <f t="shared" si="67"/>
        <v>#VALUE!</v>
      </c>
    </row>
    <row r="3553" spans="8:31" x14ac:dyDescent="0.2">
      <c r="H3553" s="5"/>
      <c r="I3553" s="5"/>
      <c r="J3553" s="5"/>
      <c r="K3553" s="5"/>
      <c r="L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  <c r="W3553" s="5"/>
      <c r="X3553" s="5"/>
      <c r="Y3553" s="5"/>
      <c r="Z3553" s="5"/>
      <c r="AA3553" s="5"/>
      <c r="AC3553" t="e">
        <f ca="1">RANK(AB3553,OFFSET($AB$2,0,0,#REF!,1))</f>
        <v>#REF!</v>
      </c>
      <c r="AD3553" s="4" t="e">
        <f>InsurerSize(#REF!)</f>
        <v>#VALUE!</v>
      </c>
      <c r="AE3553" s="4" t="e">
        <f t="shared" si="67"/>
        <v>#VALUE!</v>
      </c>
    </row>
    <row r="3554" spans="8:31" x14ac:dyDescent="0.2">
      <c r="H3554" s="5"/>
      <c r="I3554" s="5"/>
      <c r="J3554" s="5"/>
      <c r="K3554" s="5"/>
      <c r="L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  <c r="W3554" s="5"/>
      <c r="X3554" s="5"/>
      <c r="Y3554" s="5"/>
      <c r="Z3554" s="5"/>
      <c r="AA3554" s="5"/>
      <c r="AC3554" t="e">
        <f ca="1">RANK(AB3554,OFFSET($AB$2,0,0,#REF!,1))</f>
        <v>#REF!</v>
      </c>
      <c r="AD3554" s="4" t="e">
        <f>InsurerSize(#REF!)</f>
        <v>#VALUE!</v>
      </c>
      <c r="AE3554" s="4" t="e">
        <f t="shared" si="67"/>
        <v>#VALUE!</v>
      </c>
    </row>
    <row r="3555" spans="8:31" x14ac:dyDescent="0.2">
      <c r="H3555" s="5"/>
      <c r="I3555" s="5"/>
      <c r="J3555" s="5"/>
      <c r="K3555" s="5"/>
      <c r="L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  <c r="W3555" s="5"/>
      <c r="X3555" s="5"/>
      <c r="Y3555" s="5"/>
      <c r="Z3555" s="5"/>
      <c r="AA3555" s="5"/>
      <c r="AC3555" t="e">
        <f ca="1">RANK(AB3555,OFFSET($AB$2,0,0,#REF!,1))</f>
        <v>#REF!</v>
      </c>
      <c r="AD3555" s="4" t="e">
        <f>InsurerSize(#REF!)</f>
        <v>#VALUE!</v>
      </c>
      <c r="AE3555" s="4" t="e">
        <f t="shared" si="67"/>
        <v>#VALUE!</v>
      </c>
    </row>
    <row r="3556" spans="8:31" x14ac:dyDescent="0.2">
      <c r="H3556" s="5"/>
      <c r="I3556" s="5"/>
      <c r="J3556" s="5"/>
      <c r="K3556" s="5"/>
      <c r="L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  <c r="W3556" s="5"/>
      <c r="X3556" s="5"/>
      <c r="Y3556" s="5"/>
      <c r="Z3556" s="5"/>
      <c r="AA3556" s="5"/>
      <c r="AC3556" t="e">
        <f ca="1">RANK(AB3556,OFFSET($AB$2,0,0,#REF!,1))</f>
        <v>#REF!</v>
      </c>
      <c r="AD3556" s="4" t="e">
        <f>InsurerSize(#REF!)</f>
        <v>#VALUE!</v>
      </c>
      <c r="AE3556" s="4" t="e">
        <f t="shared" si="67"/>
        <v>#VALUE!</v>
      </c>
    </row>
    <row r="3557" spans="8:31" x14ac:dyDescent="0.2">
      <c r="H3557" s="5"/>
      <c r="I3557" s="5"/>
      <c r="J3557" s="5"/>
      <c r="K3557" s="5"/>
      <c r="L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  <c r="W3557" s="5"/>
      <c r="X3557" s="5"/>
      <c r="Y3557" s="5"/>
      <c r="Z3557" s="5"/>
      <c r="AA3557" s="5"/>
      <c r="AC3557" t="e">
        <f ca="1">RANK(AB3557,OFFSET($AB$2,0,0,#REF!,1))</f>
        <v>#REF!</v>
      </c>
      <c r="AD3557" s="4" t="e">
        <f>InsurerSize(#REF!)</f>
        <v>#VALUE!</v>
      </c>
      <c r="AE3557" s="4" t="e">
        <f t="shared" si="67"/>
        <v>#VALUE!</v>
      </c>
    </row>
    <row r="3558" spans="8:31" x14ac:dyDescent="0.2">
      <c r="H3558" s="5"/>
      <c r="I3558" s="5"/>
      <c r="J3558" s="5"/>
      <c r="K3558" s="5"/>
      <c r="L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  <c r="W3558" s="5"/>
      <c r="X3558" s="5"/>
      <c r="Y3558" s="5"/>
      <c r="Z3558" s="5"/>
      <c r="AA3558" s="5"/>
      <c r="AC3558" t="e">
        <f ca="1">RANK(AB3558,OFFSET($AB$2,0,0,#REF!,1))</f>
        <v>#REF!</v>
      </c>
      <c r="AD3558" s="4" t="e">
        <f>InsurerSize(#REF!)</f>
        <v>#VALUE!</v>
      </c>
      <c r="AE3558" s="4" t="e">
        <f t="shared" si="67"/>
        <v>#VALUE!</v>
      </c>
    </row>
    <row r="3559" spans="8:31" x14ac:dyDescent="0.2">
      <c r="H3559" s="5"/>
      <c r="I3559" s="5"/>
      <c r="J3559" s="5"/>
      <c r="K3559" s="5"/>
      <c r="L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  <c r="W3559" s="5"/>
      <c r="X3559" s="5"/>
      <c r="Y3559" s="5"/>
      <c r="Z3559" s="5"/>
      <c r="AA3559" s="5"/>
      <c r="AC3559" t="e">
        <f ca="1">RANK(AB3559,OFFSET($AB$2,0,0,#REF!,1))</f>
        <v>#REF!</v>
      </c>
      <c r="AD3559" s="4" t="e">
        <f>InsurerSize(#REF!)</f>
        <v>#VALUE!</v>
      </c>
      <c r="AE3559" s="4" t="e">
        <f t="shared" si="67"/>
        <v>#VALUE!</v>
      </c>
    </row>
    <row r="3560" spans="8:31" x14ac:dyDescent="0.2">
      <c r="H3560" s="5"/>
      <c r="I3560" s="5"/>
      <c r="J3560" s="5"/>
      <c r="K3560" s="5"/>
      <c r="L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  <c r="W3560" s="5"/>
      <c r="X3560" s="5"/>
      <c r="Y3560" s="5"/>
      <c r="Z3560" s="5"/>
      <c r="AA3560" s="5"/>
      <c r="AC3560" t="e">
        <f ca="1">RANK(AB3560,OFFSET($AB$2,0,0,#REF!,1))</f>
        <v>#REF!</v>
      </c>
      <c r="AD3560" s="4" t="e">
        <f>InsurerSize(#REF!)</f>
        <v>#VALUE!</v>
      </c>
      <c r="AE3560" s="4" t="e">
        <f t="shared" si="67"/>
        <v>#VALUE!</v>
      </c>
    </row>
    <row r="3561" spans="8:31" x14ac:dyDescent="0.2">
      <c r="H3561" s="5"/>
      <c r="I3561" s="5"/>
      <c r="J3561" s="5"/>
      <c r="K3561" s="5"/>
      <c r="L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  <c r="W3561" s="5"/>
      <c r="X3561" s="5"/>
      <c r="Y3561" s="5"/>
      <c r="Z3561" s="5"/>
      <c r="AA3561" s="5"/>
      <c r="AC3561" t="e">
        <f ca="1">RANK(AB3561,OFFSET($AB$2,0,0,#REF!,1))</f>
        <v>#REF!</v>
      </c>
      <c r="AD3561" s="4" t="e">
        <f>InsurerSize(#REF!)</f>
        <v>#VALUE!</v>
      </c>
      <c r="AE3561" s="4" t="e">
        <f t="shared" si="67"/>
        <v>#VALUE!</v>
      </c>
    </row>
    <row r="3562" spans="8:31" x14ac:dyDescent="0.2">
      <c r="H3562" s="5"/>
      <c r="I3562" s="5"/>
      <c r="J3562" s="5"/>
      <c r="K3562" s="5"/>
      <c r="L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  <c r="W3562" s="5"/>
      <c r="X3562" s="5"/>
      <c r="Y3562" s="5"/>
      <c r="Z3562" s="5"/>
      <c r="AA3562" s="5"/>
      <c r="AC3562" t="e">
        <f ca="1">RANK(AB3562,OFFSET($AB$2,0,0,#REF!,1))</f>
        <v>#REF!</v>
      </c>
      <c r="AD3562" s="4" t="e">
        <f>InsurerSize(#REF!)</f>
        <v>#VALUE!</v>
      </c>
      <c r="AE3562" s="4" t="e">
        <f t="shared" si="67"/>
        <v>#VALUE!</v>
      </c>
    </row>
    <row r="3563" spans="8:31" x14ac:dyDescent="0.2">
      <c r="H3563" s="5"/>
      <c r="I3563" s="5"/>
      <c r="J3563" s="5"/>
      <c r="K3563" s="5"/>
      <c r="L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  <c r="W3563" s="5"/>
      <c r="X3563" s="5"/>
      <c r="Y3563" s="5"/>
      <c r="Z3563" s="5"/>
      <c r="AA3563" s="5"/>
      <c r="AC3563" t="e">
        <f ca="1">RANK(AB3563,OFFSET($AB$2,0,0,#REF!,1))</f>
        <v>#REF!</v>
      </c>
      <c r="AD3563" s="4" t="e">
        <f>InsurerSize(#REF!)</f>
        <v>#VALUE!</v>
      </c>
      <c r="AE3563" s="4" t="e">
        <f t="shared" si="67"/>
        <v>#VALUE!</v>
      </c>
    </row>
    <row r="3564" spans="8:31" x14ac:dyDescent="0.2">
      <c r="H3564" s="5"/>
      <c r="I3564" s="5"/>
      <c r="J3564" s="5"/>
      <c r="K3564" s="5"/>
      <c r="L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  <c r="W3564" s="5"/>
      <c r="X3564" s="5"/>
      <c r="Y3564" s="5"/>
      <c r="Z3564" s="5"/>
      <c r="AA3564" s="5"/>
      <c r="AC3564" t="e">
        <f ca="1">RANK(AB3564,OFFSET($AB$2,0,0,#REF!,1))</f>
        <v>#REF!</v>
      </c>
      <c r="AD3564" s="4" t="e">
        <f>InsurerSize(#REF!)</f>
        <v>#VALUE!</v>
      </c>
      <c r="AE3564" s="4" t="e">
        <f t="shared" si="67"/>
        <v>#VALUE!</v>
      </c>
    </row>
    <row r="3565" spans="8:31" x14ac:dyDescent="0.2">
      <c r="H3565" s="5"/>
      <c r="I3565" s="5"/>
      <c r="J3565" s="5"/>
      <c r="K3565" s="5"/>
      <c r="L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  <c r="W3565" s="5"/>
      <c r="X3565" s="5"/>
      <c r="Y3565" s="5"/>
      <c r="Z3565" s="5"/>
      <c r="AA3565" s="5"/>
      <c r="AC3565" t="e">
        <f ca="1">RANK(AB3565,OFFSET($AB$2,0,0,#REF!,1))</f>
        <v>#REF!</v>
      </c>
      <c r="AD3565" s="4" t="e">
        <f>InsurerSize(#REF!)</f>
        <v>#VALUE!</v>
      </c>
      <c r="AE3565" s="4" t="e">
        <f t="shared" si="67"/>
        <v>#VALUE!</v>
      </c>
    </row>
    <row r="3566" spans="8:31" x14ac:dyDescent="0.2">
      <c r="H3566" s="5"/>
      <c r="I3566" s="5"/>
      <c r="J3566" s="5"/>
      <c r="K3566" s="5"/>
      <c r="L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  <c r="W3566" s="5"/>
      <c r="X3566" s="5"/>
      <c r="Y3566" s="5"/>
      <c r="Z3566" s="5"/>
      <c r="AA3566" s="5"/>
      <c r="AC3566" t="e">
        <f ca="1">RANK(AB3566,OFFSET($AB$2,0,0,#REF!,1))</f>
        <v>#REF!</v>
      </c>
      <c r="AD3566" s="4" t="e">
        <f>InsurerSize(#REF!)</f>
        <v>#VALUE!</v>
      </c>
      <c r="AE3566" s="4" t="e">
        <f t="shared" si="67"/>
        <v>#VALUE!</v>
      </c>
    </row>
    <row r="3567" spans="8:31" x14ac:dyDescent="0.2">
      <c r="H3567" s="5"/>
      <c r="I3567" s="5"/>
      <c r="J3567" s="5"/>
      <c r="K3567" s="5"/>
      <c r="L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  <c r="W3567" s="5"/>
      <c r="X3567" s="5"/>
      <c r="Y3567" s="5"/>
      <c r="Z3567" s="5"/>
      <c r="AA3567" s="5"/>
      <c r="AC3567" t="e">
        <f ca="1">RANK(AB3567,OFFSET($AB$2,0,0,#REF!,1))</f>
        <v>#REF!</v>
      </c>
      <c r="AD3567" s="4" t="e">
        <f>InsurerSize(#REF!)</f>
        <v>#VALUE!</v>
      </c>
      <c r="AE3567" s="4" t="e">
        <f t="shared" si="67"/>
        <v>#VALUE!</v>
      </c>
    </row>
    <row r="3568" spans="8:31" x14ac:dyDescent="0.2">
      <c r="H3568" s="5"/>
      <c r="I3568" s="5"/>
      <c r="J3568" s="5"/>
      <c r="K3568" s="5"/>
      <c r="L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  <c r="W3568" s="5"/>
      <c r="X3568" s="5"/>
      <c r="Y3568" s="5"/>
      <c r="Z3568" s="5"/>
      <c r="AA3568" s="5"/>
      <c r="AC3568" t="e">
        <f ca="1">RANK(AB3568,OFFSET($AB$2,0,0,#REF!,1))</f>
        <v>#REF!</v>
      </c>
      <c r="AD3568" s="4" t="e">
        <f>InsurerSize(#REF!)</f>
        <v>#VALUE!</v>
      </c>
      <c r="AE3568" s="4" t="e">
        <f t="shared" si="67"/>
        <v>#VALUE!</v>
      </c>
    </row>
    <row r="3569" spans="8:31" x14ac:dyDescent="0.2">
      <c r="H3569" s="5"/>
      <c r="I3569" s="5"/>
      <c r="J3569" s="5"/>
      <c r="K3569" s="5"/>
      <c r="L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5"/>
      <c r="Z3569" s="5"/>
      <c r="AA3569" s="5"/>
      <c r="AC3569" t="e">
        <f ca="1">RANK(AB3569,OFFSET($AB$2,0,0,#REF!,1))</f>
        <v>#REF!</v>
      </c>
      <c r="AD3569" s="4" t="e">
        <f>InsurerSize(#REF!)</f>
        <v>#VALUE!</v>
      </c>
      <c r="AE3569" s="4" t="e">
        <f t="shared" si="67"/>
        <v>#VALUE!</v>
      </c>
    </row>
    <row r="3570" spans="8:31" x14ac:dyDescent="0.2">
      <c r="H3570" s="5"/>
      <c r="I3570" s="5"/>
      <c r="J3570" s="5"/>
      <c r="K3570" s="5"/>
      <c r="L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  <c r="W3570" s="5"/>
      <c r="X3570" s="5"/>
      <c r="Y3570" s="5"/>
      <c r="Z3570" s="5"/>
      <c r="AA3570" s="5"/>
      <c r="AC3570" t="e">
        <f ca="1">RANK(AB3570,OFFSET($AB$2,0,0,#REF!,1))</f>
        <v>#REF!</v>
      </c>
      <c r="AD3570" s="4" t="e">
        <f>InsurerSize(#REF!)</f>
        <v>#VALUE!</v>
      </c>
      <c r="AE3570" s="4" t="e">
        <f t="shared" si="67"/>
        <v>#VALUE!</v>
      </c>
    </row>
    <row r="3571" spans="8:31" x14ac:dyDescent="0.2">
      <c r="H3571" s="5"/>
      <c r="I3571" s="5"/>
      <c r="J3571" s="5"/>
      <c r="K3571" s="5"/>
      <c r="L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  <c r="W3571" s="5"/>
      <c r="X3571" s="5"/>
      <c r="Y3571" s="5"/>
      <c r="Z3571" s="5"/>
      <c r="AA3571" s="5"/>
      <c r="AC3571" t="e">
        <f ca="1">RANK(AB3571,OFFSET($AB$2,0,0,#REF!,1))</f>
        <v>#REF!</v>
      </c>
      <c r="AD3571" s="4" t="e">
        <f>InsurerSize(#REF!)</f>
        <v>#VALUE!</v>
      </c>
      <c r="AE3571" s="4" t="e">
        <f t="shared" si="67"/>
        <v>#VALUE!</v>
      </c>
    </row>
    <row r="3572" spans="8:31" x14ac:dyDescent="0.2">
      <c r="H3572" s="5"/>
      <c r="I3572" s="5"/>
      <c r="J3572" s="5"/>
      <c r="K3572" s="5"/>
      <c r="L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  <c r="W3572" s="5"/>
      <c r="X3572" s="5"/>
      <c r="Y3572" s="5"/>
      <c r="Z3572" s="5"/>
      <c r="AA3572" s="5"/>
      <c r="AC3572" t="e">
        <f ca="1">RANK(AB3572,OFFSET($AB$2,0,0,#REF!,1))</f>
        <v>#REF!</v>
      </c>
      <c r="AD3572" s="4" t="e">
        <f>InsurerSize(#REF!)</f>
        <v>#VALUE!</v>
      </c>
      <c r="AE3572" s="4" t="e">
        <f t="shared" si="67"/>
        <v>#VALUE!</v>
      </c>
    </row>
    <row r="3573" spans="8:31" x14ac:dyDescent="0.2">
      <c r="H3573" s="5"/>
      <c r="I3573" s="5"/>
      <c r="J3573" s="5"/>
      <c r="K3573" s="5"/>
      <c r="L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  <c r="W3573" s="5"/>
      <c r="X3573" s="5"/>
      <c r="Y3573" s="5"/>
      <c r="Z3573" s="5"/>
      <c r="AA3573" s="5"/>
      <c r="AC3573" t="e">
        <f ca="1">RANK(AB3573,OFFSET($AB$2,0,0,#REF!,1))</f>
        <v>#REF!</v>
      </c>
      <c r="AD3573" s="4" t="e">
        <f>InsurerSize(#REF!)</f>
        <v>#VALUE!</v>
      </c>
      <c r="AE3573" s="4" t="e">
        <f t="shared" si="67"/>
        <v>#VALUE!</v>
      </c>
    </row>
    <row r="3574" spans="8:31" x14ac:dyDescent="0.2">
      <c r="H3574" s="5"/>
      <c r="I3574" s="5"/>
      <c r="J3574" s="5"/>
      <c r="K3574" s="5"/>
      <c r="L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  <c r="W3574" s="5"/>
      <c r="X3574" s="5"/>
      <c r="Y3574" s="5"/>
      <c r="Z3574" s="5"/>
      <c r="AA3574" s="5"/>
      <c r="AC3574" t="e">
        <f ca="1">RANK(AB3574,OFFSET($AB$2,0,0,#REF!,1))</f>
        <v>#REF!</v>
      </c>
      <c r="AD3574" s="4" t="e">
        <f>InsurerSize(#REF!)</f>
        <v>#VALUE!</v>
      </c>
      <c r="AE3574" s="4" t="e">
        <f t="shared" si="67"/>
        <v>#VALUE!</v>
      </c>
    </row>
    <row r="3575" spans="8:31" x14ac:dyDescent="0.2">
      <c r="H3575" s="5"/>
      <c r="I3575" s="5"/>
      <c r="J3575" s="5"/>
      <c r="K3575" s="5"/>
      <c r="L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  <c r="W3575" s="5"/>
      <c r="X3575" s="5"/>
      <c r="Y3575" s="5"/>
      <c r="Z3575" s="5"/>
      <c r="AA3575" s="5"/>
      <c r="AC3575" t="e">
        <f ca="1">RANK(AB3575,OFFSET($AB$2,0,0,#REF!,1))</f>
        <v>#REF!</v>
      </c>
      <c r="AD3575" s="4" t="e">
        <f>InsurerSize(#REF!)</f>
        <v>#VALUE!</v>
      </c>
      <c r="AE3575" s="4" t="e">
        <f t="shared" si="67"/>
        <v>#VALUE!</v>
      </c>
    </row>
    <row r="3576" spans="8:31" x14ac:dyDescent="0.2">
      <c r="H3576" s="5"/>
      <c r="I3576" s="5"/>
      <c r="J3576" s="5"/>
      <c r="K3576" s="5"/>
      <c r="L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  <c r="W3576" s="5"/>
      <c r="X3576" s="5"/>
      <c r="Y3576" s="5"/>
      <c r="Z3576" s="5"/>
      <c r="AA3576" s="5"/>
      <c r="AC3576" t="e">
        <f ca="1">RANK(AB3576,OFFSET($AB$2,0,0,#REF!,1))</f>
        <v>#REF!</v>
      </c>
      <c r="AD3576" s="4" t="e">
        <f>InsurerSize(#REF!)</f>
        <v>#VALUE!</v>
      </c>
      <c r="AE3576" s="4" t="e">
        <f t="shared" si="67"/>
        <v>#VALUE!</v>
      </c>
    </row>
    <row r="3577" spans="8:31" x14ac:dyDescent="0.2">
      <c r="H3577" s="5"/>
      <c r="I3577" s="5"/>
      <c r="J3577" s="5"/>
      <c r="K3577" s="5"/>
      <c r="L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  <c r="W3577" s="5"/>
      <c r="X3577" s="5"/>
      <c r="Y3577" s="5"/>
      <c r="Z3577" s="5"/>
      <c r="AA3577" s="5"/>
      <c r="AC3577" t="e">
        <f ca="1">RANK(AB3577,OFFSET($AB$2,0,0,#REF!,1))</f>
        <v>#REF!</v>
      </c>
      <c r="AD3577" s="4" t="e">
        <f>InsurerSize(#REF!)</f>
        <v>#VALUE!</v>
      </c>
      <c r="AE3577" s="4" t="e">
        <f t="shared" si="67"/>
        <v>#VALUE!</v>
      </c>
    </row>
    <row r="3578" spans="8:31" x14ac:dyDescent="0.2">
      <c r="H3578" s="5"/>
      <c r="I3578" s="5"/>
      <c r="J3578" s="5"/>
      <c r="K3578" s="5"/>
      <c r="L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  <c r="W3578" s="5"/>
      <c r="X3578" s="5"/>
      <c r="Y3578" s="5"/>
      <c r="Z3578" s="5"/>
      <c r="AA3578" s="5"/>
      <c r="AC3578" t="e">
        <f ca="1">RANK(AB3578,OFFSET($AB$2,0,0,#REF!,1))</f>
        <v>#REF!</v>
      </c>
      <c r="AD3578" s="4" t="e">
        <f>InsurerSize(#REF!)</f>
        <v>#VALUE!</v>
      </c>
      <c r="AE3578" s="4" t="e">
        <f t="shared" si="67"/>
        <v>#VALUE!</v>
      </c>
    </row>
    <row r="3579" spans="8:31" x14ac:dyDescent="0.2">
      <c r="H3579" s="5"/>
      <c r="I3579" s="5"/>
      <c r="J3579" s="5"/>
      <c r="K3579" s="5"/>
      <c r="L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  <c r="W3579" s="5"/>
      <c r="X3579" s="5"/>
      <c r="Y3579" s="5"/>
      <c r="Z3579" s="5"/>
      <c r="AA3579" s="5"/>
      <c r="AC3579" t="e">
        <f ca="1">RANK(AB3579,OFFSET($AB$2,0,0,#REF!,1))</f>
        <v>#REF!</v>
      </c>
      <c r="AD3579" s="4" t="e">
        <f>InsurerSize(#REF!)</f>
        <v>#VALUE!</v>
      </c>
      <c r="AE3579" s="4" t="e">
        <f t="shared" si="67"/>
        <v>#VALUE!</v>
      </c>
    </row>
    <row r="3580" spans="8:31" x14ac:dyDescent="0.2">
      <c r="H3580" s="5"/>
      <c r="I3580" s="5"/>
      <c r="J3580" s="5"/>
      <c r="K3580" s="5"/>
      <c r="L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  <c r="W3580" s="5"/>
      <c r="X3580" s="5"/>
      <c r="Y3580" s="5"/>
      <c r="Z3580" s="5"/>
      <c r="AA3580" s="5"/>
      <c r="AC3580" t="e">
        <f ca="1">RANK(AB3580,OFFSET($AB$2,0,0,#REF!,1))</f>
        <v>#REF!</v>
      </c>
      <c r="AD3580" s="4" t="e">
        <f>InsurerSize(#REF!)</f>
        <v>#VALUE!</v>
      </c>
      <c r="AE3580" s="4" t="e">
        <f t="shared" si="67"/>
        <v>#VALUE!</v>
      </c>
    </row>
    <row r="3581" spans="8:31" x14ac:dyDescent="0.2">
      <c r="H3581" s="5"/>
      <c r="I3581" s="5"/>
      <c r="J3581" s="5"/>
      <c r="K3581" s="5"/>
      <c r="L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  <c r="W3581" s="5"/>
      <c r="X3581" s="5"/>
      <c r="Y3581" s="5"/>
      <c r="Z3581" s="5"/>
      <c r="AA3581" s="5"/>
      <c r="AC3581" t="e">
        <f ca="1">RANK(AB3581,OFFSET($AB$2,0,0,#REF!,1))</f>
        <v>#REF!</v>
      </c>
      <c r="AD3581" s="4" t="e">
        <f>InsurerSize(#REF!)</f>
        <v>#VALUE!</v>
      </c>
      <c r="AE3581" s="4" t="e">
        <f t="shared" si="67"/>
        <v>#VALUE!</v>
      </c>
    </row>
    <row r="3582" spans="8:31" x14ac:dyDescent="0.2">
      <c r="H3582" s="5"/>
      <c r="I3582" s="5"/>
      <c r="J3582" s="5"/>
      <c r="K3582" s="5"/>
      <c r="L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  <c r="W3582" s="5"/>
      <c r="X3582" s="5"/>
      <c r="Y3582" s="5"/>
      <c r="Z3582" s="5"/>
      <c r="AA3582" s="5"/>
      <c r="AC3582" t="e">
        <f ca="1">RANK(AB3582,OFFSET($AB$2,0,0,#REF!,1))</f>
        <v>#REF!</v>
      </c>
      <c r="AD3582" s="4" t="e">
        <f>InsurerSize(#REF!)</f>
        <v>#VALUE!</v>
      </c>
      <c r="AE3582" s="4" t="e">
        <f t="shared" si="67"/>
        <v>#VALUE!</v>
      </c>
    </row>
    <row r="3583" spans="8:31" x14ac:dyDescent="0.2">
      <c r="H3583" s="5"/>
      <c r="I3583" s="5"/>
      <c r="J3583" s="5"/>
      <c r="K3583" s="5"/>
      <c r="L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  <c r="W3583" s="5"/>
      <c r="X3583" s="5"/>
      <c r="Y3583" s="5"/>
      <c r="Z3583" s="5"/>
      <c r="AA3583" s="5"/>
      <c r="AC3583" t="e">
        <f ca="1">RANK(AB3583,OFFSET($AB$2,0,0,#REF!,1))</f>
        <v>#REF!</v>
      </c>
      <c r="AD3583" s="4" t="e">
        <f>InsurerSize(#REF!)</f>
        <v>#VALUE!</v>
      </c>
      <c r="AE3583" s="4" t="e">
        <f t="shared" si="67"/>
        <v>#VALUE!</v>
      </c>
    </row>
    <row r="3584" spans="8:31" x14ac:dyDescent="0.2">
      <c r="H3584" s="5"/>
      <c r="I3584" s="5"/>
      <c r="J3584" s="5"/>
      <c r="K3584" s="5"/>
      <c r="L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  <c r="W3584" s="5"/>
      <c r="X3584" s="5"/>
      <c r="Y3584" s="5"/>
      <c r="Z3584" s="5"/>
      <c r="AA3584" s="5"/>
      <c r="AC3584" t="e">
        <f ca="1">RANK(AB3584,OFFSET($AB$2,0,0,#REF!,1))</f>
        <v>#REF!</v>
      </c>
      <c r="AD3584" s="4" t="e">
        <f>InsurerSize(#REF!)</f>
        <v>#VALUE!</v>
      </c>
      <c r="AE3584" s="4" t="e">
        <f t="shared" si="67"/>
        <v>#VALUE!</v>
      </c>
    </row>
    <row r="3585" spans="8:31" x14ac:dyDescent="0.2">
      <c r="H3585" s="5"/>
      <c r="I3585" s="5"/>
      <c r="J3585" s="5"/>
      <c r="K3585" s="5"/>
      <c r="L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  <c r="W3585" s="5"/>
      <c r="X3585" s="5"/>
      <c r="Y3585" s="5"/>
      <c r="Z3585" s="5"/>
      <c r="AA3585" s="5"/>
      <c r="AC3585" t="e">
        <f ca="1">RANK(AB3585,OFFSET($AB$2,0,0,#REF!,1))</f>
        <v>#REF!</v>
      </c>
      <c r="AD3585" s="4" t="e">
        <f>InsurerSize(#REF!)</f>
        <v>#VALUE!</v>
      </c>
      <c r="AE3585" s="4" t="e">
        <f t="shared" si="67"/>
        <v>#VALUE!</v>
      </c>
    </row>
    <row r="3586" spans="8:31" x14ac:dyDescent="0.2">
      <c r="H3586" s="5"/>
      <c r="I3586" s="5"/>
      <c r="J3586" s="5"/>
      <c r="K3586" s="5"/>
      <c r="L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  <c r="W3586" s="5"/>
      <c r="X3586" s="5"/>
      <c r="Y3586" s="5"/>
      <c r="Z3586" s="5"/>
      <c r="AA3586" s="5"/>
      <c r="AC3586" t="e">
        <f ca="1">RANK(AB3586,OFFSET($AB$2,0,0,#REF!,1))</f>
        <v>#REF!</v>
      </c>
      <c r="AD3586" s="4" t="e">
        <f>InsurerSize(#REF!)</f>
        <v>#VALUE!</v>
      </c>
      <c r="AE3586" s="4" t="e">
        <f t="shared" ref="AE3586:AE3649" si="68">A3586&amp;AD3586</f>
        <v>#VALUE!</v>
      </c>
    </row>
    <row r="3587" spans="8:31" x14ac:dyDescent="0.2">
      <c r="H3587" s="5"/>
      <c r="I3587" s="5"/>
      <c r="J3587" s="5"/>
      <c r="K3587" s="5"/>
      <c r="L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  <c r="W3587" s="5"/>
      <c r="X3587" s="5"/>
      <c r="Y3587" s="5"/>
      <c r="Z3587" s="5"/>
      <c r="AA3587" s="5"/>
      <c r="AC3587" t="e">
        <f ca="1">RANK(AB3587,OFFSET($AB$2,0,0,#REF!,1))</f>
        <v>#REF!</v>
      </c>
      <c r="AD3587" s="4" t="e">
        <f>InsurerSize(#REF!)</f>
        <v>#VALUE!</v>
      </c>
      <c r="AE3587" s="4" t="e">
        <f t="shared" si="68"/>
        <v>#VALUE!</v>
      </c>
    </row>
    <row r="3588" spans="8:31" x14ac:dyDescent="0.2">
      <c r="H3588" s="5"/>
      <c r="I3588" s="5"/>
      <c r="J3588" s="5"/>
      <c r="K3588" s="5"/>
      <c r="L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  <c r="W3588" s="5"/>
      <c r="X3588" s="5"/>
      <c r="Y3588" s="5"/>
      <c r="Z3588" s="5"/>
      <c r="AA3588" s="5"/>
      <c r="AC3588" t="e">
        <f ca="1">RANK(AB3588,OFFSET($AB$2,0,0,#REF!,1))</f>
        <v>#REF!</v>
      </c>
      <c r="AD3588" s="4" t="e">
        <f>InsurerSize(#REF!)</f>
        <v>#VALUE!</v>
      </c>
      <c r="AE3588" s="4" t="e">
        <f t="shared" si="68"/>
        <v>#VALUE!</v>
      </c>
    </row>
    <row r="3589" spans="8:31" x14ac:dyDescent="0.2">
      <c r="H3589" s="5"/>
      <c r="I3589" s="5"/>
      <c r="J3589" s="5"/>
      <c r="K3589" s="5"/>
      <c r="L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  <c r="W3589" s="5"/>
      <c r="X3589" s="5"/>
      <c r="Y3589" s="5"/>
      <c r="Z3589" s="5"/>
      <c r="AA3589" s="5"/>
      <c r="AC3589" t="e">
        <f ca="1">RANK(AB3589,OFFSET($AB$2,0,0,#REF!,1))</f>
        <v>#REF!</v>
      </c>
      <c r="AD3589" s="4" t="e">
        <f>InsurerSize(#REF!)</f>
        <v>#VALUE!</v>
      </c>
      <c r="AE3589" s="4" t="e">
        <f t="shared" si="68"/>
        <v>#VALUE!</v>
      </c>
    </row>
    <row r="3590" spans="8:31" x14ac:dyDescent="0.2">
      <c r="H3590" s="5"/>
      <c r="I3590" s="5"/>
      <c r="J3590" s="5"/>
      <c r="K3590" s="5"/>
      <c r="L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  <c r="W3590" s="5"/>
      <c r="X3590" s="5"/>
      <c r="Y3590" s="5"/>
      <c r="Z3590" s="5"/>
      <c r="AA3590" s="5"/>
      <c r="AC3590" t="e">
        <f ca="1">RANK(AB3590,OFFSET($AB$2,0,0,#REF!,1))</f>
        <v>#REF!</v>
      </c>
      <c r="AD3590" s="4" t="e">
        <f>InsurerSize(#REF!)</f>
        <v>#VALUE!</v>
      </c>
      <c r="AE3590" s="4" t="e">
        <f t="shared" si="68"/>
        <v>#VALUE!</v>
      </c>
    </row>
    <row r="3591" spans="8:31" x14ac:dyDescent="0.2">
      <c r="H3591" s="5"/>
      <c r="I3591" s="5"/>
      <c r="J3591" s="5"/>
      <c r="K3591" s="5"/>
      <c r="L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  <c r="W3591" s="5"/>
      <c r="X3591" s="5"/>
      <c r="Y3591" s="5"/>
      <c r="Z3591" s="5"/>
      <c r="AA3591" s="5"/>
      <c r="AC3591" t="e">
        <f ca="1">RANK(AB3591,OFFSET($AB$2,0,0,#REF!,1))</f>
        <v>#REF!</v>
      </c>
      <c r="AD3591" s="4" t="e">
        <f>InsurerSize(#REF!)</f>
        <v>#VALUE!</v>
      </c>
      <c r="AE3591" s="4" t="e">
        <f t="shared" si="68"/>
        <v>#VALUE!</v>
      </c>
    </row>
    <row r="3592" spans="8:31" x14ac:dyDescent="0.2">
      <c r="H3592" s="5"/>
      <c r="I3592" s="5"/>
      <c r="J3592" s="5"/>
      <c r="K3592" s="5"/>
      <c r="L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  <c r="W3592" s="5"/>
      <c r="X3592" s="5"/>
      <c r="Y3592" s="5"/>
      <c r="Z3592" s="5"/>
      <c r="AA3592" s="5"/>
      <c r="AC3592" t="e">
        <f ca="1">RANK(AB3592,OFFSET($AB$2,0,0,#REF!,1))</f>
        <v>#REF!</v>
      </c>
      <c r="AD3592" s="4" t="e">
        <f>InsurerSize(#REF!)</f>
        <v>#VALUE!</v>
      </c>
      <c r="AE3592" s="4" t="e">
        <f t="shared" si="68"/>
        <v>#VALUE!</v>
      </c>
    </row>
    <row r="3593" spans="8:31" x14ac:dyDescent="0.2">
      <c r="H3593" s="5"/>
      <c r="I3593" s="5"/>
      <c r="J3593" s="5"/>
      <c r="K3593" s="5"/>
      <c r="L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  <c r="W3593" s="5"/>
      <c r="X3593" s="5"/>
      <c r="Y3593" s="5"/>
      <c r="Z3593" s="5"/>
      <c r="AA3593" s="5"/>
      <c r="AC3593" t="e">
        <f ca="1">RANK(AB3593,OFFSET($AB$2,0,0,#REF!,1))</f>
        <v>#REF!</v>
      </c>
      <c r="AD3593" s="4" t="e">
        <f>InsurerSize(#REF!)</f>
        <v>#VALUE!</v>
      </c>
      <c r="AE3593" s="4" t="e">
        <f t="shared" si="68"/>
        <v>#VALUE!</v>
      </c>
    </row>
    <row r="3594" spans="8:31" x14ac:dyDescent="0.2">
      <c r="H3594" s="5"/>
      <c r="I3594" s="5"/>
      <c r="J3594" s="5"/>
      <c r="K3594" s="5"/>
      <c r="L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  <c r="W3594" s="5"/>
      <c r="X3594" s="5"/>
      <c r="Y3594" s="5"/>
      <c r="Z3594" s="5"/>
      <c r="AA3594" s="5"/>
      <c r="AC3594" t="e">
        <f ca="1">RANK(AB3594,OFFSET($AB$2,0,0,#REF!,1))</f>
        <v>#REF!</v>
      </c>
      <c r="AD3594" s="4" t="e">
        <f>InsurerSize(#REF!)</f>
        <v>#VALUE!</v>
      </c>
      <c r="AE3594" s="4" t="e">
        <f t="shared" si="68"/>
        <v>#VALUE!</v>
      </c>
    </row>
    <row r="3595" spans="8:31" x14ac:dyDescent="0.2">
      <c r="H3595" s="5"/>
      <c r="I3595" s="5"/>
      <c r="J3595" s="5"/>
      <c r="K3595" s="5"/>
      <c r="L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  <c r="W3595" s="5"/>
      <c r="X3595" s="5"/>
      <c r="Y3595" s="5"/>
      <c r="Z3595" s="5"/>
      <c r="AA3595" s="5"/>
      <c r="AC3595" t="e">
        <f ca="1">RANK(AB3595,OFFSET($AB$2,0,0,#REF!,1))</f>
        <v>#REF!</v>
      </c>
      <c r="AD3595" s="4" t="e">
        <f>InsurerSize(#REF!)</f>
        <v>#VALUE!</v>
      </c>
      <c r="AE3595" s="4" t="e">
        <f t="shared" si="68"/>
        <v>#VALUE!</v>
      </c>
    </row>
    <row r="3596" spans="8:31" x14ac:dyDescent="0.2">
      <c r="H3596" s="5"/>
      <c r="I3596" s="5"/>
      <c r="J3596" s="5"/>
      <c r="K3596" s="5"/>
      <c r="L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  <c r="W3596" s="5"/>
      <c r="X3596" s="5"/>
      <c r="Y3596" s="5"/>
      <c r="Z3596" s="5"/>
      <c r="AA3596" s="5"/>
      <c r="AC3596" t="e">
        <f ca="1">RANK(AB3596,OFFSET($AB$2,0,0,#REF!,1))</f>
        <v>#REF!</v>
      </c>
      <c r="AD3596" s="4" t="e">
        <f>InsurerSize(#REF!)</f>
        <v>#VALUE!</v>
      </c>
      <c r="AE3596" s="4" t="e">
        <f t="shared" si="68"/>
        <v>#VALUE!</v>
      </c>
    </row>
    <row r="3597" spans="8:31" x14ac:dyDescent="0.2">
      <c r="H3597" s="5"/>
      <c r="I3597" s="5"/>
      <c r="J3597" s="5"/>
      <c r="K3597" s="5"/>
      <c r="L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  <c r="W3597" s="5"/>
      <c r="X3597" s="5"/>
      <c r="Y3597" s="5"/>
      <c r="Z3597" s="5"/>
      <c r="AA3597" s="5"/>
      <c r="AC3597" t="e">
        <f ca="1">RANK(AB3597,OFFSET($AB$2,0,0,#REF!,1))</f>
        <v>#REF!</v>
      </c>
      <c r="AD3597" s="4" t="e">
        <f>InsurerSize(#REF!)</f>
        <v>#VALUE!</v>
      </c>
      <c r="AE3597" s="4" t="e">
        <f t="shared" si="68"/>
        <v>#VALUE!</v>
      </c>
    </row>
    <row r="3598" spans="8:31" x14ac:dyDescent="0.2">
      <c r="H3598" s="5"/>
      <c r="I3598" s="5"/>
      <c r="J3598" s="5"/>
      <c r="K3598" s="5"/>
      <c r="L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  <c r="W3598" s="5"/>
      <c r="X3598" s="5"/>
      <c r="Y3598" s="5"/>
      <c r="Z3598" s="5"/>
      <c r="AA3598" s="5"/>
      <c r="AC3598" t="e">
        <f ca="1">RANK(AB3598,OFFSET($AB$2,0,0,#REF!,1))</f>
        <v>#REF!</v>
      </c>
      <c r="AD3598" s="4" t="e">
        <f>InsurerSize(#REF!)</f>
        <v>#VALUE!</v>
      </c>
      <c r="AE3598" s="4" t="e">
        <f t="shared" si="68"/>
        <v>#VALUE!</v>
      </c>
    </row>
    <row r="3599" spans="8:31" x14ac:dyDescent="0.2">
      <c r="H3599" s="5"/>
      <c r="I3599" s="5"/>
      <c r="J3599" s="5"/>
      <c r="K3599" s="5"/>
      <c r="L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  <c r="W3599" s="5"/>
      <c r="X3599" s="5"/>
      <c r="Y3599" s="5"/>
      <c r="Z3599" s="5"/>
      <c r="AA3599" s="5"/>
      <c r="AC3599" t="e">
        <f ca="1">RANK(AB3599,OFFSET($AB$2,0,0,#REF!,1))</f>
        <v>#REF!</v>
      </c>
      <c r="AD3599" s="4" t="e">
        <f>InsurerSize(#REF!)</f>
        <v>#VALUE!</v>
      </c>
      <c r="AE3599" s="4" t="e">
        <f t="shared" si="68"/>
        <v>#VALUE!</v>
      </c>
    </row>
    <row r="3600" spans="8:31" x14ac:dyDescent="0.2">
      <c r="H3600" s="5"/>
      <c r="I3600" s="5"/>
      <c r="J3600" s="5"/>
      <c r="K3600" s="5"/>
      <c r="L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  <c r="W3600" s="5"/>
      <c r="X3600" s="5"/>
      <c r="Y3600" s="5"/>
      <c r="Z3600" s="5"/>
      <c r="AA3600" s="5"/>
      <c r="AC3600" t="e">
        <f ca="1">RANK(AB3600,OFFSET($AB$2,0,0,#REF!,1))</f>
        <v>#REF!</v>
      </c>
      <c r="AD3600" s="4" t="e">
        <f>InsurerSize(#REF!)</f>
        <v>#VALUE!</v>
      </c>
      <c r="AE3600" s="4" t="e">
        <f t="shared" si="68"/>
        <v>#VALUE!</v>
      </c>
    </row>
    <row r="3601" spans="8:31" x14ac:dyDescent="0.2">
      <c r="H3601" s="5"/>
      <c r="I3601" s="5"/>
      <c r="J3601" s="5"/>
      <c r="K3601" s="5"/>
      <c r="L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  <c r="W3601" s="5"/>
      <c r="X3601" s="5"/>
      <c r="Y3601" s="5"/>
      <c r="Z3601" s="5"/>
      <c r="AA3601" s="5"/>
      <c r="AC3601" t="e">
        <f ca="1">RANK(AB3601,OFFSET($AB$2,0,0,#REF!,1))</f>
        <v>#REF!</v>
      </c>
      <c r="AD3601" s="4" t="e">
        <f>InsurerSize(#REF!)</f>
        <v>#VALUE!</v>
      </c>
      <c r="AE3601" s="4" t="e">
        <f t="shared" si="68"/>
        <v>#VALUE!</v>
      </c>
    </row>
    <row r="3602" spans="8:31" x14ac:dyDescent="0.2">
      <c r="H3602" s="5"/>
      <c r="I3602" s="5"/>
      <c r="J3602" s="5"/>
      <c r="K3602" s="5"/>
      <c r="L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  <c r="W3602" s="5"/>
      <c r="X3602" s="5"/>
      <c r="Y3602" s="5"/>
      <c r="Z3602" s="5"/>
      <c r="AA3602" s="5"/>
      <c r="AC3602" t="e">
        <f ca="1">RANK(AB3602,OFFSET($AB$2,0,0,#REF!,1))</f>
        <v>#REF!</v>
      </c>
      <c r="AD3602" s="4" t="e">
        <f>InsurerSize(#REF!)</f>
        <v>#VALUE!</v>
      </c>
      <c r="AE3602" s="4" t="e">
        <f t="shared" si="68"/>
        <v>#VALUE!</v>
      </c>
    </row>
    <row r="3603" spans="8:31" x14ac:dyDescent="0.2">
      <c r="H3603" s="5"/>
      <c r="I3603" s="5"/>
      <c r="J3603" s="5"/>
      <c r="K3603" s="5"/>
      <c r="L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  <c r="W3603" s="5"/>
      <c r="X3603" s="5"/>
      <c r="Y3603" s="5"/>
      <c r="Z3603" s="5"/>
      <c r="AA3603" s="5"/>
      <c r="AC3603" t="e">
        <f ca="1">RANK(AB3603,OFFSET($AB$2,0,0,#REF!,1))</f>
        <v>#REF!</v>
      </c>
      <c r="AD3603" s="4" t="e">
        <f>InsurerSize(#REF!)</f>
        <v>#VALUE!</v>
      </c>
      <c r="AE3603" s="4" t="e">
        <f t="shared" si="68"/>
        <v>#VALUE!</v>
      </c>
    </row>
    <row r="3604" spans="8:31" x14ac:dyDescent="0.2">
      <c r="H3604" s="5"/>
      <c r="I3604" s="5"/>
      <c r="J3604" s="5"/>
      <c r="K3604" s="5"/>
      <c r="L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  <c r="W3604" s="5"/>
      <c r="X3604" s="5"/>
      <c r="Y3604" s="5"/>
      <c r="Z3604" s="5"/>
      <c r="AA3604" s="5"/>
      <c r="AC3604" t="e">
        <f ca="1">RANK(AB3604,OFFSET($AB$2,0,0,#REF!,1))</f>
        <v>#REF!</v>
      </c>
      <c r="AD3604" s="4" t="e">
        <f>InsurerSize(#REF!)</f>
        <v>#VALUE!</v>
      </c>
      <c r="AE3604" s="4" t="e">
        <f t="shared" si="68"/>
        <v>#VALUE!</v>
      </c>
    </row>
    <row r="3605" spans="8:31" x14ac:dyDescent="0.2">
      <c r="H3605" s="5"/>
      <c r="I3605" s="5"/>
      <c r="J3605" s="5"/>
      <c r="K3605" s="5"/>
      <c r="L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5"/>
      <c r="Z3605" s="5"/>
      <c r="AA3605" s="5"/>
      <c r="AC3605" t="e">
        <f ca="1">RANK(AB3605,OFFSET($AB$2,0,0,#REF!,1))</f>
        <v>#REF!</v>
      </c>
      <c r="AD3605" s="4" t="e">
        <f>InsurerSize(#REF!)</f>
        <v>#VALUE!</v>
      </c>
      <c r="AE3605" s="4" t="e">
        <f t="shared" si="68"/>
        <v>#VALUE!</v>
      </c>
    </row>
    <row r="3606" spans="8:31" x14ac:dyDescent="0.2">
      <c r="H3606" s="5"/>
      <c r="I3606" s="5"/>
      <c r="J3606" s="5"/>
      <c r="K3606" s="5"/>
      <c r="L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  <c r="W3606" s="5"/>
      <c r="X3606" s="5"/>
      <c r="Y3606" s="5"/>
      <c r="Z3606" s="5"/>
      <c r="AA3606" s="5"/>
      <c r="AC3606" t="e">
        <f ca="1">RANK(AB3606,OFFSET($AB$2,0,0,#REF!,1))</f>
        <v>#REF!</v>
      </c>
      <c r="AD3606" s="4" t="e">
        <f>InsurerSize(#REF!)</f>
        <v>#VALUE!</v>
      </c>
      <c r="AE3606" s="4" t="e">
        <f t="shared" si="68"/>
        <v>#VALUE!</v>
      </c>
    </row>
    <row r="3607" spans="8:31" x14ac:dyDescent="0.2">
      <c r="H3607" s="5"/>
      <c r="I3607" s="5"/>
      <c r="J3607" s="5"/>
      <c r="K3607" s="5"/>
      <c r="L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  <c r="W3607" s="5"/>
      <c r="X3607" s="5"/>
      <c r="Y3607" s="5"/>
      <c r="Z3607" s="5"/>
      <c r="AA3607" s="5"/>
      <c r="AC3607" t="e">
        <f ca="1">RANK(AB3607,OFFSET($AB$2,0,0,#REF!,1))</f>
        <v>#REF!</v>
      </c>
      <c r="AD3607" s="4" t="e">
        <f>InsurerSize(#REF!)</f>
        <v>#VALUE!</v>
      </c>
      <c r="AE3607" s="4" t="e">
        <f t="shared" si="68"/>
        <v>#VALUE!</v>
      </c>
    </row>
    <row r="3608" spans="8:31" x14ac:dyDescent="0.2">
      <c r="H3608" s="5"/>
      <c r="I3608" s="5"/>
      <c r="J3608" s="5"/>
      <c r="K3608" s="5"/>
      <c r="L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  <c r="W3608" s="5"/>
      <c r="X3608" s="5"/>
      <c r="Y3608" s="5"/>
      <c r="Z3608" s="5"/>
      <c r="AA3608" s="5"/>
      <c r="AC3608" t="e">
        <f ca="1">RANK(AB3608,OFFSET($AB$2,0,0,#REF!,1))</f>
        <v>#REF!</v>
      </c>
      <c r="AD3608" s="4" t="e">
        <f>InsurerSize(#REF!)</f>
        <v>#VALUE!</v>
      </c>
      <c r="AE3608" s="4" t="e">
        <f t="shared" si="68"/>
        <v>#VALUE!</v>
      </c>
    </row>
    <row r="3609" spans="8:31" x14ac:dyDescent="0.2">
      <c r="H3609" s="5"/>
      <c r="I3609" s="5"/>
      <c r="J3609" s="5"/>
      <c r="K3609" s="5"/>
      <c r="L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  <c r="W3609" s="5"/>
      <c r="X3609" s="5"/>
      <c r="Y3609" s="5"/>
      <c r="Z3609" s="5"/>
      <c r="AA3609" s="5"/>
      <c r="AC3609" t="e">
        <f ca="1">RANK(AB3609,OFFSET($AB$2,0,0,#REF!,1))</f>
        <v>#REF!</v>
      </c>
      <c r="AD3609" s="4" t="e">
        <f>InsurerSize(#REF!)</f>
        <v>#VALUE!</v>
      </c>
      <c r="AE3609" s="4" t="e">
        <f t="shared" si="68"/>
        <v>#VALUE!</v>
      </c>
    </row>
    <row r="3610" spans="8:31" x14ac:dyDescent="0.2">
      <c r="H3610" s="5"/>
      <c r="I3610" s="5"/>
      <c r="J3610" s="5"/>
      <c r="K3610" s="5"/>
      <c r="L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  <c r="W3610" s="5"/>
      <c r="X3610" s="5"/>
      <c r="Y3610" s="5"/>
      <c r="Z3610" s="5"/>
      <c r="AA3610" s="5"/>
      <c r="AC3610" t="e">
        <f ca="1">RANK(AB3610,OFFSET($AB$2,0,0,#REF!,1))</f>
        <v>#REF!</v>
      </c>
      <c r="AD3610" s="4" t="e">
        <f>InsurerSize(#REF!)</f>
        <v>#VALUE!</v>
      </c>
      <c r="AE3610" s="4" t="e">
        <f t="shared" si="68"/>
        <v>#VALUE!</v>
      </c>
    </row>
    <row r="3611" spans="8:31" x14ac:dyDescent="0.2">
      <c r="H3611" s="5"/>
      <c r="I3611" s="5"/>
      <c r="J3611" s="5"/>
      <c r="K3611" s="5"/>
      <c r="L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  <c r="W3611" s="5"/>
      <c r="X3611" s="5"/>
      <c r="Y3611" s="5"/>
      <c r="Z3611" s="5"/>
      <c r="AA3611" s="5"/>
      <c r="AC3611" t="e">
        <f ca="1">RANK(AB3611,OFFSET($AB$2,0,0,#REF!,1))</f>
        <v>#REF!</v>
      </c>
      <c r="AD3611" s="4" t="e">
        <f>InsurerSize(#REF!)</f>
        <v>#VALUE!</v>
      </c>
      <c r="AE3611" s="4" t="e">
        <f t="shared" si="68"/>
        <v>#VALUE!</v>
      </c>
    </row>
    <row r="3612" spans="8:31" x14ac:dyDescent="0.2">
      <c r="H3612" s="5"/>
      <c r="I3612" s="5"/>
      <c r="J3612" s="5"/>
      <c r="K3612" s="5"/>
      <c r="L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  <c r="W3612" s="5"/>
      <c r="X3612" s="5"/>
      <c r="Y3612" s="5"/>
      <c r="Z3612" s="5"/>
      <c r="AA3612" s="5"/>
      <c r="AC3612" t="e">
        <f ca="1">RANK(AB3612,OFFSET($AB$2,0,0,#REF!,1))</f>
        <v>#REF!</v>
      </c>
      <c r="AD3612" s="4" t="e">
        <f>InsurerSize(#REF!)</f>
        <v>#VALUE!</v>
      </c>
      <c r="AE3612" s="4" t="e">
        <f t="shared" si="68"/>
        <v>#VALUE!</v>
      </c>
    </row>
    <row r="3613" spans="8:31" x14ac:dyDescent="0.2">
      <c r="H3613" s="5"/>
      <c r="I3613" s="5"/>
      <c r="J3613" s="5"/>
      <c r="K3613" s="5"/>
      <c r="L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  <c r="W3613" s="5"/>
      <c r="X3613" s="5"/>
      <c r="Y3613" s="5"/>
      <c r="Z3613" s="5"/>
      <c r="AA3613" s="5"/>
      <c r="AC3613" t="e">
        <f ca="1">RANK(AB3613,OFFSET($AB$2,0,0,#REF!,1))</f>
        <v>#REF!</v>
      </c>
      <c r="AD3613" s="4" t="e">
        <f>InsurerSize(#REF!)</f>
        <v>#VALUE!</v>
      </c>
      <c r="AE3613" s="4" t="e">
        <f t="shared" si="68"/>
        <v>#VALUE!</v>
      </c>
    </row>
    <row r="3614" spans="8:31" x14ac:dyDescent="0.2">
      <c r="H3614" s="5"/>
      <c r="I3614" s="5"/>
      <c r="J3614" s="5"/>
      <c r="K3614" s="5"/>
      <c r="L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  <c r="W3614" s="5"/>
      <c r="X3614" s="5"/>
      <c r="Y3614" s="5"/>
      <c r="Z3614" s="5"/>
      <c r="AA3614" s="5"/>
      <c r="AC3614" t="e">
        <f ca="1">RANK(AB3614,OFFSET($AB$2,0,0,#REF!,1))</f>
        <v>#REF!</v>
      </c>
      <c r="AD3614" s="4" t="e">
        <f>InsurerSize(#REF!)</f>
        <v>#VALUE!</v>
      </c>
      <c r="AE3614" s="4" t="e">
        <f t="shared" si="68"/>
        <v>#VALUE!</v>
      </c>
    </row>
    <row r="3615" spans="8:31" x14ac:dyDescent="0.2">
      <c r="H3615" s="5"/>
      <c r="I3615" s="5"/>
      <c r="J3615" s="5"/>
      <c r="K3615" s="5"/>
      <c r="L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  <c r="W3615" s="5"/>
      <c r="X3615" s="5"/>
      <c r="Y3615" s="5"/>
      <c r="Z3615" s="5"/>
      <c r="AA3615" s="5"/>
      <c r="AC3615" t="e">
        <f ca="1">RANK(AB3615,OFFSET($AB$2,0,0,#REF!,1))</f>
        <v>#REF!</v>
      </c>
      <c r="AD3615" s="4" t="e">
        <f>InsurerSize(#REF!)</f>
        <v>#VALUE!</v>
      </c>
      <c r="AE3615" s="4" t="e">
        <f t="shared" si="68"/>
        <v>#VALUE!</v>
      </c>
    </row>
    <row r="3616" spans="8:31" x14ac:dyDescent="0.2">
      <c r="H3616" s="5"/>
      <c r="I3616" s="5"/>
      <c r="J3616" s="5"/>
      <c r="K3616" s="5"/>
      <c r="L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  <c r="W3616" s="5"/>
      <c r="X3616" s="5"/>
      <c r="Y3616" s="5"/>
      <c r="Z3616" s="5"/>
      <c r="AA3616" s="5"/>
      <c r="AC3616" t="e">
        <f ca="1">RANK(AB3616,OFFSET($AB$2,0,0,#REF!,1))</f>
        <v>#REF!</v>
      </c>
      <c r="AD3616" s="4" t="e">
        <f>InsurerSize(#REF!)</f>
        <v>#VALUE!</v>
      </c>
      <c r="AE3616" s="4" t="e">
        <f t="shared" si="68"/>
        <v>#VALUE!</v>
      </c>
    </row>
    <row r="3617" spans="8:31" x14ac:dyDescent="0.2">
      <c r="H3617" s="5"/>
      <c r="I3617" s="5"/>
      <c r="J3617" s="5"/>
      <c r="K3617" s="5"/>
      <c r="L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  <c r="W3617" s="5"/>
      <c r="X3617" s="5"/>
      <c r="Y3617" s="5"/>
      <c r="Z3617" s="5"/>
      <c r="AA3617" s="5"/>
      <c r="AC3617" t="e">
        <f ca="1">RANK(AB3617,OFFSET($AB$2,0,0,#REF!,1))</f>
        <v>#REF!</v>
      </c>
      <c r="AD3617" s="4" t="e">
        <f>InsurerSize(#REF!)</f>
        <v>#VALUE!</v>
      </c>
      <c r="AE3617" s="4" t="e">
        <f t="shared" si="68"/>
        <v>#VALUE!</v>
      </c>
    </row>
    <row r="3618" spans="8:31" x14ac:dyDescent="0.2">
      <c r="H3618" s="5"/>
      <c r="I3618" s="5"/>
      <c r="J3618" s="5"/>
      <c r="K3618" s="5"/>
      <c r="L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  <c r="W3618" s="5"/>
      <c r="X3618" s="5"/>
      <c r="Y3618" s="5"/>
      <c r="Z3618" s="5"/>
      <c r="AA3618" s="5"/>
      <c r="AC3618" t="e">
        <f ca="1">RANK(AB3618,OFFSET($AB$2,0,0,#REF!,1))</f>
        <v>#REF!</v>
      </c>
      <c r="AD3618" s="4" t="e">
        <f>InsurerSize(#REF!)</f>
        <v>#VALUE!</v>
      </c>
      <c r="AE3618" s="4" t="e">
        <f t="shared" si="68"/>
        <v>#VALUE!</v>
      </c>
    </row>
    <row r="3619" spans="8:31" x14ac:dyDescent="0.2">
      <c r="H3619" s="5"/>
      <c r="I3619" s="5"/>
      <c r="J3619" s="5"/>
      <c r="K3619" s="5"/>
      <c r="L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  <c r="W3619" s="5"/>
      <c r="X3619" s="5"/>
      <c r="Y3619" s="5"/>
      <c r="Z3619" s="5"/>
      <c r="AA3619" s="5"/>
      <c r="AC3619" t="e">
        <f ca="1">RANK(AB3619,OFFSET($AB$2,0,0,#REF!,1))</f>
        <v>#REF!</v>
      </c>
      <c r="AD3619" s="4" t="e">
        <f>InsurerSize(#REF!)</f>
        <v>#VALUE!</v>
      </c>
      <c r="AE3619" s="4" t="e">
        <f t="shared" si="68"/>
        <v>#VALUE!</v>
      </c>
    </row>
    <row r="3620" spans="8:31" x14ac:dyDescent="0.2">
      <c r="H3620" s="5"/>
      <c r="I3620" s="5"/>
      <c r="J3620" s="5"/>
      <c r="K3620" s="5"/>
      <c r="L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  <c r="W3620" s="5"/>
      <c r="X3620" s="5"/>
      <c r="Y3620" s="5"/>
      <c r="Z3620" s="5"/>
      <c r="AA3620" s="5"/>
      <c r="AC3620" t="e">
        <f ca="1">RANK(AB3620,OFFSET($AB$2,0,0,#REF!,1))</f>
        <v>#REF!</v>
      </c>
      <c r="AD3620" s="4" t="e">
        <f>InsurerSize(#REF!)</f>
        <v>#VALUE!</v>
      </c>
      <c r="AE3620" s="4" t="e">
        <f t="shared" si="68"/>
        <v>#VALUE!</v>
      </c>
    </row>
    <row r="3621" spans="8:31" x14ac:dyDescent="0.2">
      <c r="H3621" s="5"/>
      <c r="I3621" s="5"/>
      <c r="J3621" s="5"/>
      <c r="K3621" s="5"/>
      <c r="L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  <c r="W3621" s="5"/>
      <c r="X3621" s="5"/>
      <c r="Y3621" s="5"/>
      <c r="Z3621" s="5"/>
      <c r="AA3621" s="5"/>
      <c r="AC3621" t="e">
        <f ca="1">RANK(AB3621,OFFSET($AB$2,0,0,#REF!,1))</f>
        <v>#REF!</v>
      </c>
      <c r="AD3621" s="4" t="e">
        <f>InsurerSize(#REF!)</f>
        <v>#VALUE!</v>
      </c>
      <c r="AE3621" s="4" t="e">
        <f t="shared" si="68"/>
        <v>#VALUE!</v>
      </c>
    </row>
    <row r="3622" spans="8:31" x14ac:dyDescent="0.2">
      <c r="H3622" s="5"/>
      <c r="I3622" s="5"/>
      <c r="J3622" s="5"/>
      <c r="K3622" s="5"/>
      <c r="L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  <c r="W3622" s="5"/>
      <c r="X3622" s="5"/>
      <c r="Y3622" s="5"/>
      <c r="Z3622" s="5"/>
      <c r="AA3622" s="5"/>
      <c r="AC3622" t="e">
        <f ca="1">RANK(AB3622,OFFSET($AB$2,0,0,#REF!,1))</f>
        <v>#REF!</v>
      </c>
      <c r="AD3622" s="4" t="e">
        <f>InsurerSize(#REF!)</f>
        <v>#VALUE!</v>
      </c>
      <c r="AE3622" s="4" t="e">
        <f t="shared" si="68"/>
        <v>#VALUE!</v>
      </c>
    </row>
    <row r="3623" spans="8:31" x14ac:dyDescent="0.2">
      <c r="H3623" s="5"/>
      <c r="I3623" s="5"/>
      <c r="J3623" s="5"/>
      <c r="K3623" s="5"/>
      <c r="L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  <c r="W3623" s="5"/>
      <c r="X3623" s="5"/>
      <c r="Y3623" s="5"/>
      <c r="Z3623" s="5"/>
      <c r="AA3623" s="5"/>
      <c r="AC3623" t="e">
        <f ca="1">RANK(AB3623,OFFSET($AB$2,0,0,#REF!,1))</f>
        <v>#REF!</v>
      </c>
      <c r="AD3623" s="4" t="e">
        <f>InsurerSize(#REF!)</f>
        <v>#VALUE!</v>
      </c>
      <c r="AE3623" s="4" t="e">
        <f t="shared" si="68"/>
        <v>#VALUE!</v>
      </c>
    </row>
    <row r="3624" spans="8:31" x14ac:dyDescent="0.2">
      <c r="H3624" s="5"/>
      <c r="I3624" s="5"/>
      <c r="J3624" s="5"/>
      <c r="K3624" s="5"/>
      <c r="L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  <c r="W3624" s="5"/>
      <c r="X3624" s="5"/>
      <c r="Y3624" s="5"/>
      <c r="Z3624" s="5"/>
      <c r="AA3624" s="5"/>
      <c r="AC3624" t="e">
        <f ca="1">RANK(AB3624,OFFSET($AB$2,0,0,#REF!,1))</f>
        <v>#REF!</v>
      </c>
      <c r="AD3624" s="4" t="e">
        <f>InsurerSize(#REF!)</f>
        <v>#VALUE!</v>
      </c>
      <c r="AE3624" s="4" t="e">
        <f t="shared" si="68"/>
        <v>#VALUE!</v>
      </c>
    </row>
    <row r="3625" spans="8:31" x14ac:dyDescent="0.2">
      <c r="H3625" s="5"/>
      <c r="I3625" s="5"/>
      <c r="J3625" s="5"/>
      <c r="K3625" s="5"/>
      <c r="L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  <c r="W3625" s="5"/>
      <c r="X3625" s="5"/>
      <c r="Y3625" s="5"/>
      <c r="Z3625" s="5"/>
      <c r="AA3625" s="5"/>
      <c r="AC3625" t="e">
        <f ca="1">RANK(AB3625,OFFSET($AB$2,0,0,#REF!,1))</f>
        <v>#REF!</v>
      </c>
      <c r="AD3625" s="4" t="e">
        <f>InsurerSize(#REF!)</f>
        <v>#VALUE!</v>
      </c>
      <c r="AE3625" s="4" t="e">
        <f t="shared" si="68"/>
        <v>#VALUE!</v>
      </c>
    </row>
    <row r="3626" spans="8:31" x14ac:dyDescent="0.2">
      <c r="H3626" s="5"/>
      <c r="I3626" s="5"/>
      <c r="J3626" s="5"/>
      <c r="K3626" s="5"/>
      <c r="L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  <c r="W3626" s="5"/>
      <c r="X3626" s="5"/>
      <c r="Y3626" s="5"/>
      <c r="Z3626" s="5"/>
      <c r="AA3626" s="5"/>
      <c r="AC3626" t="e">
        <f ca="1">RANK(AB3626,OFFSET($AB$2,0,0,#REF!,1))</f>
        <v>#REF!</v>
      </c>
      <c r="AD3626" s="4" t="e">
        <f>InsurerSize(#REF!)</f>
        <v>#VALUE!</v>
      </c>
      <c r="AE3626" s="4" t="e">
        <f t="shared" si="68"/>
        <v>#VALUE!</v>
      </c>
    </row>
    <row r="3627" spans="8:31" x14ac:dyDescent="0.2">
      <c r="H3627" s="5"/>
      <c r="I3627" s="5"/>
      <c r="J3627" s="5"/>
      <c r="K3627" s="5"/>
      <c r="L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  <c r="W3627" s="5"/>
      <c r="X3627" s="5"/>
      <c r="Y3627" s="5"/>
      <c r="Z3627" s="5"/>
      <c r="AA3627" s="5"/>
      <c r="AC3627" t="e">
        <f ca="1">RANK(AB3627,OFFSET($AB$2,0,0,#REF!,1))</f>
        <v>#REF!</v>
      </c>
      <c r="AD3627" s="4" t="e">
        <f>InsurerSize(#REF!)</f>
        <v>#VALUE!</v>
      </c>
      <c r="AE3627" s="4" t="e">
        <f t="shared" si="68"/>
        <v>#VALUE!</v>
      </c>
    </row>
    <row r="3628" spans="8:31" x14ac:dyDescent="0.2">
      <c r="H3628" s="5"/>
      <c r="I3628" s="5"/>
      <c r="J3628" s="5"/>
      <c r="K3628" s="5"/>
      <c r="L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  <c r="W3628" s="5"/>
      <c r="X3628" s="5"/>
      <c r="Y3628" s="5"/>
      <c r="Z3628" s="5"/>
      <c r="AA3628" s="5"/>
      <c r="AC3628" t="e">
        <f ca="1">RANK(AB3628,OFFSET($AB$2,0,0,#REF!,1))</f>
        <v>#REF!</v>
      </c>
      <c r="AD3628" s="4" t="e">
        <f>InsurerSize(#REF!)</f>
        <v>#VALUE!</v>
      </c>
      <c r="AE3628" s="4" t="e">
        <f t="shared" si="68"/>
        <v>#VALUE!</v>
      </c>
    </row>
    <row r="3629" spans="8:31" x14ac:dyDescent="0.2">
      <c r="H3629" s="5"/>
      <c r="I3629" s="5"/>
      <c r="J3629" s="5"/>
      <c r="K3629" s="5"/>
      <c r="L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  <c r="W3629" s="5"/>
      <c r="X3629" s="5"/>
      <c r="Y3629" s="5"/>
      <c r="Z3629" s="5"/>
      <c r="AA3629" s="5"/>
      <c r="AC3629" t="e">
        <f ca="1">RANK(AB3629,OFFSET($AB$2,0,0,#REF!,1))</f>
        <v>#REF!</v>
      </c>
      <c r="AD3629" s="4" t="e">
        <f>InsurerSize(#REF!)</f>
        <v>#VALUE!</v>
      </c>
      <c r="AE3629" s="4" t="e">
        <f t="shared" si="68"/>
        <v>#VALUE!</v>
      </c>
    </row>
    <row r="3630" spans="8:31" x14ac:dyDescent="0.2">
      <c r="H3630" s="5"/>
      <c r="I3630" s="5"/>
      <c r="J3630" s="5"/>
      <c r="K3630" s="5"/>
      <c r="L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  <c r="W3630" s="5"/>
      <c r="X3630" s="5"/>
      <c r="Y3630" s="5"/>
      <c r="Z3630" s="5"/>
      <c r="AA3630" s="5"/>
      <c r="AC3630" t="e">
        <f ca="1">RANK(AB3630,OFFSET($AB$2,0,0,#REF!,1))</f>
        <v>#REF!</v>
      </c>
      <c r="AD3630" s="4" t="e">
        <f>InsurerSize(#REF!)</f>
        <v>#VALUE!</v>
      </c>
      <c r="AE3630" s="4" t="e">
        <f t="shared" si="68"/>
        <v>#VALUE!</v>
      </c>
    </row>
    <row r="3631" spans="8:31" x14ac:dyDescent="0.2">
      <c r="H3631" s="5"/>
      <c r="I3631" s="5"/>
      <c r="J3631" s="5"/>
      <c r="K3631" s="5"/>
      <c r="L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  <c r="W3631" s="5"/>
      <c r="X3631" s="5"/>
      <c r="Y3631" s="5"/>
      <c r="Z3631" s="5"/>
      <c r="AA3631" s="5"/>
      <c r="AC3631" t="e">
        <f ca="1">RANK(AB3631,OFFSET($AB$2,0,0,#REF!,1))</f>
        <v>#REF!</v>
      </c>
      <c r="AD3631" s="4" t="e">
        <f>InsurerSize(#REF!)</f>
        <v>#VALUE!</v>
      </c>
      <c r="AE3631" s="4" t="e">
        <f t="shared" si="68"/>
        <v>#VALUE!</v>
      </c>
    </row>
    <row r="3632" spans="8:31" x14ac:dyDescent="0.2">
      <c r="H3632" s="5"/>
      <c r="I3632" s="5"/>
      <c r="J3632" s="5"/>
      <c r="K3632" s="5"/>
      <c r="L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  <c r="W3632" s="5"/>
      <c r="X3632" s="5"/>
      <c r="Y3632" s="5"/>
      <c r="Z3632" s="5"/>
      <c r="AA3632" s="5"/>
      <c r="AC3632" t="e">
        <f ca="1">RANK(AB3632,OFFSET($AB$2,0,0,#REF!,1))</f>
        <v>#REF!</v>
      </c>
      <c r="AD3632" s="4" t="e">
        <f>InsurerSize(#REF!)</f>
        <v>#VALUE!</v>
      </c>
      <c r="AE3632" s="4" t="e">
        <f t="shared" si="68"/>
        <v>#VALUE!</v>
      </c>
    </row>
    <row r="3633" spans="8:31" x14ac:dyDescent="0.2">
      <c r="H3633" s="5"/>
      <c r="I3633" s="5"/>
      <c r="J3633" s="5"/>
      <c r="K3633" s="5"/>
      <c r="L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  <c r="W3633" s="5"/>
      <c r="X3633" s="5"/>
      <c r="Y3633" s="5"/>
      <c r="Z3633" s="5"/>
      <c r="AA3633" s="5"/>
      <c r="AC3633" t="e">
        <f ca="1">RANK(AB3633,OFFSET($AB$2,0,0,#REF!,1))</f>
        <v>#REF!</v>
      </c>
      <c r="AD3633" s="4" t="e">
        <f>InsurerSize(#REF!)</f>
        <v>#VALUE!</v>
      </c>
      <c r="AE3633" s="4" t="e">
        <f t="shared" si="68"/>
        <v>#VALUE!</v>
      </c>
    </row>
    <row r="3634" spans="8:31" x14ac:dyDescent="0.2">
      <c r="H3634" s="5"/>
      <c r="I3634" s="5"/>
      <c r="J3634" s="5"/>
      <c r="K3634" s="5"/>
      <c r="L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  <c r="W3634" s="5"/>
      <c r="X3634" s="5"/>
      <c r="Y3634" s="5"/>
      <c r="Z3634" s="5"/>
      <c r="AA3634" s="5"/>
      <c r="AC3634" t="e">
        <f ca="1">RANK(AB3634,OFFSET($AB$2,0,0,#REF!,1))</f>
        <v>#REF!</v>
      </c>
      <c r="AD3634" s="4" t="e">
        <f>InsurerSize(#REF!)</f>
        <v>#VALUE!</v>
      </c>
      <c r="AE3634" s="4" t="e">
        <f t="shared" si="68"/>
        <v>#VALUE!</v>
      </c>
    </row>
    <row r="3635" spans="8:31" x14ac:dyDescent="0.2">
      <c r="H3635" s="5"/>
      <c r="I3635" s="5"/>
      <c r="J3635" s="5"/>
      <c r="K3635" s="5"/>
      <c r="L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  <c r="W3635" s="5"/>
      <c r="X3635" s="5"/>
      <c r="Y3635" s="5"/>
      <c r="Z3635" s="5"/>
      <c r="AA3635" s="5"/>
      <c r="AC3635" t="e">
        <f ca="1">RANK(AB3635,OFFSET($AB$2,0,0,#REF!,1))</f>
        <v>#REF!</v>
      </c>
      <c r="AD3635" s="4" t="e">
        <f>InsurerSize(#REF!)</f>
        <v>#VALUE!</v>
      </c>
      <c r="AE3635" s="4" t="e">
        <f t="shared" si="68"/>
        <v>#VALUE!</v>
      </c>
    </row>
    <row r="3636" spans="8:31" x14ac:dyDescent="0.2">
      <c r="H3636" s="5"/>
      <c r="I3636" s="5"/>
      <c r="J3636" s="5"/>
      <c r="K3636" s="5"/>
      <c r="L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  <c r="W3636" s="5"/>
      <c r="X3636" s="5"/>
      <c r="Y3636" s="5"/>
      <c r="Z3636" s="5"/>
      <c r="AA3636" s="5"/>
      <c r="AC3636" t="e">
        <f ca="1">RANK(AB3636,OFFSET($AB$2,0,0,#REF!,1))</f>
        <v>#REF!</v>
      </c>
      <c r="AD3636" s="4" t="e">
        <f>InsurerSize(#REF!)</f>
        <v>#VALUE!</v>
      </c>
      <c r="AE3636" s="4" t="e">
        <f t="shared" si="68"/>
        <v>#VALUE!</v>
      </c>
    </row>
    <row r="3637" spans="8:31" x14ac:dyDescent="0.2">
      <c r="H3637" s="5"/>
      <c r="I3637" s="5"/>
      <c r="J3637" s="5"/>
      <c r="K3637" s="5"/>
      <c r="L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  <c r="W3637" s="5"/>
      <c r="X3637" s="5"/>
      <c r="Y3637" s="5"/>
      <c r="Z3637" s="5"/>
      <c r="AA3637" s="5"/>
      <c r="AC3637" t="e">
        <f ca="1">RANK(AB3637,OFFSET($AB$2,0,0,#REF!,1))</f>
        <v>#REF!</v>
      </c>
      <c r="AD3637" s="4" t="e">
        <f>InsurerSize(#REF!)</f>
        <v>#VALUE!</v>
      </c>
      <c r="AE3637" s="4" t="e">
        <f t="shared" si="68"/>
        <v>#VALUE!</v>
      </c>
    </row>
    <row r="3638" spans="8:31" x14ac:dyDescent="0.2">
      <c r="H3638" s="5"/>
      <c r="I3638" s="5"/>
      <c r="J3638" s="5"/>
      <c r="K3638" s="5"/>
      <c r="L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  <c r="W3638" s="5"/>
      <c r="X3638" s="5"/>
      <c r="Y3638" s="5"/>
      <c r="Z3638" s="5"/>
      <c r="AA3638" s="5"/>
      <c r="AC3638" t="e">
        <f ca="1">RANK(AB3638,OFFSET($AB$2,0,0,#REF!,1))</f>
        <v>#REF!</v>
      </c>
      <c r="AD3638" s="4" t="e">
        <f>InsurerSize(#REF!)</f>
        <v>#VALUE!</v>
      </c>
      <c r="AE3638" s="4" t="e">
        <f t="shared" si="68"/>
        <v>#VALUE!</v>
      </c>
    </row>
    <row r="3639" spans="8:31" x14ac:dyDescent="0.2">
      <c r="H3639" s="5"/>
      <c r="I3639" s="5"/>
      <c r="J3639" s="5"/>
      <c r="K3639" s="5"/>
      <c r="L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  <c r="W3639" s="5"/>
      <c r="X3639" s="5"/>
      <c r="Y3639" s="5"/>
      <c r="Z3639" s="5"/>
      <c r="AA3639" s="5"/>
      <c r="AC3639" t="e">
        <f ca="1">RANK(AB3639,OFFSET($AB$2,0,0,#REF!,1))</f>
        <v>#REF!</v>
      </c>
      <c r="AD3639" s="4" t="e">
        <f>InsurerSize(#REF!)</f>
        <v>#VALUE!</v>
      </c>
      <c r="AE3639" s="4" t="e">
        <f t="shared" si="68"/>
        <v>#VALUE!</v>
      </c>
    </row>
    <row r="3640" spans="8:31" x14ac:dyDescent="0.2">
      <c r="H3640" s="5"/>
      <c r="I3640" s="5"/>
      <c r="J3640" s="5"/>
      <c r="K3640" s="5"/>
      <c r="L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  <c r="W3640" s="5"/>
      <c r="X3640" s="5"/>
      <c r="Y3640" s="5"/>
      <c r="Z3640" s="5"/>
      <c r="AA3640" s="5"/>
      <c r="AC3640" t="e">
        <f ca="1">RANK(AB3640,OFFSET($AB$2,0,0,#REF!,1))</f>
        <v>#REF!</v>
      </c>
      <c r="AD3640" s="4" t="e">
        <f>InsurerSize(#REF!)</f>
        <v>#VALUE!</v>
      </c>
      <c r="AE3640" s="4" t="e">
        <f t="shared" si="68"/>
        <v>#VALUE!</v>
      </c>
    </row>
    <row r="3641" spans="8:31" x14ac:dyDescent="0.2">
      <c r="H3641" s="5"/>
      <c r="I3641" s="5"/>
      <c r="J3641" s="5"/>
      <c r="K3641" s="5"/>
      <c r="L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5"/>
      <c r="Z3641" s="5"/>
      <c r="AA3641" s="5"/>
      <c r="AC3641" t="e">
        <f ca="1">RANK(AB3641,OFFSET($AB$2,0,0,#REF!,1))</f>
        <v>#REF!</v>
      </c>
      <c r="AD3641" s="4" t="e">
        <f>InsurerSize(#REF!)</f>
        <v>#VALUE!</v>
      </c>
      <c r="AE3641" s="4" t="e">
        <f t="shared" si="68"/>
        <v>#VALUE!</v>
      </c>
    </row>
    <row r="3642" spans="8:31" x14ac:dyDescent="0.2">
      <c r="H3642" s="5"/>
      <c r="I3642" s="5"/>
      <c r="J3642" s="5"/>
      <c r="K3642" s="5"/>
      <c r="L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  <c r="W3642" s="5"/>
      <c r="X3642" s="5"/>
      <c r="Y3642" s="5"/>
      <c r="Z3642" s="5"/>
      <c r="AA3642" s="5"/>
      <c r="AC3642" t="e">
        <f ca="1">RANK(AB3642,OFFSET($AB$2,0,0,#REF!,1))</f>
        <v>#REF!</v>
      </c>
      <c r="AD3642" s="4" t="e">
        <f>InsurerSize(#REF!)</f>
        <v>#VALUE!</v>
      </c>
      <c r="AE3642" s="4" t="e">
        <f t="shared" si="68"/>
        <v>#VALUE!</v>
      </c>
    </row>
    <row r="3643" spans="8:31" x14ac:dyDescent="0.2">
      <c r="H3643" s="5"/>
      <c r="I3643" s="5"/>
      <c r="J3643" s="5"/>
      <c r="K3643" s="5"/>
      <c r="L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  <c r="W3643" s="5"/>
      <c r="X3643" s="5"/>
      <c r="Y3643" s="5"/>
      <c r="Z3643" s="5"/>
      <c r="AA3643" s="5"/>
      <c r="AC3643" t="e">
        <f ca="1">RANK(AB3643,OFFSET($AB$2,0,0,#REF!,1))</f>
        <v>#REF!</v>
      </c>
      <c r="AD3643" s="4" t="e">
        <f>InsurerSize(#REF!)</f>
        <v>#VALUE!</v>
      </c>
      <c r="AE3643" s="4" t="e">
        <f t="shared" si="68"/>
        <v>#VALUE!</v>
      </c>
    </row>
    <row r="3644" spans="8:31" x14ac:dyDescent="0.2">
      <c r="H3644" s="5"/>
      <c r="I3644" s="5"/>
      <c r="J3644" s="5"/>
      <c r="K3644" s="5"/>
      <c r="L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  <c r="W3644" s="5"/>
      <c r="X3644" s="5"/>
      <c r="Y3644" s="5"/>
      <c r="Z3644" s="5"/>
      <c r="AA3644" s="5"/>
      <c r="AC3644" t="e">
        <f ca="1">RANK(AB3644,OFFSET($AB$2,0,0,#REF!,1))</f>
        <v>#REF!</v>
      </c>
      <c r="AD3644" s="4" t="e">
        <f>InsurerSize(#REF!)</f>
        <v>#VALUE!</v>
      </c>
      <c r="AE3644" s="4" t="e">
        <f t="shared" si="68"/>
        <v>#VALUE!</v>
      </c>
    </row>
    <row r="3645" spans="8:31" x14ac:dyDescent="0.2">
      <c r="H3645" s="5"/>
      <c r="I3645" s="5"/>
      <c r="J3645" s="5"/>
      <c r="K3645" s="5"/>
      <c r="L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  <c r="W3645" s="5"/>
      <c r="X3645" s="5"/>
      <c r="Y3645" s="5"/>
      <c r="Z3645" s="5"/>
      <c r="AA3645" s="5"/>
      <c r="AC3645" t="e">
        <f ca="1">RANK(AB3645,OFFSET($AB$2,0,0,#REF!,1))</f>
        <v>#REF!</v>
      </c>
      <c r="AD3645" s="4" t="e">
        <f>InsurerSize(#REF!)</f>
        <v>#VALUE!</v>
      </c>
      <c r="AE3645" s="4" t="e">
        <f t="shared" si="68"/>
        <v>#VALUE!</v>
      </c>
    </row>
    <row r="3646" spans="8:31" x14ac:dyDescent="0.2">
      <c r="H3646" s="5"/>
      <c r="I3646" s="5"/>
      <c r="J3646" s="5"/>
      <c r="K3646" s="5"/>
      <c r="L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  <c r="W3646" s="5"/>
      <c r="X3646" s="5"/>
      <c r="Y3646" s="5"/>
      <c r="Z3646" s="5"/>
      <c r="AA3646" s="5"/>
      <c r="AC3646" t="e">
        <f ca="1">RANK(AB3646,OFFSET($AB$2,0,0,#REF!,1))</f>
        <v>#REF!</v>
      </c>
      <c r="AD3646" s="4" t="e">
        <f>InsurerSize(#REF!)</f>
        <v>#VALUE!</v>
      </c>
      <c r="AE3646" s="4" t="e">
        <f t="shared" si="68"/>
        <v>#VALUE!</v>
      </c>
    </row>
    <row r="3647" spans="8:31" x14ac:dyDescent="0.2">
      <c r="H3647" s="5"/>
      <c r="I3647" s="5"/>
      <c r="J3647" s="5"/>
      <c r="K3647" s="5"/>
      <c r="L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  <c r="W3647" s="5"/>
      <c r="X3647" s="5"/>
      <c r="Y3647" s="5"/>
      <c r="Z3647" s="5"/>
      <c r="AA3647" s="5"/>
      <c r="AC3647" t="e">
        <f ca="1">RANK(AB3647,OFFSET($AB$2,0,0,#REF!,1))</f>
        <v>#REF!</v>
      </c>
      <c r="AD3647" s="4" t="e">
        <f>InsurerSize(#REF!)</f>
        <v>#VALUE!</v>
      </c>
      <c r="AE3647" s="4" t="e">
        <f t="shared" si="68"/>
        <v>#VALUE!</v>
      </c>
    </row>
    <row r="3648" spans="8:31" x14ac:dyDescent="0.2">
      <c r="H3648" s="5"/>
      <c r="I3648" s="5"/>
      <c r="J3648" s="5"/>
      <c r="K3648" s="5"/>
      <c r="L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  <c r="W3648" s="5"/>
      <c r="X3648" s="5"/>
      <c r="Y3648" s="5"/>
      <c r="Z3648" s="5"/>
      <c r="AA3648" s="5"/>
      <c r="AC3648" t="e">
        <f ca="1">RANK(AB3648,OFFSET($AB$2,0,0,#REF!,1))</f>
        <v>#REF!</v>
      </c>
      <c r="AD3648" s="4" t="e">
        <f>InsurerSize(#REF!)</f>
        <v>#VALUE!</v>
      </c>
      <c r="AE3648" s="4" t="e">
        <f t="shared" si="68"/>
        <v>#VALUE!</v>
      </c>
    </row>
    <row r="3649" spans="8:31" x14ac:dyDescent="0.2">
      <c r="H3649" s="5"/>
      <c r="I3649" s="5"/>
      <c r="J3649" s="5"/>
      <c r="K3649" s="5"/>
      <c r="L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  <c r="W3649" s="5"/>
      <c r="X3649" s="5"/>
      <c r="Y3649" s="5"/>
      <c r="Z3649" s="5"/>
      <c r="AA3649" s="5"/>
      <c r="AC3649" t="e">
        <f ca="1">RANK(AB3649,OFFSET($AB$2,0,0,#REF!,1))</f>
        <v>#REF!</v>
      </c>
      <c r="AD3649" s="4" t="e">
        <f>InsurerSize(#REF!)</f>
        <v>#VALUE!</v>
      </c>
      <c r="AE3649" s="4" t="e">
        <f t="shared" si="68"/>
        <v>#VALUE!</v>
      </c>
    </row>
    <row r="3650" spans="8:31" x14ac:dyDescent="0.2">
      <c r="H3650" s="5"/>
      <c r="I3650" s="5"/>
      <c r="J3650" s="5"/>
      <c r="K3650" s="5"/>
      <c r="L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  <c r="W3650" s="5"/>
      <c r="X3650" s="5"/>
      <c r="Y3650" s="5"/>
      <c r="Z3650" s="5"/>
      <c r="AA3650" s="5"/>
      <c r="AC3650" t="e">
        <f ca="1">RANK(AB3650,OFFSET($AB$2,0,0,#REF!,1))</f>
        <v>#REF!</v>
      </c>
      <c r="AD3650" s="4" t="e">
        <f>InsurerSize(#REF!)</f>
        <v>#VALUE!</v>
      </c>
      <c r="AE3650" s="4" t="e">
        <f t="shared" ref="AE3650:AE3713" si="69">A3650&amp;AD3650</f>
        <v>#VALUE!</v>
      </c>
    </row>
    <row r="3651" spans="8:31" x14ac:dyDescent="0.2">
      <c r="H3651" s="5"/>
      <c r="I3651" s="5"/>
      <c r="J3651" s="5"/>
      <c r="K3651" s="5"/>
      <c r="L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  <c r="W3651" s="5"/>
      <c r="X3651" s="5"/>
      <c r="Y3651" s="5"/>
      <c r="Z3651" s="5"/>
      <c r="AA3651" s="5"/>
      <c r="AC3651" t="e">
        <f ca="1">RANK(AB3651,OFFSET($AB$2,0,0,#REF!,1))</f>
        <v>#REF!</v>
      </c>
      <c r="AD3651" s="4" t="e">
        <f>InsurerSize(#REF!)</f>
        <v>#VALUE!</v>
      </c>
      <c r="AE3651" s="4" t="e">
        <f t="shared" si="69"/>
        <v>#VALUE!</v>
      </c>
    </row>
    <row r="3652" spans="8:31" x14ac:dyDescent="0.2">
      <c r="H3652" s="5"/>
      <c r="I3652" s="5"/>
      <c r="J3652" s="5"/>
      <c r="K3652" s="5"/>
      <c r="L3652" s="5"/>
      <c r="M3652" s="5"/>
      <c r="N3652" s="5"/>
      <c r="O3652" s="5"/>
      <c r="P3652" s="5"/>
      <c r="Q3652" s="5"/>
      <c r="R3652" s="5"/>
      <c r="S3652" s="5"/>
      <c r="T3652" s="5"/>
      <c r="U3652" s="5"/>
      <c r="V3652" s="5"/>
      <c r="W3652" s="5"/>
      <c r="X3652" s="5"/>
      <c r="Y3652" s="5"/>
      <c r="Z3652" s="5"/>
      <c r="AA3652" s="5"/>
      <c r="AC3652" t="e">
        <f ca="1">RANK(AB3652,OFFSET($AB$2,0,0,#REF!,1))</f>
        <v>#REF!</v>
      </c>
      <c r="AD3652" s="4" t="e">
        <f>InsurerSize(#REF!)</f>
        <v>#VALUE!</v>
      </c>
      <c r="AE3652" s="4" t="e">
        <f t="shared" si="69"/>
        <v>#VALUE!</v>
      </c>
    </row>
    <row r="3653" spans="8:31" x14ac:dyDescent="0.2">
      <c r="H3653" s="5"/>
      <c r="I3653" s="5"/>
      <c r="J3653" s="5"/>
      <c r="K3653" s="5"/>
      <c r="L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  <c r="W3653" s="5"/>
      <c r="X3653" s="5"/>
      <c r="Y3653" s="5"/>
      <c r="Z3653" s="5"/>
      <c r="AA3653" s="5"/>
      <c r="AC3653" t="e">
        <f ca="1">RANK(AB3653,OFFSET($AB$2,0,0,#REF!,1))</f>
        <v>#REF!</v>
      </c>
      <c r="AD3653" s="4" t="e">
        <f>InsurerSize(#REF!)</f>
        <v>#VALUE!</v>
      </c>
      <c r="AE3653" s="4" t="e">
        <f t="shared" si="69"/>
        <v>#VALUE!</v>
      </c>
    </row>
    <row r="3654" spans="8:31" x14ac:dyDescent="0.2">
      <c r="H3654" s="5"/>
      <c r="I3654" s="5"/>
      <c r="J3654" s="5"/>
      <c r="K3654" s="5"/>
      <c r="L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  <c r="W3654" s="5"/>
      <c r="X3654" s="5"/>
      <c r="Y3654" s="5"/>
      <c r="Z3654" s="5"/>
      <c r="AA3654" s="5"/>
      <c r="AC3654" t="e">
        <f ca="1">RANK(AB3654,OFFSET($AB$2,0,0,#REF!,1))</f>
        <v>#REF!</v>
      </c>
      <c r="AD3654" s="4" t="e">
        <f>InsurerSize(#REF!)</f>
        <v>#VALUE!</v>
      </c>
      <c r="AE3654" s="4" t="e">
        <f t="shared" si="69"/>
        <v>#VALUE!</v>
      </c>
    </row>
    <row r="3655" spans="8:31" x14ac:dyDescent="0.2">
      <c r="H3655" s="5"/>
      <c r="I3655" s="5"/>
      <c r="J3655" s="5"/>
      <c r="K3655" s="5"/>
      <c r="L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  <c r="W3655" s="5"/>
      <c r="X3655" s="5"/>
      <c r="Y3655" s="5"/>
      <c r="Z3655" s="5"/>
      <c r="AA3655" s="5"/>
      <c r="AC3655" t="e">
        <f ca="1">RANK(AB3655,OFFSET($AB$2,0,0,#REF!,1))</f>
        <v>#REF!</v>
      </c>
      <c r="AD3655" s="4" t="e">
        <f>InsurerSize(#REF!)</f>
        <v>#VALUE!</v>
      </c>
      <c r="AE3655" s="4" t="e">
        <f t="shared" si="69"/>
        <v>#VALUE!</v>
      </c>
    </row>
    <row r="3656" spans="8:31" x14ac:dyDescent="0.2">
      <c r="H3656" s="5"/>
      <c r="I3656" s="5"/>
      <c r="J3656" s="5"/>
      <c r="K3656" s="5"/>
      <c r="L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  <c r="W3656" s="5"/>
      <c r="X3656" s="5"/>
      <c r="Y3656" s="5"/>
      <c r="Z3656" s="5"/>
      <c r="AA3656" s="5"/>
      <c r="AC3656" t="e">
        <f ca="1">RANK(AB3656,OFFSET($AB$2,0,0,#REF!,1))</f>
        <v>#REF!</v>
      </c>
      <c r="AD3656" s="4" t="e">
        <f>InsurerSize(#REF!)</f>
        <v>#VALUE!</v>
      </c>
      <c r="AE3656" s="4" t="e">
        <f t="shared" si="69"/>
        <v>#VALUE!</v>
      </c>
    </row>
    <row r="3657" spans="8:31" x14ac:dyDescent="0.2">
      <c r="H3657" s="5"/>
      <c r="I3657" s="5"/>
      <c r="J3657" s="5"/>
      <c r="K3657" s="5"/>
      <c r="L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  <c r="W3657" s="5"/>
      <c r="X3657" s="5"/>
      <c r="Y3657" s="5"/>
      <c r="Z3657" s="5"/>
      <c r="AA3657" s="5"/>
      <c r="AC3657" t="e">
        <f ca="1">RANK(AB3657,OFFSET($AB$2,0,0,#REF!,1))</f>
        <v>#REF!</v>
      </c>
      <c r="AD3657" s="4" t="e">
        <f>InsurerSize(#REF!)</f>
        <v>#VALUE!</v>
      </c>
      <c r="AE3657" s="4" t="e">
        <f t="shared" si="69"/>
        <v>#VALUE!</v>
      </c>
    </row>
    <row r="3658" spans="8:31" x14ac:dyDescent="0.2">
      <c r="H3658" s="5"/>
      <c r="I3658" s="5"/>
      <c r="J3658" s="5"/>
      <c r="K3658" s="5"/>
      <c r="L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  <c r="W3658" s="5"/>
      <c r="X3658" s="5"/>
      <c r="Y3658" s="5"/>
      <c r="Z3658" s="5"/>
      <c r="AA3658" s="5"/>
      <c r="AC3658" t="e">
        <f ca="1">RANK(AB3658,OFFSET($AB$2,0,0,#REF!,1))</f>
        <v>#REF!</v>
      </c>
      <c r="AD3658" s="4" t="e">
        <f>InsurerSize(#REF!)</f>
        <v>#VALUE!</v>
      </c>
      <c r="AE3658" s="4" t="e">
        <f t="shared" si="69"/>
        <v>#VALUE!</v>
      </c>
    </row>
    <row r="3659" spans="8:31" x14ac:dyDescent="0.2">
      <c r="H3659" s="5"/>
      <c r="I3659" s="5"/>
      <c r="J3659" s="5"/>
      <c r="K3659" s="5"/>
      <c r="L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  <c r="W3659" s="5"/>
      <c r="X3659" s="5"/>
      <c r="Y3659" s="5"/>
      <c r="Z3659" s="5"/>
      <c r="AA3659" s="5"/>
      <c r="AC3659" t="e">
        <f ca="1">RANK(AB3659,OFFSET($AB$2,0,0,#REF!,1))</f>
        <v>#REF!</v>
      </c>
      <c r="AD3659" s="4" t="e">
        <f>InsurerSize(#REF!)</f>
        <v>#VALUE!</v>
      </c>
      <c r="AE3659" s="4" t="e">
        <f t="shared" si="69"/>
        <v>#VALUE!</v>
      </c>
    </row>
    <row r="3660" spans="8:31" x14ac:dyDescent="0.2">
      <c r="H3660" s="5"/>
      <c r="I3660" s="5"/>
      <c r="J3660" s="5"/>
      <c r="K3660" s="5"/>
      <c r="L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  <c r="W3660" s="5"/>
      <c r="X3660" s="5"/>
      <c r="Y3660" s="5"/>
      <c r="Z3660" s="5"/>
      <c r="AA3660" s="5"/>
      <c r="AC3660" t="e">
        <f ca="1">RANK(AB3660,OFFSET($AB$2,0,0,#REF!,1))</f>
        <v>#REF!</v>
      </c>
      <c r="AD3660" s="4" t="e">
        <f>InsurerSize(#REF!)</f>
        <v>#VALUE!</v>
      </c>
      <c r="AE3660" s="4" t="e">
        <f t="shared" si="69"/>
        <v>#VALUE!</v>
      </c>
    </row>
    <row r="3661" spans="8:31" x14ac:dyDescent="0.2">
      <c r="H3661" s="5"/>
      <c r="I3661" s="5"/>
      <c r="J3661" s="5"/>
      <c r="K3661" s="5"/>
      <c r="L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  <c r="W3661" s="5"/>
      <c r="X3661" s="5"/>
      <c r="Y3661" s="5"/>
      <c r="Z3661" s="5"/>
      <c r="AA3661" s="5"/>
      <c r="AC3661" t="e">
        <f ca="1">RANK(AB3661,OFFSET($AB$2,0,0,#REF!,1))</f>
        <v>#REF!</v>
      </c>
      <c r="AD3661" s="4" t="e">
        <f>InsurerSize(#REF!)</f>
        <v>#VALUE!</v>
      </c>
      <c r="AE3661" s="4" t="e">
        <f t="shared" si="69"/>
        <v>#VALUE!</v>
      </c>
    </row>
    <row r="3662" spans="8:31" x14ac:dyDescent="0.2">
      <c r="H3662" s="5"/>
      <c r="I3662" s="5"/>
      <c r="J3662" s="5"/>
      <c r="K3662" s="5"/>
      <c r="L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  <c r="W3662" s="5"/>
      <c r="X3662" s="5"/>
      <c r="Y3662" s="5"/>
      <c r="Z3662" s="5"/>
      <c r="AA3662" s="5"/>
      <c r="AC3662" t="e">
        <f ca="1">RANK(AB3662,OFFSET($AB$2,0,0,#REF!,1))</f>
        <v>#REF!</v>
      </c>
      <c r="AD3662" s="4" t="e">
        <f>InsurerSize(#REF!)</f>
        <v>#VALUE!</v>
      </c>
      <c r="AE3662" s="4" t="e">
        <f t="shared" si="69"/>
        <v>#VALUE!</v>
      </c>
    </row>
    <row r="3663" spans="8:31" x14ac:dyDescent="0.2">
      <c r="H3663" s="5"/>
      <c r="I3663" s="5"/>
      <c r="J3663" s="5"/>
      <c r="K3663" s="5"/>
      <c r="L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  <c r="W3663" s="5"/>
      <c r="X3663" s="5"/>
      <c r="Y3663" s="5"/>
      <c r="Z3663" s="5"/>
      <c r="AA3663" s="5"/>
      <c r="AC3663" t="e">
        <f ca="1">RANK(AB3663,OFFSET($AB$2,0,0,#REF!,1))</f>
        <v>#REF!</v>
      </c>
      <c r="AD3663" s="4" t="e">
        <f>InsurerSize(#REF!)</f>
        <v>#VALUE!</v>
      </c>
      <c r="AE3663" s="4" t="e">
        <f t="shared" si="69"/>
        <v>#VALUE!</v>
      </c>
    </row>
    <row r="3664" spans="8:31" x14ac:dyDescent="0.2">
      <c r="H3664" s="5"/>
      <c r="I3664" s="5"/>
      <c r="J3664" s="5"/>
      <c r="K3664" s="5"/>
      <c r="L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  <c r="W3664" s="5"/>
      <c r="X3664" s="5"/>
      <c r="Y3664" s="5"/>
      <c r="Z3664" s="5"/>
      <c r="AA3664" s="5"/>
      <c r="AC3664" t="e">
        <f ca="1">RANK(AB3664,OFFSET($AB$2,0,0,#REF!,1))</f>
        <v>#REF!</v>
      </c>
      <c r="AD3664" s="4" t="e">
        <f>InsurerSize(#REF!)</f>
        <v>#VALUE!</v>
      </c>
      <c r="AE3664" s="4" t="e">
        <f t="shared" si="69"/>
        <v>#VALUE!</v>
      </c>
    </row>
    <row r="3665" spans="8:31" x14ac:dyDescent="0.2">
      <c r="H3665" s="5"/>
      <c r="I3665" s="5"/>
      <c r="J3665" s="5"/>
      <c r="K3665" s="5"/>
      <c r="L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  <c r="W3665" s="5"/>
      <c r="X3665" s="5"/>
      <c r="Y3665" s="5"/>
      <c r="Z3665" s="5"/>
      <c r="AA3665" s="5"/>
      <c r="AC3665" t="e">
        <f ca="1">RANK(AB3665,OFFSET($AB$2,0,0,#REF!,1))</f>
        <v>#REF!</v>
      </c>
      <c r="AD3665" s="4" t="e">
        <f>InsurerSize(#REF!)</f>
        <v>#VALUE!</v>
      </c>
      <c r="AE3665" s="4" t="e">
        <f t="shared" si="69"/>
        <v>#VALUE!</v>
      </c>
    </row>
    <row r="3666" spans="8:31" x14ac:dyDescent="0.2">
      <c r="H3666" s="5"/>
      <c r="I3666" s="5"/>
      <c r="J3666" s="5"/>
      <c r="K3666" s="5"/>
      <c r="L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  <c r="W3666" s="5"/>
      <c r="X3666" s="5"/>
      <c r="Y3666" s="5"/>
      <c r="Z3666" s="5"/>
      <c r="AA3666" s="5"/>
      <c r="AC3666" t="e">
        <f ca="1">RANK(AB3666,OFFSET($AB$2,0,0,#REF!,1))</f>
        <v>#REF!</v>
      </c>
      <c r="AD3666" s="4" t="e">
        <f>InsurerSize(#REF!)</f>
        <v>#VALUE!</v>
      </c>
      <c r="AE3666" s="4" t="e">
        <f t="shared" si="69"/>
        <v>#VALUE!</v>
      </c>
    </row>
    <row r="3667" spans="8:31" x14ac:dyDescent="0.2">
      <c r="H3667" s="5"/>
      <c r="I3667" s="5"/>
      <c r="J3667" s="5"/>
      <c r="K3667" s="5"/>
      <c r="L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  <c r="W3667" s="5"/>
      <c r="X3667" s="5"/>
      <c r="Y3667" s="5"/>
      <c r="Z3667" s="5"/>
      <c r="AA3667" s="5"/>
      <c r="AC3667" t="e">
        <f ca="1">RANK(AB3667,OFFSET($AB$2,0,0,#REF!,1))</f>
        <v>#REF!</v>
      </c>
      <c r="AD3667" s="4" t="e">
        <f>InsurerSize(#REF!)</f>
        <v>#VALUE!</v>
      </c>
      <c r="AE3667" s="4" t="e">
        <f t="shared" si="69"/>
        <v>#VALUE!</v>
      </c>
    </row>
    <row r="3668" spans="8:31" x14ac:dyDescent="0.2">
      <c r="H3668" s="5"/>
      <c r="I3668" s="5"/>
      <c r="J3668" s="5"/>
      <c r="K3668" s="5"/>
      <c r="L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  <c r="W3668" s="5"/>
      <c r="X3668" s="5"/>
      <c r="Y3668" s="5"/>
      <c r="Z3668" s="5"/>
      <c r="AA3668" s="5"/>
      <c r="AC3668" t="e">
        <f ca="1">RANK(AB3668,OFFSET($AB$2,0,0,#REF!,1))</f>
        <v>#REF!</v>
      </c>
      <c r="AD3668" s="4" t="e">
        <f>InsurerSize(#REF!)</f>
        <v>#VALUE!</v>
      </c>
      <c r="AE3668" s="4" t="e">
        <f t="shared" si="69"/>
        <v>#VALUE!</v>
      </c>
    </row>
    <row r="3669" spans="8:31" x14ac:dyDescent="0.2">
      <c r="H3669" s="5"/>
      <c r="I3669" s="5"/>
      <c r="J3669" s="5"/>
      <c r="K3669" s="5"/>
      <c r="L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  <c r="W3669" s="5"/>
      <c r="X3669" s="5"/>
      <c r="Y3669" s="5"/>
      <c r="Z3669" s="5"/>
      <c r="AA3669" s="5"/>
      <c r="AC3669" t="e">
        <f ca="1">RANK(AB3669,OFFSET($AB$2,0,0,#REF!,1))</f>
        <v>#REF!</v>
      </c>
      <c r="AD3669" s="4" t="e">
        <f>InsurerSize(#REF!)</f>
        <v>#VALUE!</v>
      </c>
      <c r="AE3669" s="4" t="e">
        <f t="shared" si="69"/>
        <v>#VALUE!</v>
      </c>
    </row>
    <row r="3670" spans="8:31" x14ac:dyDescent="0.2">
      <c r="H3670" s="5"/>
      <c r="I3670" s="5"/>
      <c r="J3670" s="5"/>
      <c r="K3670" s="5"/>
      <c r="L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  <c r="W3670" s="5"/>
      <c r="X3670" s="5"/>
      <c r="Y3670" s="5"/>
      <c r="Z3670" s="5"/>
      <c r="AA3670" s="5"/>
      <c r="AC3670" t="e">
        <f ca="1">RANK(AB3670,OFFSET($AB$2,0,0,#REF!,1))</f>
        <v>#REF!</v>
      </c>
      <c r="AD3670" s="4" t="e">
        <f>InsurerSize(#REF!)</f>
        <v>#VALUE!</v>
      </c>
      <c r="AE3670" s="4" t="e">
        <f t="shared" si="69"/>
        <v>#VALUE!</v>
      </c>
    </row>
    <row r="3671" spans="8:31" x14ac:dyDescent="0.2">
      <c r="H3671" s="5"/>
      <c r="I3671" s="5"/>
      <c r="J3671" s="5"/>
      <c r="K3671" s="5"/>
      <c r="L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  <c r="W3671" s="5"/>
      <c r="X3671" s="5"/>
      <c r="Y3671" s="5"/>
      <c r="Z3671" s="5"/>
      <c r="AA3671" s="5"/>
      <c r="AC3671" t="e">
        <f ca="1">RANK(AB3671,OFFSET($AB$2,0,0,#REF!,1))</f>
        <v>#REF!</v>
      </c>
      <c r="AD3671" s="4" t="e">
        <f>InsurerSize(#REF!)</f>
        <v>#VALUE!</v>
      </c>
      <c r="AE3671" s="4" t="e">
        <f t="shared" si="69"/>
        <v>#VALUE!</v>
      </c>
    </row>
    <row r="3672" spans="8:31" x14ac:dyDescent="0.2">
      <c r="H3672" s="5"/>
      <c r="I3672" s="5"/>
      <c r="J3672" s="5"/>
      <c r="K3672" s="5"/>
      <c r="L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  <c r="W3672" s="5"/>
      <c r="X3672" s="5"/>
      <c r="Y3672" s="5"/>
      <c r="Z3672" s="5"/>
      <c r="AA3672" s="5"/>
      <c r="AC3672" t="e">
        <f ca="1">RANK(AB3672,OFFSET($AB$2,0,0,#REF!,1))</f>
        <v>#REF!</v>
      </c>
      <c r="AD3672" s="4" t="e">
        <f>InsurerSize(#REF!)</f>
        <v>#VALUE!</v>
      </c>
      <c r="AE3672" s="4" t="e">
        <f t="shared" si="69"/>
        <v>#VALUE!</v>
      </c>
    </row>
    <row r="3673" spans="8:31" x14ac:dyDescent="0.2">
      <c r="H3673" s="5"/>
      <c r="I3673" s="5"/>
      <c r="J3673" s="5"/>
      <c r="K3673" s="5"/>
      <c r="L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  <c r="W3673" s="5"/>
      <c r="X3673" s="5"/>
      <c r="Y3673" s="5"/>
      <c r="Z3673" s="5"/>
      <c r="AA3673" s="5"/>
      <c r="AC3673" t="e">
        <f ca="1">RANK(AB3673,OFFSET($AB$2,0,0,#REF!,1))</f>
        <v>#REF!</v>
      </c>
      <c r="AD3673" s="4" t="e">
        <f>InsurerSize(#REF!)</f>
        <v>#VALUE!</v>
      </c>
      <c r="AE3673" s="4" t="e">
        <f t="shared" si="69"/>
        <v>#VALUE!</v>
      </c>
    </row>
    <row r="3674" spans="8:31" x14ac:dyDescent="0.2">
      <c r="H3674" s="5"/>
      <c r="I3674" s="5"/>
      <c r="J3674" s="5"/>
      <c r="K3674" s="5"/>
      <c r="L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  <c r="W3674" s="5"/>
      <c r="X3674" s="5"/>
      <c r="Y3674" s="5"/>
      <c r="Z3674" s="5"/>
      <c r="AA3674" s="5"/>
      <c r="AC3674" t="e">
        <f ca="1">RANK(AB3674,OFFSET($AB$2,0,0,#REF!,1))</f>
        <v>#REF!</v>
      </c>
      <c r="AD3674" s="4" t="e">
        <f>InsurerSize(#REF!)</f>
        <v>#VALUE!</v>
      </c>
      <c r="AE3674" s="4" t="e">
        <f t="shared" si="69"/>
        <v>#VALUE!</v>
      </c>
    </row>
    <row r="3675" spans="8:31" x14ac:dyDescent="0.2">
      <c r="H3675" s="5"/>
      <c r="I3675" s="5"/>
      <c r="J3675" s="5"/>
      <c r="K3675" s="5"/>
      <c r="L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  <c r="W3675" s="5"/>
      <c r="X3675" s="5"/>
      <c r="Y3675" s="5"/>
      <c r="Z3675" s="5"/>
      <c r="AA3675" s="5"/>
      <c r="AC3675" t="e">
        <f ca="1">RANK(AB3675,OFFSET($AB$2,0,0,#REF!,1))</f>
        <v>#REF!</v>
      </c>
      <c r="AD3675" s="4" t="e">
        <f>InsurerSize(#REF!)</f>
        <v>#VALUE!</v>
      </c>
      <c r="AE3675" s="4" t="e">
        <f t="shared" si="69"/>
        <v>#VALUE!</v>
      </c>
    </row>
    <row r="3676" spans="8:31" x14ac:dyDescent="0.2">
      <c r="H3676" s="5"/>
      <c r="I3676" s="5"/>
      <c r="J3676" s="5"/>
      <c r="K3676" s="5"/>
      <c r="L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  <c r="W3676" s="5"/>
      <c r="X3676" s="5"/>
      <c r="Y3676" s="5"/>
      <c r="Z3676" s="5"/>
      <c r="AA3676" s="5"/>
      <c r="AC3676" t="e">
        <f ca="1">RANK(AB3676,OFFSET($AB$2,0,0,#REF!,1))</f>
        <v>#REF!</v>
      </c>
      <c r="AD3676" s="4" t="e">
        <f>InsurerSize(#REF!)</f>
        <v>#VALUE!</v>
      </c>
      <c r="AE3676" s="4" t="e">
        <f t="shared" si="69"/>
        <v>#VALUE!</v>
      </c>
    </row>
    <row r="3677" spans="8:31" x14ac:dyDescent="0.2">
      <c r="H3677" s="5"/>
      <c r="I3677" s="5"/>
      <c r="J3677" s="5"/>
      <c r="K3677" s="5"/>
      <c r="L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5"/>
      <c r="Z3677" s="5"/>
      <c r="AA3677" s="5"/>
      <c r="AC3677" t="e">
        <f ca="1">RANK(AB3677,OFFSET($AB$2,0,0,#REF!,1))</f>
        <v>#REF!</v>
      </c>
      <c r="AD3677" s="4" t="e">
        <f>InsurerSize(#REF!)</f>
        <v>#VALUE!</v>
      </c>
      <c r="AE3677" s="4" t="e">
        <f t="shared" si="69"/>
        <v>#VALUE!</v>
      </c>
    </row>
    <row r="3678" spans="8:31" x14ac:dyDescent="0.2">
      <c r="H3678" s="5"/>
      <c r="I3678" s="5"/>
      <c r="J3678" s="5"/>
      <c r="K3678" s="5"/>
      <c r="L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  <c r="W3678" s="5"/>
      <c r="X3678" s="5"/>
      <c r="Y3678" s="5"/>
      <c r="Z3678" s="5"/>
      <c r="AA3678" s="5"/>
      <c r="AC3678" t="e">
        <f ca="1">RANK(AB3678,OFFSET($AB$2,0,0,#REF!,1))</f>
        <v>#REF!</v>
      </c>
      <c r="AD3678" s="4" t="e">
        <f>InsurerSize(#REF!)</f>
        <v>#VALUE!</v>
      </c>
      <c r="AE3678" s="4" t="e">
        <f t="shared" si="69"/>
        <v>#VALUE!</v>
      </c>
    </row>
    <row r="3679" spans="8:31" x14ac:dyDescent="0.2">
      <c r="H3679" s="5"/>
      <c r="I3679" s="5"/>
      <c r="J3679" s="5"/>
      <c r="K3679" s="5"/>
      <c r="L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  <c r="W3679" s="5"/>
      <c r="X3679" s="5"/>
      <c r="Y3679" s="5"/>
      <c r="Z3679" s="5"/>
      <c r="AA3679" s="5"/>
      <c r="AC3679" t="e">
        <f ca="1">RANK(AB3679,OFFSET($AB$2,0,0,#REF!,1))</f>
        <v>#REF!</v>
      </c>
      <c r="AD3679" s="4" t="e">
        <f>InsurerSize(#REF!)</f>
        <v>#VALUE!</v>
      </c>
      <c r="AE3679" s="4" t="e">
        <f t="shared" si="69"/>
        <v>#VALUE!</v>
      </c>
    </row>
    <row r="3680" spans="8:31" x14ac:dyDescent="0.2">
      <c r="H3680" s="5"/>
      <c r="I3680" s="5"/>
      <c r="J3680" s="5"/>
      <c r="K3680" s="5"/>
      <c r="L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  <c r="W3680" s="5"/>
      <c r="X3680" s="5"/>
      <c r="Y3680" s="5"/>
      <c r="Z3680" s="5"/>
      <c r="AA3680" s="5"/>
      <c r="AC3680" t="e">
        <f ca="1">RANK(AB3680,OFFSET($AB$2,0,0,#REF!,1))</f>
        <v>#REF!</v>
      </c>
      <c r="AD3680" s="4" t="e">
        <f>InsurerSize(#REF!)</f>
        <v>#VALUE!</v>
      </c>
      <c r="AE3680" s="4" t="e">
        <f t="shared" si="69"/>
        <v>#VALUE!</v>
      </c>
    </row>
    <row r="3681" spans="8:31" x14ac:dyDescent="0.2">
      <c r="H3681" s="5"/>
      <c r="I3681" s="5"/>
      <c r="J3681" s="5"/>
      <c r="K3681" s="5"/>
      <c r="L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  <c r="W3681" s="5"/>
      <c r="X3681" s="5"/>
      <c r="Y3681" s="5"/>
      <c r="Z3681" s="5"/>
      <c r="AA3681" s="5"/>
      <c r="AC3681" t="e">
        <f ca="1">RANK(AB3681,OFFSET($AB$2,0,0,#REF!,1))</f>
        <v>#REF!</v>
      </c>
      <c r="AD3681" s="4" t="e">
        <f>InsurerSize(#REF!)</f>
        <v>#VALUE!</v>
      </c>
      <c r="AE3681" s="4" t="e">
        <f t="shared" si="69"/>
        <v>#VALUE!</v>
      </c>
    </row>
    <row r="3682" spans="8:31" x14ac:dyDescent="0.2">
      <c r="H3682" s="5"/>
      <c r="I3682" s="5"/>
      <c r="J3682" s="5"/>
      <c r="K3682" s="5"/>
      <c r="L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  <c r="W3682" s="5"/>
      <c r="X3682" s="5"/>
      <c r="Y3682" s="5"/>
      <c r="Z3682" s="5"/>
      <c r="AA3682" s="5"/>
      <c r="AC3682" t="e">
        <f ca="1">RANK(AB3682,OFFSET($AB$2,0,0,#REF!,1))</f>
        <v>#REF!</v>
      </c>
      <c r="AD3682" s="4" t="e">
        <f>InsurerSize(#REF!)</f>
        <v>#VALUE!</v>
      </c>
      <c r="AE3682" s="4" t="e">
        <f t="shared" si="69"/>
        <v>#VALUE!</v>
      </c>
    </row>
    <row r="3683" spans="8:31" x14ac:dyDescent="0.2">
      <c r="H3683" s="5"/>
      <c r="I3683" s="5"/>
      <c r="J3683" s="5"/>
      <c r="K3683" s="5"/>
      <c r="L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  <c r="W3683" s="5"/>
      <c r="X3683" s="5"/>
      <c r="Y3683" s="5"/>
      <c r="Z3683" s="5"/>
      <c r="AA3683" s="5"/>
      <c r="AC3683" t="e">
        <f ca="1">RANK(AB3683,OFFSET($AB$2,0,0,#REF!,1))</f>
        <v>#REF!</v>
      </c>
      <c r="AD3683" s="4" t="e">
        <f>InsurerSize(#REF!)</f>
        <v>#VALUE!</v>
      </c>
      <c r="AE3683" s="4" t="e">
        <f t="shared" si="69"/>
        <v>#VALUE!</v>
      </c>
    </row>
    <row r="3684" spans="8:31" x14ac:dyDescent="0.2">
      <c r="H3684" s="5"/>
      <c r="I3684" s="5"/>
      <c r="J3684" s="5"/>
      <c r="K3684" s="5"/>
      <c r="L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  <c r="W3684" s="5"/>
      <c r="X3684" s="5"/>
      <c r="Y3684" s="5"/>
      <c r="Z3684" s="5"/>
      <c r="AA3684" s="5"/>
      <c r="AC3684" t="e">
        <f ca="1">RANK(AB3684,OFFSET($AB$2,0,0,#REF!,1))</f>
        <v>#REF!</v>
      </c>
      <c r="AD3684" s="4" t="e">
        <f>InsurerSize(#REF!)</f>
        <v>#VALUE!</v>
      </c>
      <c r="AE3684" s="4" t="e">
        <f t="shared" si="69"/>
        <v>#VALUE!</v>
      </c>
    </row>
    <row r="3685" spans="8:31" x14ac:dyDescent="0.2">
      <c r="H3685" s="5"/>
      <c r="I3685" s="5"/>
      <c r="J3685" s="5"/>
      <c r="K3685" s="5"/>
      <c r="L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  <c r="W3685" s="5"/>
      <c r="X3685" s="5"/>
      <c r="Y3685" s="5"/>
      <c r="Z3685" s="5"/>
      <c r="AA3685" s="5"/>
      <c r="AC3685" t="e">
        <f ca="1">RANK(AB3685,OFFSET($AB$2,0,0,#REF!,1))</f>
        <v>#REF!</v>
      </c>
      <c r="AD3685" s="4" t="e">
        <f>InsurerSize(#REF!)</f>
        <v>#VALUE!</v>
      </c>
      <c r="AE3685" s="4" t="e">
        <f t="shared" si="69"/>
        <v>#VALUE!</v>
      </c>
    </row>
    <row r="3686" spans="8:31" x14ac:dyDescent="0.2">
      <c r="H3686" s="5"/>
      <c r="I3686" s="5"/>
      <c r="J3686" s="5"/>
      <c r="K3686" s="5"/>
      <c r="L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  <c r="W3686" s="5"/>
      <c r="X3686" s="5"/>
      <c r="Y3686" s="5"/>
      <c r="Z3686" s="5"/>
      <c r="AA3686" s="5"/>
      <c r="AC3686" t="e">
        <f ca="1">RANK(AB3686,OFFSET($AB$2,0,0,#REF!,1))</f>
        <v>#REF!</v>
      </c>
      <c r="AD3686" s="4" t="e">
        <f>InsurerSize(#REF!)</f>
        <v>#VALUE!</v>
      </c>
      <c r="AE3686" s="4" t="e">
        <f t="shared" si="69"/>
        <v>#VALUE!</v>
      </c>
    </row>
    <row r="3687" spans="8:31" x14ac:dyDescent="0.2">
      <c r="H3687" s="5"/>
      <c r="I3687" s="5"/>
      <c r="J3687" s="5"/>
      <c r="K3687" s="5"/>
      <c r="L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  <c r="W3687" s="5"/>
      <c r="X3687" s="5"/>
      <c r="Y3687" s="5"/>
      <c r="Z3687" s="5"/>
      <c r="AA3687" s="5"/>
      <c r="AC3687" t="e">
        <f ca="1">RANK(AB3687,OFFSET($AB$2,0,0,#REF!,1))</f>
        <v>#REF!</v>
      </c>
      <c r="AD3687" s="4" t="e">
        <f>InsurerSize(#REF!)</f>
        <v>#VALUE!</v>
      </c>
      <c r="AE3687" s="4" t="e">
        <f t="shared" si="69"/>
        <v>#VALUE!</v>
      </c>
    </row>
    <row r="3688" spans="8:31" x14ac:dyDescent="0.2">
      <c r="H3688" s="5"/>
      <c r="I3688" s="5"/>
      <c r="J3688" s="5"/>
      <c r="K3688" s="5"/>
      <c r="L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  <c r="W3688" s="5"/>
      <c r="X3688" s="5"/>
      <c r="Y3688" s="5"/>
      <c r="Z3688" s="5"/>
      <c r="AA3688" s="5"/>
      <c r="AC3688" t="e">
        <f ca="1">RANK(AB3688,OFFSET($AB$2,0,0,#REF!,1))</f>
        <v>#REF!</v>
      </c>
      <c r="AD3688" s="4" t="e">
        <f>InsurerSize(#REF!)</f>
        <v>#VALUE!</v>
      </c>
      <c r="AE3688" s="4" t="e">
        <f t="shared" si="69"/>
        <v>#VALUE!</v>
      </c>
    </row>
    <row r="3689" spans="8:31" x14ac:dyDescent="0.2">
      <c r="H3689" s="5"/>
      <c r="I3689" s="5"/>
      <c r="J3689" s="5"/>
      <c r="K3689" s="5"/>
      <c r="L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  <c r="W3689" s="5"/>
      <c r="X3689" s="5"/>
      <c r="Y3689" s="5"/>
      <c r="Z3689" s="5"/>
      <c r="AA3689" s="5"/>
      <c r="AC3689" t="e">
        <f ca="1">RANK(AB3689,OFFSET($AB$2,0,0,#REF!,1))</f>
        <v>#REF!</v>
      </c>
      <c r="AD3689" s="4" t="e">
        <f>InsurerSize(#REF!)</f>
        <v>#VALUE!</v>
      </c>
      <c r="AE3689" s="4" t="e">
        <f t="shared" si="69"/>
        <v>#VALUE!</v>
      </c>
    </row>
    <row r="3690" spans="8:31" x14ac:dyDescent="0.2">
      <c r="H3690" s="5"/>
      <c r="I3690" s="5"/>
      <c r="J3690" s="5"/>
      <c r="K3690" s="5"/>
      <c r="L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  <c r="W3690" s="5"/>
      <c r="X3690" s="5"/>
      <c r="Y3690" s="5"/>
      <c r="Z3690" s="5"/>
      <c r="AA3690" s="5"/>
      <c r="AC3690" t="e">
        <f ca="1">RANK(AB3690,OFFSET($AB$2,0,0,#REF!,1))</f>
        <v>#REF!</v>
      </c>
      <c r="AD3690" s="4" t="e">
        <f>InsurerSize(#REF!)</f>
        <v>#VALUE!</v>
      </c>
      <c r="AE3690" s="4" t="e">
        <f t="shared" si="69"/>
        <v>#VALUE!</v>
      </c>
    </row>
    <row r="3691" spans="8:31" x14ac:dyDescent="0.2">
      <c r="H3691" s="5"/>
      <c r="I3691" s="5"/>
      <c r="J3691" s="5"/>
      <c r="K3691" s="5"/>
      <c r="L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  <c r="W3691" s="5"/>
      <c r="X3691" s="5"/>
      <c r="Y3691" s="5"/>
      <c r="Z3691" s="5"/>
      <c r="AA3691" s="5"/>
      <c r="AC3691" t="e">
        <f ca="1">RANK(AB3691,OFFSET($AB$2,0,0,#REF!,1))</f>
        <v>#REF!</v>
      </c>
      <c r="AD3691" s="4" t="e">
        <f>InsurerSize(#REF!)</f>
        <v>#VALUE!</v>
      </c>
      <c r="AE3691" s="4" t="e">
        <f t="shared" si="69"/>
        <v>#VALUE!</v>
      </c>
    </row>
    <row r="3692" spans="8:31" x14ac:dyDescent="0.2">
      <c r="H3692" s="5"/>
      <c r="I3692" s="5"/>
      <c r="J3692" s="5"/>
      <c r="K3692" s="5"/>
      <c r="L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  <c r="W3692" s="5"/>
      <c r="X3692" s="5"/>
      <c r="Y3692" s="5"/>
      <c r="Z3692" s="5"/>
      <c r="AA3692" s="5"/>
      <c r="AC3692" t="e">
        <f ca="1">RANK(AB3692,OFFSET($AB$2,0,0,#REF!,1))</f>
        <v>#REF!</v>
      </c>
      <c r="AD3692" s="4" t="e">
        <f>InsurerSize(#REF!)</f>
        <v>#VALUE!</v>
      </c>
      <c r="AE3692" s="4" t="e">
        <f t="shared" si="69"/>
        <v>#VALUE!</v>
      </c>
    </row>
    <row r="3693" spans="8:31" x14ac:dyDescent="0.2">
      <c r="H3693" s="5"/>
      <c r="I3693" s="5"/>
      <c r="J3693" s="5"/>
      <c r="K3693" s="5"/>
      <c r="L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  <c r="W3693" s="5"/>
      <c r="X3693" s="5"/>
      <c r="Y3693" s="5"/>
      <c r="Z3693" s="5"/>
      <c r="AA3693" s="5"/>
      <c r="AC3693" t="e">
        <f ca="1">RANK(AB3693,OFFSET($AB$2,0,0,#REF!,1))</f>
        <v>#REF!</v>
      </c>
      <c r="AD3693" s="4" t="e">
        <f>InsurerSize(#REF!)</f>
        <v>#VALUE!</v>
      </c>
      <c r="AE3693" s="4" t="e">
        <f t="shared" si="69"/>
        <v>#VALUE!</v>
      </c>
    </row>
    <row r="3694" spans="8:31" x14ac:dyDescent="0.2">
      <c r="H3694" s="5"/>
      <c r="I3694" s="5"/>
      <c r="J3694" s="5"/>
      <c r="K3694" s="5"/>
      <c r="L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  <c r="W3694" s="5"/>
      <c r="X3694" s="5"/>
      <c r="Y3694" s="5"/>
      <c r="Z3694" s="5"/>
      <c r="AA3694" s="5"/>
      <c r="AC3694" t="e">
        <f ca="1">RANK(AB3694,OFFSET($AB$2,0,0,#REF!,1))</f>
        <v>#REF!</v>
      </c>
      <c r="AD3694" s="4" t="e">
        <f>InsurerSize(#REF!)</f>
        <v>#VALUE!</v>
      </c>
      <c r="AE3694" s="4" t="e">
        <f t="shared" si="69"/>
        <v>#VALUE!</v>
      </c>
    </row>
    <row r="3695" spans="8:31" x14ac:dyDescent="0.2">
      <c r="H3695" s="5"/>
      <c r="I3695" s="5"/>
      <c r="J3695" s="5"/>
      <c r="K3695" s="5"/>
      <c r="L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  <c r="W3695" s="5"/>
      <c r="X3695" s="5"/>
      <c r="Y3695" s="5"/>
      <c r="Z3695" s="5"/>
      <c r="AA3695" s="5"/>
      <c r="AC3695" t="e">
        <f ca="1">RANK(AB3695,OFFSET($AB$2,0,0,#REF!,1))</f>
        <v>#REF!</v>
      </c>
      <c r="AD3695" s="4" t="e">
        <f>InsurerSize(#REF!)</f>
        <v>#VALUE!</v>
      </c>
      <c r="AE3695" s="4" t="e">
        <f t="shared" si="69"/>
        <v>#VALUE!</v>
      </c>
    </row>
    <row r="3696" spans="8:31" x14ac:dyDescent="0.2">
      <c r="H3696" s="5"/>
      <c r="I3696" s="5"/>
      <c r="J3696" s="5"/>
      <c r="K3696" s="5"/>
      <c r="L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  <c r="W3696" s="5"/>
      <c r="X3696" s="5"/>
      <c r="Y3696" s="5"/>
      <c r="Z3696" s="5"/>
      <c r="AA3696" s="5"/>
      <c r="AC3696" t="e">
        <f ca="1">RANK(AB3696,OFFSET($AB$2,0,0,#REF!,1))</f>
        <v>#REF!</v>
      </c>
      <c r="AD3696" s="4" t="e">
        <f>InsurerSize(#REF!)</f>
        <v>#VALUE!</v>
      </c>
      <c r="AE3696" s="4" t="e">
        <f t="shared" si="69"/>
        <v>#VALUE!</v>
      </c>
    </row>
    <row r="3697" spans="8:31" x14ac:dyDescent="0.2">
      <c r="H3697" s="5"/>
      <c r="I3697" s="5"/>
      <c r="J3697" s="5"/>
      <c r="K3697" s="5"/>
      <c r="L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  <c r="W3697" s="5"/>
      <c r="X3697" s="5"/>
      <c r="Y3697" s="5"/>
      <c r="Z3697" s="5"/>
      <c r="AA3697" s="5"/>
      <c r="AC3697" t="e">
        <f ca="1">RANK(AB3697,OFFSET($AB$2,0,0,#REF!,1))</f>
        <v>#REF!</v>
      </c>
      <c r="AD3697" s="4" t="e">
        <f>InsurerSize(#REF!)</f>
        <v>#VALUE!</v>
      </c>
      <c r="AE3697" s="4" t="e">
        <f t="shared" si="69"/>
        <v>#VALUE!</v>
      </c>
    </row>
    <row r="3698" spans="8:31" x14ac:dyDescent="0.2">
      <c r="H3698" s="5"/>
      <c r="I3698" s="5"/>
      <c r="J3698" s="5"/>
      <c r="K3698" s="5"/>
      <c r="L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  <c r="W3698" s="5"/>
      <c r="X3698" s="5"/>
      <c r="Y3698" s="5"/>
      <c r="Z3698" s="5"/>
      <c r="AA3698" s="5"/>
      <c r="AC3698" t="e">
        <f ca="1">RANK(AB3698,OFFSET($AB$2,0,0,#REF!,1))</f>
        <v>#REF!</v>
      </c>
      <c r="AD3698" s="4" t="e">
        <f>InsurerSize(#REF!)</f>
        <v>#VALUE!</v>
      </c>
      <c r="AE3698" s="4" t="e">
        <f t="shared" si="69"/>
        <v>#VALUE!</v>
      </c>
    </row>
    <row r="3699" spans="8:31" x14ac:dyDescent="0.2">
      <c r="H3699" s="5"/>
      <c r="I3699" s="5"/>
      <c r="J3699" s="5"/>
      <c r="K3699" s="5"/>
      <c r="L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  <c r="W3699" s="5"/>
      <c r="X3699" s="5"/>
      <c r="Y3699" s="5"/>
      <c r="Z3699" s="5"/>
      <c r="AA3699" s="5"/>
      <c r="AC3699" t="e">
        <f ca="1">RANK(AB3699,OFFSET($AB$2,0,0,#REF!,1))</f>
        <v>#REF!</v>
      </c>
      <c r="AD3699" s="4" t="e">
        <f>InsurerSize(#REF!)</f>
        <v>#VALUE!</v>
      </c>
      <c r="AE3699" s="4" t="e">
        <f t="shared" si="69"/>
        <v>#VALUE!</v>
      </c>
    </row>
    <row r="3700" spans="8:31" x14ac:dyDescent="0.2">
      <c r="H3700" s="5"/>
      <c r="I3700" s="5"/>
      <c r="J3700" s="5"/>
      <c r="K3700" s="5"/>
      <c r="L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  <c r="W3700" s="5"/>
      <c r="X3700" s="5"/>
      <c r="Y3700" s="5"/>
      <c r="Z3700" s="5"/>
      <c r="AA3700" s="5"/>
      <c r="AC3700" t="e">
        <f ca="1">RANK(AB3700,OFFSET($AB$2,0,0,#REF!,1))</f>
        <v>#REF!</v>
      </c>
      <c r="AD3700" s="4" t="e">
        <f>InsurerSize(#REF!)</f>
        <v>#VALUE!</v>
      </c>
      <c r="AE3700" s="4" t="e">
        <f t="shared" si="69"/>
        <v>#VALUE!</v>
      </c>
    </row>
    <row r="3701" spans="8:31" x14ac:dyDescent="0.2">
      <c r="H3701" s="5"/>
      <c r="I3701" s="5"/>
      <c r="J3701" s="5"/>
      <c r="K3701" s="5"/>
      <c r="L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  <c r="W3701" s="5"/>
      <c r="X3701" s="5"/>
      <c r="Y3701" s="5"/>
      <c r="Z3701" s="5"/>
      <c r="AA3701" s="5"/>
      <c r="AC3701" t="e">
        <f ca="1">RANK(AB3701,OFFSET($AB$2,0,0,#REF!,1))</f>
        <v>#REF!</v>
      </c>
      <c r="AD3701" s="4" t="e">
        <f>InsurerSize(#REF!)</f>
        <v>#VALUE!</v>
      </c>
      <c r="AE3701" s="4" t="e">
        <f t="shared" si="69"/>
        <v>#VALUE!</v>
      </c>
    </row>
    <row r="3702" spans="8:31" x14ac:dyDescent="0.2">
      <c r="H3702" s="5"/>
      <c r="I3702" s="5"/>
      <c r="J3702" s="5"/>
      <c r="K3702" s="5"/>
      <c r="L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  <c r="W3702" s="5"/>
      <c r="X3702" s="5"/>
      <c r="Y3702" s="5"/>
      <c r="Z3702" s="5"/>
      <c r="AA3702" s="5"/>
      <c r="AC3702" t="e">
        <f ca="1">RANK(AB3702,OFFSET($AB$2,0,0,#REF!,1))</f>
        <v>#REF!</v>
      </c>
      <c r="AD3702" s="4" t="e">
        <f>InsurerSize(#REF!)</f>
        <v>#VALUE!</v>
      </c>
      <c r="AE3702" s="4" t="e">
        <f t="shared" si="69"/>
        <v>#VALUE!</v>
      </c>
    </row>
    <row r="3703" spans="8:31" x14ac:dyDescent="0.2">
      <c r="H3703" s="5"/>
      <c r="I3703" s="5"/>
      <c r="J3703" s="5"/>
      <c r="K3703" s="5"/>
      <c r="L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  <c r="W3703" s="5"/>
      <c r="X3703" s="5"/>
      <c r="Y3703" s="5"/>
      <c r="Z3703" s="5"/>
      <c r="AA3703" s="5"/>
      <c r="AC3703" t="e">
        <f ca="1">RANK(AB3703,OFFSET($AB$2,0,0,#REF!,1))</f>
        <v>#REF!</v>
      </c>
      <c r="AD3703" s="4" t="e">
        <f>InsurerSize(#REF!)</f>
        <v>#VALUE!</v>
      </c>
      <c r="AE3703" s="4" t="e">
        <f t="shared" si="69"/>
        <v>#VALUE!</v>
      </c>
    </row>
    <row r="3704" spans="8:31" x14ac:dyDescent="0.2">
      <c r="H3704" s="5"/>
      <c r="I3704" s="5"/>
      <c r="J3704" s="5"/>
      <c r="K3704" s="5"/>
      <c r="L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  <c r="W3704" s="5"/>
      <c r="X3704" s="5"/>
      <c r="Y3704" s="5"/>
      <c r="Z3704" s="5"/>
      <c r="AA3704" s="5"/>
      <c r="AC3704" t="e">
        <f ca="1">RANK(AB3704,OFFSET($AB$2,0,0,#REF!,1))</f>
        <v>#REF!</v>
      </c>
      <c r="AD3704" s="4" t="e">
        <f>InsurerSize(#REF!)</f>
        <v>#VALUE!</v>
      </c>
      <c r="AE3704" s="4" t="e">
        <f t="shared" si="69"/>
        <v>#VALUE!</v>
      </c>
    </row>
    <row r="3705" spans="8:31" x14ac:dyDescent="0.2">
      <c r="H3705" s="5"/>
      <c r="I3705" s="5"/>
      <c r="J3705" s="5"/>
      <c r="K3705" s="5"/>
      <c r="L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  <c r="W3705" s="5"/>
      <c r="X3705" s="5"/>
      <c r="Y3705" s="5"/>
      <c r="Z3705" s="5"/>
      <c r="AA3705" s="5"/>
      <c r="AC3705" t="e">
        <f ca="1">RANK(AB3705,OFFSET($AB$2,0,0,#REF!,1))</f>
        <v>#REF!</v>
      </c>
      <c r="AD3705" s="4" t="e">
        <f>InsurerSize(#REF!)</f>
        <v>#VALUE!</v>
      </c>
      <c r="AE3705" s="4" t="e">
        <f t="shared" si="69"/>
        <v>#VALUE!</v>
      </c>
    </row>
    <row r="3706" spans="8:31" x14ac:dyDescent="0.2">
      <c r="H3706" s="5"/>
      <c r="I3706" s="5"/>
      <c r="J3706" s="5"/>
      <c r="K3706" s="5"/>
      <c r="L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  <c r="W3706" s="5"/>
      <c r="X3706" s="5"/>
      <c r="Y3706" s="5"/>
      <c r="Z3706" s="5"/>
      <c r="AA3706" s="5"/>
      <c r="AC3706" t="e">
        <f ca="1">RANK(AB3706,OFFSET($AB$2,0,0,#REF!,1))</f>
        <v>#REF!</v>
      </c>
      <c r="AD3706" s="4" t="e">
        <f>InsurerSize(#REF!)</f>
        <v>#VALUE!</v>
      </c>
      <c r="AE3706" s="4" t="e">
        <f t="shared" si="69"/>
        <v>#VALUE!</v>
      </c>
    </row>
    <row r="3707" spans="8:31" x14ac:dyDescent="0.2">
      <c r="H3707" s="5"/>
      <c r="I3707" s="5"/>
      <c r="J3707" s="5"/>
      <c r="K3707" s="5"/>
      <c r="L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  <c r="W3707" s="5"/>
      <c r="X3707" s="5"/>
      <c r="Y3707" s="5"/>
      <c r="Z3707" s="5"/>
      <c r="AA3707" s="5"/>
      <c r="AC3707" t="e">
        <f ca="1">RANK(AB3707,OFFSET($AB$2,0,0,#REF!,1))</f>
        <v>#REF!</v>
      </c>
      <c r="AD3707" s="4" t="e">
        <f>InsurerSize(#REF!)</f>
        <v>#VALUE!</v>
      </c>
      <c r="AE3707" s="4" t="e">
        <f t="shared" si="69"/>
        <v>#VALUE!</v>
      </c>
    </row>
    <row r="3708" spans="8:31" x14ac:dyDescent="0.2">
      <c r="H3708" s="5"/>
      <c r="I3708" s="5"/>
      <c r="J3708" s="5"/>
      <c r="K3708" s="5"/>
      <c r="L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  <c r="W3708" s="5"/>
      <c r="X3708" s="5"/>
      <c r="Y3708" s="5"/>
      <c r="Z3708" s="5"/>
      <c r="AA3708" s="5"/>
      <c r="AC3708" t="e">
        <f ca="1">RANK(AB3708,OFFSET($AB$2,0,0,#REF!,1))</f>
        <v>#REF!</v>
      </c>
      <c r="AD3708" s="4" t="e">
        <f>InsurerSize(#REF!)</f>
        <v>#VALUE!</v>
      </c>
      <c r="AE3708" s="4" t="e">
        <f t="shared" si="69"/>
        <v>#VALUE!</v>
      </c>
    </row>
    <row r="3709" spans="8:31" x14ac:dyDescent="0.2">
      <c r="H3709" s="5"/>
      <c r="I3709" s="5"/>
      <c r="J3709" s="5"/>
      <c r="K3709" s="5"/>
      <c r="L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  <c r="W3709" s="5"/>
      <c r="X3709" s="5"/>
      <c r="Y3709" s="5"/>
      <c r="Z3709" s="5"/>
      <c r="AA3709" s="5"/>
      <c r="AC3709" t="e">
        <f ca="1">RANK(AB3709,OFFSET($AB$2,0,0,#REF!,1))</f>
        <v>#REF!</v>
      </c>
      <c r="AD3709" s="4" t="e">
        <f>InsurerSize(#REF!)</f>
        <v>#VALUE!</v>
      </c>
      <c r="AE3709" s="4" t="e">
        <f t="shared" si="69"/>
        <v>#VALUE!</v>
      </c>
    </row>
    <row r="3710" spans="8:31" x14ac:dyDescent="0.2">
      <c r="H3710" s="5"/>
      <c r="I3710" s="5"/>
      <c r="J3710" s="5"/>
      <c r="K3710" s="5"/>
      <c r="L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  <c r="W3710" s="5"/>
      <c r="X3710" s="5"/>
      <c r="Y3710" s="5"/>
      <c r="Z3710" s="5"/>
      <c r="AA3710" s="5"/>
      <c r="AC3710" t="e">
        <f ca="1">RANK(AB3710,OFFSET($AB$2,0,0,#REF!,1))</f>
        <v>#REF!</v>
      </c>
      <c r="AD3710" s="4" t="e">
        <f>InsurerSize(#REF!)</f>
        <v>#VALUE!</v>
      </c>
      <c r="AE3710" s="4" t="e">
        <f t="shared" si="69"/>
        <v>#VALUE!</v>
      </c>
    </row>
    <row r="3711" spans="8:31" x14ac:dyDescent="0.2">
      <c r="H3711" s="5"/>
      <c r="I3711" s="5"/>
      <c r="J3711" s="5"/>
      <c r="K3711" s="5"/>
      <c r="L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  <c r="W3711" s="5"/>
      <c r="X3711" s="5"/>
      <c r="Y3711" s="5"/>
      <c r="Z3711" s="5"/>
      <c r="AA3711" s="5"/>
      <c r="AC3711" t="e">
        <f ca="1">RANK(AB3711,OFFSET($AB$2,0,0,#REF!,1))</f>
        <v>#REF!</v>
      </c>
      <c r="AD3711" s="4" t="e">
        <f>InsurerSize(#REF!)</f>
        <v>#VALUE!</v>
      </c>
      <c r="AE3711" s="4" t="e">
        <f t="shared" si="69"/>
        <v>#VALUE!</v>
      </c>
    </row>
    <row r="3712" spans="8:31" x14ac:dyDescent="0.2">
      <c r="H3712" s="5"/>
      <c r="I3712" s="5"/>
      <c r="J3712" s="5"/>
      <c r="K3712" s="5"/>
      <c r="L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  <c r="W3712" s="5"/>
      <c r="X3712" s="5"/>
      <c r="Y3712" s="5"/>
      <c r="Z3712" s="5"/>
      <c r="AA3712" s="5"/>
      <c r="AC3712" t="e">
        <f ca="1">RANK(AB3712,OFFSET($AB$2,0,0,#REF!,1))</f>
        <v>#REF!</v>
      </c>
      <c r="AD3712" s="4" t="e">
        <f>InsurerSize(#REF!)</f>
        <v>#VALUE!</v>
      </c>
      <c r="AE3712" s="4" t="e">
        <f t="shared" si="69"/>
        <v>#VALUE!</v>
      </c>
    </row>
    <row r="3713" spans="8:31" x14ac:dyDescent="0.2">
      <c r="H3713" s="5"/>
      <c r="I3713" s="5"/>
      <c r="J3713" s="5"/>
      <c r="K3713" s="5"/>
      <c r="L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5"/>
      <c r="Z3713" s="5"/>
      <c r="AA3713" s="5"/>
      <c r="AC3713" t="e">
        <f ca="1">RANK(AB3713,OFFSET($AB$2,0,0,#REF!,1))</f>
        <v>#REF!</v>
      </c>
      <c r="AD3713" s="4" t="e">
        <f>InsurerSize(#REF!)</f>
        <v>#VALUE!</v>
      </c>
      <c r="AE3713" s="4" t="e">
        <f t="shared" si="69"/>
        <v>#VALUE!</v>
      </c>
    </row>
    <row r="3714" spans="8:31" x14ac:dyDescent="0.2">
      <c r="H3714" s="5"/>
      <c r="I3714" s="5"/>
      <c r="J3714" s="5"/>
      <c r="K3714" s="5"/>
      <c r="L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  <c r="W3714" s="5"/>
      <c r="X3714" s="5"/>
      <c r="Y3714" s="5"/>
      <c r="Z3714" s="5"/>
      <c r="AA3714" s="5"/>
      <c r="AC3714" t="e">
        <f ca="1">RANK(AB3714,OFFSET($AB$2,0,0,#REF!,1))</f>
        <v>#REF!</v>
      </c>
      <c r="AD3714" s="4" t="e">
        <f>InsurerSize(#REF!)</f>
        <v>#VALUE!</v>
      </c>
      <c r="AE3714" s="4" t="e">
        <f t="shared" ref="AE3714:AE3777" si="70">A3714&amp;AD3714</f>
        <v>#VALUE!</v>
      </c>
    </row>
    <row r="3715" spans="8:31" x14ac:dyDescent="0.2">
      <c r="H3715" s="5"/>
      <c r="I3715" s="5"/>
      <c r="J3715" s="5"/>
      <c r="K3715" s="5"/>
      <c r="L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  <c r="W3715" s="5"/>
      <c r="X3715" s="5"/>
      <c r="Y3715" s="5"/>
      <c r="Z3715" s="5"/>
      <c r="AA3715" s="5"/>
      <c r="AC3715" t="e">
        <f ca="1">RANK(AB3715,OFFSET($AB$2,0,0,#REF!,1))</f>
        <v>#REF!</v>
      </c>
      <c r="AD3715" s="4" t="e">
        <f>InsurerSize(#REF!)</f>
        <v>#VALUE!</v>
      </c>
      <c r="AE3715" s="4" t="e">
        <f t="shared" si="70"/>
        <v>#VALUE!</v>
      </c>
    </row>
    <row r="3716" spans="8:31" x14ac:dyDescent="0.2">
      <c r="H3716" s="5"/>
      <c r="I3716" s="5"/>
      <c r="J3716" s="5"/>
      <c r="K3716" s="5"/>
      <c r="L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  <c r="W3716" s="5"/>
      <c r="X3716" s="5"/>
      <c r="Y3716" s="5"/>
      <c r="Z3716" s="5"/>
      <c r="AA3716" s="5"/>
      <c r="AC3716" t="e">
        <f ca="1">RANK(AB3716,OFFSET($AB$2,0,0,#REF!,1))</f>
        <v>#REF!</v>
      </c>
      <c r="AD3716" s="4" t="e">
        <f>InsurerSize(#REF!)</f>
        <v>#VALUE!</v>
      </c>
      <c r="AE3716" s="4" t="e">
        <f t="shared" si="70"/>
        <v>#VALUE!</v>
      </c>
    </row>
    <row r="3717" spans="8:31" x14ac:dyDescent="0.2">
      <c r="H3717" s="5"/>
      <c r="I3717" s="5"/>
      <c r="J3717" s="5"/>
      <c r="K3717" s="5"/>
      <c r="L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  <c r="W3717" s="5"/>
      <c r="X3717" s="5"/>
      <c r="Y3717" s="5"/>
      <c r="Z3717" s="5"/>
      <c r="AA3717" s="5"/>
      <c r="AC3717" t="e">
        <f ca="1">RANK(AB3717,OFFSET($AB$2,0,0,#REF!,1))</f>
        <v>#REF!</v>
      </c>
      <c r="AD3717" s="4" t="e">
        <f>InsurerSize(#REF!)</f>
        <v>#VALUE!</v>
      </c>
      <c r="AE3717" s="4" t="e">
        <f t="shared" si="70"/>
        <v>#VALUE!</v>
      </c>
    </row>
    <row r="3718" spans="8:31" x14ac:dyDescent="0.2">
      <c r="H3718" s="5"/>
      <c r="I3718" s="5"/>
      <c r="J3718" s="5"/>
      <c r="K3718" s="5"/>
      <c r="L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  <c r="W3718" s="5"/>
      <c r="X3718" s="5"/>
      <c r="Y3718" s="5"/>
      <c r="Z3718" s="5"/>
      <c r="AA3718" s="5"/>
      <c r="AC3718" t="e">
        <f ca="1">RANK(AB3718,OFFSET($AB$2,0,0,#REF!,1))</f>
        <v>#REF!</v>
      </c>
      <c r="AD3718" s="4" t="e">
        <f>InsurerSize(#REF!)</f>
        <v>#VALUE!</v>
      </c>
      <c r="AE3718" s="4" t="e">
        <f t="shared" si="70"/>
        <v>#VALUE!</v>
      </c>
    </row>
    <row r="3719" spans="8:31" x14ac:dyDescent="0.2">
      <c r="H3719" s="5"/>
      <c r="I3719" s="5"/>
      <c r="J3719" s="5"/>
      <c r="K3719" s="5"/>
      <c r="L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  <c r="W3719" s="5"/>
      <c r="X3719" s="5"/>
      <c r="Y3719" s="5"/>
      <c r="Z3719" s="5"/>
      <c r="AA3719" s="5"/>
      <c r="AC3719" t="e">
        <f ca="1">RANK(AB3719,OFFSET($AB$2,0,0,#REF!,1))</f>
        <v>#REF!</v>
      </c>
      <c r="AD3719" s="4" t="e">
        <f>InsurerSize(#REF!)</f>
        <v>#VALUE!</v>
      </c>
      <c r="AE3719" s="4" t="e">
        <f t="shared" si="70"/>
        <v>#VALUE!</v>
      </c>
    </row>
    <row r="3720" spans="8:31" x14ac:dyDescent="0.2">
      <c r="H3720" s="5"/>
      <c r="I3720" s="5"/>
      <c r="J3720" s="5"/>
      <c r="K3720" s="5"/>
      <c r="L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  <c r="W3720" s="5"/>
      <c r="X3720" s="5"/>
      <c r="Y3720" s="5"/>
      <c r="Z3720" s="5"/>
      <c r="AA3720" s="5"/>
      <c r="AC3720" t="e">
        <f ca="1">RANK(AB3720,OFFSET($AB$2,0,0,#REF!,1))</f>
        <v>#REF!</v>
      </c>
      <c r="AD3720" s="4" t="e">
        <f>InsurerSize(#REF!)</f>
        <v>#VALUE!</v>
      </c>
      <c r="AE3720" s="4" t="e">
        <f t="shared" si="70"/>
        <v>#VALUE!</v>
      </c>
    </row>
    <row r="3721" spans="8:31" x14ac:dyDescent="0.2">
      <c r="H3721" s="5"/>
      <c r="I3721" s="5"/>
      <c r="J3721" s="5"/>
      <c r="K3721" s="5"/>
      <c r="L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  <c r="W3721" s="5"/>
      <c r="X3721" s="5"/>
      <c r="Y3721" s="5"/>
      <c r="Z3721" s="5"/>
      <c r="AA3721" s="5"/>
      <c r="AC3721" t="e">
        <f ca="1">RANK(AB3721,OFFSET($AB$2,0,0,#REF!,1))</f>
        <v>#REF!</v>
      </c>
      <c r="AD3721" s="4" t="e">
        <f>InsurerSize(#REF!)</f>
        <v>#VALUE!</v>
      </c>
      <c r="AE3721" s="4" t="e">
        <f t="shared" si="70"/>
        <v>#VALUE!</v>
      </c>
    </row>
    <row r="3722" spans="8:31" x14ac:dyDescent="0.2">
      <c r="H3722" s="5"/>
      <c r="I3722" s="5"/>
      <c r="J3722" s="5"/>
      <c r="K3722" s="5"/>
      <c r="L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  <c r="W3722" s="5"/>
      <c r="X3722" s="5"/>
      <c r="Y3722" s="5"/>
      <c r="Z3722" s="5"/>
      <c r="AA3722" s="5"/>
      <c r="AC3722" t="e">
        <f ca="1">RANK(AB3722,OFFSET($AB$2,0,0,#REF!,1))</f>
        <v>#REF!</v>
      </c>
      <c r="AD3722" s="4" t="e">
        <f>InsurerSize(#REF!)</f>
        <v>#VALUE!</v>
      </c>
      <c r="AE3722" s="4" t="e">
        <f t="shared" si="70"/>
        <v>#VALUE!</v>
      </c>
    </row>
    <row r="3723" spans="8:31" x14ac:dyDescent="0.2">
      <c r="H3723" s="5"/>
      <c r="I3723" s="5"/>
      <c r="J3723" s="5"/>
      <c r="K3723" s="5"/>
      <c r="L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  <c r="W3723" s="5"/>
      <c r="X3723" s="5"/>
      <c r="Y3723" s="5"/>
      <c r="Z3723" s="5"/>
      <c r="AA3723" s="5"/>
      <c r="AC3723" t="e">
        <f ca="1">RANK(AB3723,OFFSET($AB$2,0,0,#REF!,1))</f>
        <v>#REF!</v>
      </c>
      <c r="AD3723" s="4" t="e">
        <f>InsurerSize(#REF!)</f>
        <v>#VALUE!</v>
      </c>
      <c r="AE3723" s="4" t="e">
        <f t="shared" si="70"/>
        <v>#VALUE!</v>
      </c>
    </row>
    <row r="3724" spans="8:31" x14ac:dyDescent="0.2">
      <c r="H3724" s="5"/>
      <c r="I3724" s="5"/>
      <c r="J3724" s="5"/>
      <c r="K3724" s="5"/>
      <c r="L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  <c r="W3724" s="5"/>
      <c r="X3724" s="5"/>
      <c r="Y3724" s="5"/>
      <c r="Z3724" s="5"/>
      <c r="AA3724" s="5"/>
      <c r="AC3724" t="e">
        <f ca="1">RANK(AB3724,OFFSET($AB$2,0,0,#REF!,1))</f>
        <v>#REF!</v>
      </c>
      <c r="AD3724" s="4" t="e">
        <f>InsurerSize(#REF!)</f>
        <v>#VALUE!</v>
      </c>
      <c r="AE3724" s="4" t="e">
        <f t="shared" si="70"/>
        <v>#VALUE!</v>
      </c>
    </row>
    <row r="3725" spans="8:31" x14ac:dyDescent="0.2">
      <c r="H3725" s="5"/>
      <c r="I3725" s="5"/>
      <c r="J3725" s="5"/>
      <c r="K3725" s="5"/>
      <c r="L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  <c r="W3725" s="5"/>
      <c r="X3725" s="5"/>
      <c r="Y3725" s="5"/>
      <c r="Z3725" s="5"/>
      <c r="AA3725" s="5"/>
      <c r="AC3725" t="e">
        <f ca="1">RANK(AB3725,OFFSET($AB$2,0,0,#REF!,1))</f>
        <v>#REF!</v>
      </c>
      <c r="AD3725" s="4" t="e">
        <f>InsurerSize(#REF!)</f>
        <v>#VALUE!</v>
      </c>
      <c r="AE3725" s="4" t="e">
        <f t="shared" si="70"/>
        <v>#VALUE!</v>
      </c>
    </row>
    <row r="3726" spans="8:31" x14ac:dyDescent="0.2">
      <c r="H3726" s="5"/>
      <c r="I3726" s="5"/>
      <c r="J3726" s="5"/>
      <c r="K3726" s="5"/>
      <c r="L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  <c r="W3726" s="5"/>
      <c r="X3726" s="5"/>
      <c r="Y3726" s="5"/>
      <c r="Z3726" s="5"/>
      <c r="AA3726" s="5"/>
      <c r="AC3726" t="e">
        <f ca="1">RANK(AB3726,OFFSET($AB$2,0,0,#REF!,1))</f>
        <v>#REF!</v>
      </c>
      <c r="AD3726" s="4" t="e">
        <f>InsurerSize(#REF!)</f>
        <v>#VALUE!</v>
      </c>
      <c r="AE3726" s="4" t="e">
        <f t="shared" si="70"/>
        <v>#VALUE!</v>
      </c>
    </row>
    <row r="3727" spans="8:31" x14ac:dyDescent="0.2">
      <c r="H3727" s="5"/>
      <c r="I3727" s="5"/>
      <c r="J3727" s="5"/>
      <c r="K3727" s="5"/>
      <c r="L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  <c r="W3727" s="5"/>
      <c r="X3727" s="5"/>
      <c r="Y3727" s="5"/>
      <c r="Z3727" s="5"/>
      <c r="AA3727" s="5"/>
      <c r="AC3727" t="e">
        <f ca="1">RANK(AB3727,OFFSET($AB$2,0,0,#REF!,1))</f>
        <v>#REF!</v>
      </c>
      <c r="AD3727" s="4" t="e">
        <f>InsurerSize(#REF!)</f>
        <v>#VALUE!</v>
      </c>
      <c r="AE3727" s="4" t="e">
        <f t="shared" si="70"/>
        <v>#VALUE!</v>
      </c>
    </row>
    <row r="3728" spans="8:31" x14ac:dyDescent="0.2">
      <c r="H3728" s="5"/>
      <c r="I3728" s="5"/>
      <c r="J3728" s="5"/>
      <c r="K3728" s="5"/>
      <c r="L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  <c r="W3728" s="5"/>
      <c r="X3728" s="5"/>
      <c r="Y3728" s="5"/>
      <c r="Z3728" s="5"/>
      <c r="AA3728" s="5"/>
      <c r="AC3728" t="e">
        <f ca="1">RANK(AB3728,OFFSET($AB$2,0,0,#REF!,1))</f>
        <v>#REF!</v>
      </c>
      <c r="AD3728" s="4" t="e">
        <f>InsurerSize(#REF!)</f>
        <v>#VALUE!</v>
      </c>
      <c r="AE3728" s="4" t="e">
        <f t="shared" si="70"/>
        <v>#VALUE!</v>
      </c>
    </row>
    <row r="3729" spans="8:31" x14ac:dyDescent="0.2">
      <c r="H3729" s="5"/>
      <c r="I3729" s="5"/>
      <c r="J3729" s="5"/>
      <c r="K3729" s="5"/>
      <c r="L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  <c r="W3729" s="5"/>
      <c r="X3729" s="5"/>
      <c r="Y3729" s="5"/>
      <c r="Z3729" s="5"/>
      <c r="AA3729" s="5"/>
      <c r="AC3729" t="e">
        <f ca="1">RANK(AB3729,OFFSET($AB$2,0,0,#REF!,1))</f>
        <v>#REF!</v>
      </c>
      <c r="AD3729" s="4" t="e">
        <f>InsurerSize(#REF!)</f>
        <v>#VALUE!</v>
      </c>
      <c r="AE3729" s="4" t="e">
        <f t="shared" si="70"/>
        <v>#VALUE!</v>
      </c>
    </row>
    <row r="3730" spans="8:31" x14ac:dyDescent="0.2">
      <c r="H3730" s="5"/>
      <c r="I3730" s="5"/>
      <c r="J3730" s="5"/>
      <c r="K3730" s="5"/>
      <c r="L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  <c r="W3730" s="5"/>
      <c r="X3730" s="5"/>
      <c r="Y3730" s="5"/>
      <c r="Z3730" s="5"/>
      <c r="AA3730" s="5"/>
      <c r="AC3730" t="e">
        <f ca="1">RANK(AB3730,OFFSET($AB$2,0,0,#REF!,1))</f>
        <v>#REF!</v>
      </c>
      <c r="AD3730" s="4" t="e">
        <f>InsurerSize(#REF!)</f>
        <v>#VALUE!</v>
      </c>
      <c r="AE3730" s="4" t="e">
        <f t="shared" si="70"/>
        <v>#VALUE!</v>
      </c>
    </row>
    <row r="3731" spans="8:31" x14ac:dyDescent="0.2">
      <c r="H3731" s="5"/>
      <c r="I3731" s="5"/>
      <c r="J3731" s="5"/>
      <c r="K3731" s="5"/>
      <c r="L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  <c r="W3731" s="5"/>
      <c r="X3731" s="5"/>
      <c r="Y3731" s="5"/>
      <c r="Z3731" s="5"/>
      <c r="AA3731" s="5"/>
      <c r="AC3731" t="e">
        <f ca="1">RANK(AB3731,OFFSET($AB$2,0,0,#REF!,1))</f>
        <v>#REF!</v>
      </c>
      <c r="AD3731" s="4" t="e">
        <f>InsurerSize(#REF!)</f>
        <v>#VALUE!</v>
      </c>
      <c r="AE3731" s="4" t="e">
        <f t="shared" si="70"/>
        <v>#VALUE!</v>
      </c>
    </row>
    <row r="3732" spans="8:31" x14ac:dyDescent="0.2">
      <c r="H3732" s="5"/>
      <c r="I3732" s="5"/>
      <c r="J3732" s="5"/>
      <c r="K3732" s="5"/>
      <c r="L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  <c r="W3732" s="5"/>
      <c r="X3732" s="5"/>
      <c r="Y3732" s="5"/>
      <c r="Z3732" s="5"/>
      <c r="AA3732" s="5"/>
      <c r="AC3732" t="e">
        <f ca="1">RANK(AB3732,OFFSET($AB$2,0,0,#REF!,1))</f>
        <v>#REF!</v>
      </c>
      <c r="AD3732" s="4" t="e">
        <f>InsurerSize(#REF!)</f>
        <v>#VALUE!</v>
      </c>
      <c r="AE3732" s="4" t="e">
        <f t="shared" si="70"/>
        <v>#VALUE!</v>
      </c>
    </row>
    <row r="3733" spans="8:31" x14ac:dyDescent="0.2">
      <c r="H3733" s="5"/>
      <c r="I3733" s="5"/>
      <c r="J3733" s="5"/>
      <c r="K3733" s="5"/>
      <c r="L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  <c r="W3733" s="5"/>
      <c r="X3733" s="5"/>
      <c r="Y3733" s="5"/>
      <c r="Z3733" s="5"/>
      <c r="AA3733" s="5"/>
      <c r="AC3733" t="e">
        <f ca="1">RANK(AB3733,OFFSET($AB$2,0,0,#REF!,1))</f>
        <v>#REF!</v>
      </c>
      <c r="AD3733" s="4" t="e">
        <f>InsurerSize(#REF!)</f>
        <v>#VALUE!</v>
      </c>
      <c r="AE3733" s="4" t="e">
        <f t="shared" si="70"/>
        <v>#VALUE!</v>
      </c>
    </row>
    <row r="3734" spans="8:31" x14ac:dyDescent="0.2">
      <c r="H3734" s="5"/>
      <c r="I3734" s="5"/>
      <c r="J3734" s="5"/>
      <c r="K3734" s="5"/>
      <c r="L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  <c r="W3734" s="5"/>
      <c r="X3734" s="5"/>
      <c r="Y3734" s="5"/>
      <c r="Z3734" s="5"/>
      <c r="AA3734" s="5"/>
      <c r="AC3734" t="e">
        <f ca="1">RANK(AB3734,OFFSET($AB$2,0,0,#REF!,1))</f>
        <v>#REF!</v>
      </c>
      <c r="AD3734" s="4" t="e">
        <f>InsurerSize(#REF!)</f>
        <v>#VALUE!</v>
      </c>
      <c r="AE3734" s="4" t="e">
        <f t="shared" si="70"/>
        <v>#VALUE!</v>
      </c>
    </row>
    <row r="3735" spans="8:31" x14ac:dyDescent="0.2">
      <c r="H3735" s="5"/>
      <c r="I3735" s="5"/>
      <c r="J3735" s="5"/>
      <c r="K3735" s="5"/>
      <c r="L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  <c r="W3735" s="5"/>
      <c r="X3735" s="5"/>
      <c r="Y3735" s="5"/>
      <c r="Z3735" s="5"/>
      <c r="AA3735" s="5"/>
      <c r="AC3735" t="e">
        <f ca="1">RANK(AB3735,OFFSET($AB$2,0,0,#REF!,1))</f>
        <v>#REF!</v>
      </c>
      <c r="AD3735" s="4" t="e">
        <f>InsurerSize(#REF!)</f>
        <v>#VALUE!</v>
      </c>
      <c r="AE3735" s="4" t="e">
        <f t="shared" si="70"/>
        <v>#VALUE!</v>
      </c>
    </row>
    <row r="3736" spans="8:31" x14ac:dyDescent="0.2">
      <c r="H3736" s="5"/>
      <c r="I3736" s="5"/>
      <c r="J3736" s="5"/>
      <c r="K3736" s="5"/>
      <c r="L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  <c r="W3736" s="5"/>
      <c r="X3736" s="5"/>
      <c r="Y3736" s="5"/>
      <c r="Z3736" s="5"/>
      <c r="AA3736" s="5"/>
      <c r="AC3736" t="e">
        <f ca="1">RANK(AB3736,OFFSET($AB$2,0,0,#REF!,1))</f>
        <v>#REF!</v>
      </c>
      <c r="AD3736" s="4" t="e">
        <f>InsurerSize(#REF!)</f>
        <v>#VALUE!</v>
      </c>
      <c r="AE3736" s="4" t="e">
        <f t="shared" si="70"/>
        <v>#VALUE!</v>
      </c>
    </row>
    <row r="3737" spans="8:31" x14ac:dyDescent="0.2">
      <c r="H3737" s="5"/>
      <c r="I3737" s="5"/>
      <c r="J3737" s="5"/>
      <c r="K3737" s="5"/>
      <c r="L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  <c r="W3737" s="5"/>
      <c r="X3737" s="5"/>
      <c r="Y3737" s="5"/>
      <c r="Z3737" s="5"/>
      <c r="AA3737" s="5"/>
      <c r="AC3737" t="e">
        <f ca="1">RANK(AB3737,OFFSET($AB$2,0,0,#REF!,1))</f>
        <v>#REF!</v>
      </c>
      <c r="AD3737" s="4" t="e">
        <f>InsurerSize(#REF!)</f>
        <v>#VALUE!</v>
      </c>
      <c r="AE3737" s="4" t="e">
        <f t="shared" si="70"/>
        <v>#VALUE!</v>
      </c>
    </row>
    <row r="3738" spans="8:31" x14ac:dyDescent="0.2">
      <c r="H3738" s="5"/>
      <c r="I3738" s="5"/>
      <c r="J3738" s="5"/>
      <c r="K3738" s="5"/>
      <c r="L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  <c r="W3738" s="5"/>
      <c r="X3738" s="5"/>
      <c r="Y3738" s="5"/>
      <c r="Z3738" s="5"/>
      <c r="AA3738" s="5"/>
      <c r="AC3738" t="e">
        <f ca="1">RANK(AB3738,OFFSET($AB$2,0,0,#REF!,1))</f>
        <v>#REF!</v>
      </c>
      <c r="AD3738" s="4" t="e">
        <f>InsurerSize(#REF!)</f>
        <v>#VALUE!</v>
      </c>
      <c r="AE3738" s="4" t="e">
        <f t="shared" si="70"/>
        <v>#VALUE!</v>
      </c>
    </row>
    <row r="3739" spans="8:31" x14ac:dyDescent="0.2">
      <c r="H3739" s="5"/>
      <c r="I3739" s="5"/>
      <c r="J3739" s="5"/>
      <c r="K3739" s="5"/>
      <c r="L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  <c r="W3739" s="5"/>
      <c r="X3739" s="5"/>
      <c r="Y3739" s="5"/>
      <c r="Z3739" s="5"/>
      <c r="AA3739" s="5"/>
      <c r="AC3739" t="e">
        <f ca="1">RANK(AB3739,OFFSET($AB$2,0,0,#REF!,1))</f>
        <v>#REF!</v>
      </c>
      <c r="AD3739" s="4" t="e">
        <f>InsurerSize(#REF!)</f>
        <v>#VALUE!</v>
      </c>
      <c r="AE3739" s="4" t="e">
        <f t="shared" si="70"/>
        <v>#VALUE!</v>
      </c>
    </row>
    <row r="3740" spans="8:31" x14ac:dyDescent="0.2">
      <c r="H3740" s="5"/>
      <c r="I3740" s="5"/>
      <c r="J3740" s="5"/>
      <c r="K3740" s="5"/>
      <c r="L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  <c r="W3740" s="5"/>
      <c r="X3740" s="5"/>
      <c r="Y3740" s="5"/>
      <c r="Z3740" s="5"/>
      <c r="AA3740" s="5"/>
      <c r="AC3740" t="e">
        <f ca="1">RANK(AB3740,OFFSET($AB$2,0,0,#REF!,1))</f>
        <v>#REF!</v>
      </c>
      <c r="AD3740" s="4" t="e">
        <f>InsurerSize(#REF!)</f>
        <v>#VALUE!</v>
      </c>
      <c r="AE3740" s="4" t="e">
        <f t="shared" si="70"/>
        <v>#VALUE!</v>
      </c>
    </row>
    <row r="3741" spans="8:31" x14ac:dyDescent="0.2">
      <c r="H3741" s="5"/>
      <c r="I3741" s="5"/>
      <c r="J3741" s="5"/>
      <c r="K3741" s="5"/>
      <c r="L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  <c r="W3741" s="5"/>
      <c r="X3741" s="5"/>
      <c r="Y3741" s="5"/>
      <c r="Z3741" s="5"/>
      <c r="AA3741" s="5"/>
      <c r="AC3741" t="e">
        <f ca="1">RANK(AB3741,OFFSET($AB$2,0,0,#REF!,1))</f>
        <v>#REF!</v>
      </c>
      <c r="AD3741" s="4" t="e">
        <f>InsurerSize(#REF!)</f>
        <v>#VALUE!</v>
      </c>
      <c r="AE3741" s="4" t="e">
        <f t="shared" si="70"/>
        <v>#VALUE!</v>
      </c>
    </row>
    <row r="3742" spans="8:31" x14ac:dyDescent="0.2">
      <c r="H3742" s="5"/>
      <c r="I3742" s="5"/>
      <c r="J3742" s="5"/>
      <c r="K3742" s="5"/>
      <c r="L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  <c r="W3742" s="5"/>
      <c r="X3742" s="5"/>
      <c r="Y3742" s="5"/>
      <c r="Z3742" s="5"/>
      <c r="AA3742" s="5"/>
      <c r="AC3742" t="e">
        <f ca="1">RANK(AB3742,OFFSET($AB$2,0,0,#REF!,1))</f>
        <v>#REF!</v>
      </c>
      <c r="AD3742" s="4" t="e">
        <f>InsurerSize(#REF!)</f>
        <v>#VALUE!</v>
      </c>
      <c r="AE3742" s="4" t="e">
        <f t="shared" si="70"/>
        <v>#VALUE!</v>
      </c>
    </row>
    <row r="3743" spans="8:31" x14ac:dyDescent="0.2">
      <c r="H3743" s="5"/>
      <c r="I3743" s="5"/>
      <c r="J3743" s="5"/>
      <c r="K3743" s="5"/>
      <c r="L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  <c r="W3743" s="5"/>
      <c r="X3743" s="5"/>
      <c r="Y3743" s="5"/>
      <c r="Z3743" s="5"/>
      <c r="AA3743" s="5"/>
      <c r="AC3743" t="e">
        <f ca="1">RANK(AB3743,OFFSET($AB$2,0,0,#REF!,1))</f>
        <v>#REF!</v>
      </c>
      <c r="AD3743" s="4" t="e">
        <f>InsurerSize(#REF!)</f>
        <v>#VALUE!</v>
      </c>
      <c r="AE3743" s="4" t="e">
        <f t="shared" si="70"/>
        <v>#VALUE!</v>
      </c>
    </row>
    <row r="3744" spans="8:31" x14ac:dyDescent="0.2">
      <c r="H3744" s="5"/>
      <c r="I3744" s="5"/>
      <c r="J3744" s="5"/>
      <c r="K3744" s="5"/>
      <c r="L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  <c r="W3744" s="5"/>
      <c r="X3744" s="5"/>
      <c r="Y3744" s="5"/>
      <c r="Z3744" s="5"/>
      <c r="AA3744" s="5"/>
      <c r="AC3744" t="e">
        <f ca="1">RANK(AB3744,OFFSET($AB$2,0,0,#REF!,1))</f>
        <v>#REF!</v>
      </c>
      <c r="AD3744" s="4" t="e">
        <f>InsurerSize(#REF!)</f>
        <v>#VALUE!</v>
      </c>
      <c r="AE3744" s="4" t="e">
        <f t="shared" si="70"/>
        <v>#VALUE!</v>
      </c>
    </row>
    <row r="3745" spans="8:31" x14ac:dyDescent="0.2">
      <c r="H3745" s="5"/>
      <c r="I3745" s="5"/>
      <c r="J3745" s="5"/>
      <c r="K3745" s="5"/>
      <c r="L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  <c r="W3745" s="5"/>
      <c r="X3745" s="5"/>
      <c r="Y3745" s="5"/>
      <c r="Z3745" s="5"/>
      <c r="AA3745" s="5"/>
      <c r="AC3745" t="e">
        <f ca="1">RANK(AB3745,OFFSET($AB$2,0,0,#REF!,1))</f>
        <v>#REF!</v>
      </c>
      <c r="AD3745" s="4" t="e">
        <f>InsurerSize(#REF!)</f>
        <v>#VALUE!</v>
      </c>
      <c r="AE3745" s="4" t="e">
        <f t="shared" si="70"/>
        <v>#VALUE!</v>
      </c>
    </row>
    <row r="3746" spans="8:31" x14ac:dyDescent="0.2">
      <c r="H3746" s="5"/>
      <c r="I3746" s="5"/>
      <c r="J3746" s="5"/>
      <c r="K3746" s="5"/>
      <c r="L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  <c r="W3746" s="5"/>
      <c r="X3746" s="5"/>
      <c r="Y3746" s="5"/>
      <c r="Z3746" s="5"/>
      <c r="AA3746" s="5"/>
      <c r="AC3746" t="e">
        <f ca="1">RANK(AB3746,OFFSET($AB$2,0,0,#REF!,1))</f>
        <v>#REF!</v>
      </c>
      <c r="AD3746" s="4" t="e">
        <f>InsurerSize(#REF!)</f>
        <v>#VALUE!</v>
      </c>
      <c r="AE3746" s="4" t="e">
        <f t="shared" si="70"/>
        <v>#VALUE!</v>
      </c>
    </row>
    <row r="3747" spans="8:31" x14ac:dyDescent="0.2">
      <c r="H3747" s="5"/>
      <c r="I3747" s="5"/>
      <c r="J3747" s="5"/>
      <c r="K3747" s="5"/>
      <c r="L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  <c r="W3747" s="5"/>
      <c r="X3747" s="5"/>
      <c r="Y3747" s="5"/>
      <c r="Z3747" s="5"/>
      <c r="AA3747" s="5"/>
      <c r="AC3747" t="e">
        <f ca="1">RANK(AB3747,OFFSET($AB$2,0,0,#REF!,1))</f>
        <v>#REF!</v>
      </c>
      <c r="AD3747" s="4" t="e">
        <f>InsurerSize(#REF!)</f>
        <v>#VALUE!</v>
      </c>
      <c r="AE3747" s="4" t="e">
        <f t="shared" si="70"/>
        <v>#VALUE!</v>
      </c>
    </row>
    <row r="3748" spans="8:31" x14ac:dyDescent="0.2">
      <c r="H3748" s="5"/>
      <c r="I3748" s="5"/>
      <c r="J3748" s="5"/>
      <c r="K3748" s="5"/>
      <c r="L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  <c r="W3748" s="5"/>
      <c r="X3748" s="5"/>
      <c r="Y3748" s="5"/>
      <c r="Z3748" s="5"/>
      <c r="AA3748" s="5"/>
      <c r="AC3748" t="e">
        <f ca="1">RANK(AB3748,OFFSET($AB$2,0,0,#REF!,1))</f>
        <v>#REF!</v>
      </c>
      <c r="AD3748" s="4" t="e">
        <f>InsurerSize(#REF!)</f>
        <v>#VALUE!</v>
      </c>
      <c r="AE3748" s="4" t="e">
        <f t="shared" si="70"/>
        <v>#VALUE!</v>
      </c>
    </row>
    <row r="3749" spans="8:31" x14ac:dyDescent="0.2">
      <c r="H3749" s="5"/>
      <c r="I3749" s="5"/>
      <c r="J3749" s="5"/>
      <c r="K3749" s="5"/>
      <c r="L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5"/>
      <c r="Z3749" s="5"/>
      <c r="AA3749" s="5"/>
      <c r="AC3749" t="e">
        <f ca="1">RANK(AB3749,OFFSET($AB$2,0,0,#REF!,1))</f>
        <v>#REF!</v>
      </c>
      <c r="AD3749" s="4" t="e">
        <f>InsurerSize(#REF!)</f>
        <v>#VALUE!</v>
      </c>
      <c r="AE3749" s="4" t="e">
        <f t="shared" si="70"/>
        <v>#VALUE!</v>
      </c>
    </row>
    <row r="3750" spans="8:31" x14ac:dyDescent="0.2">
      <c r="H3750" s="5"/>
      <c r="I3750" s="5"/>
      <c r="J3750" s="5"/>
      <c r="K3750" s="5"/>
      <c r="L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  <c r="W3750" s="5"/>
      <c r="X3750" s="5"/>
      <c r="Y3750" s="5"/>
      <c r="Z3750" s="5"/>
      <c r="AA3750" s="5"/>
      <c r="AC3750" t="e">
        <f ca="1">RANK(AB3750,OFFSET($AB$2,0,0,#REF!,1))</f>
        <v>#REF!</v>
      </c>
      <c r="AD3750" s="4" t="e">
        <f>InsurerSize(#REF!)</f>
        <v>#VALUE!</v>
      </c>
      <c r="AE3750" s="4" t="e">
        <f t="shared" si="70"/>
        <v>#VALUE!</v>
      </c>
    </row>
    <row r="3751" spans="8:31" x14ac:dyDescent="0.2">
      <c r="H3751" s="5"/>
      <c r="I3751" s="5"/>
      <c r="J3751" s="5"/>
      <c r="K3751" s="5"/>
      <c r="L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  <c r="W3751" s="5"/>
      <c r="X3751" s="5"/>
      <c r="Y3751" s="5"/>
      <c r="Z3751" s="5"/>
      <c r="AA3751" s="5"/>
      <c r="AC3751" t="e">
        <f ca="1">RANK(AB3751,OFFSET($AB$2,0,0,#REF!,1))</f>
        <v>#REF!</v>
      </c>
      <c r="AD3751" s="4" t="e">
        <f>InsurerSize(#REF!)</f>
        <v>#VALUE!</v>
      </c>
      <c r="AE3751" s="4" t="e">
        <f t="shared" si="70"/>
        <v>#VALUE!</v>
      </c>
    </row>
    <row r="3752" spans="8:31" x14ac:dyDescent="0.2">
      <c r="H3752" s="5"/>
      <c r="I3752" s="5"/>
      <c r="J3752" s="5"/>
      <c r="K3752" s="5"/>
      <c r="L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  <c r="W3752" s="5"/>
      <c r="X3752" s="5"/>
      <c r="Y3752" s="5"/>
      <c r="Z3752" s="5"/>
      <c r="AA3752" s="5"/>
      <c r="AC3752" t="e">
        <f ca="1">RANK(AB3752,OFFSET($AB$2,0,0,#REF!,1))</f>
        <v>#REF!</v>
      </c>
      <c r="AD3752" s="4" t="e">
        <f>InsurerSize(#REF!)</f>
        <v>#VALUE!</v>
      </c>
      <c r="AE3752" s="4" t="e">
        <f t="shared" si="70"/>
        <v>#VALUE!</v>
      </c>
    </row>
    <row r="3753" spans="8:31" x14ac:dyDescent="0.2">
      <c r="H3753" s="5"/>
      <c r="I3753" s="5"/>
      <c r="J3753" s="5"/>
      <c r="K3753" s="5"/>
      <c r="L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  <c r="W3753" s="5"/>
      <c r="X3753" s="5"/>
      <c r="Y3753" s="5"/>
      <c r="Z3753" s="5"/>
      <c r="AA3753" s="5"/>
      <c r="AC3753" t="e">
        <f ca="1">RANK(AB3753,OFFSET($AB$2,0,0,#REF!,1))</f>
        <v>#REF!</v>
      </c>
      <c r="AD3753" s="4" t="e">
        <f>InsurerSize(#REF!)</f>
        <v>#VALUE!</v>
      </c>
      <c r="AE3753" s="4" t="e">
        <f t="shared" si="70"/>
        <v>#VALUE!</v>
      </c>
    </row>
    <row r="3754" spans="8:31" x14ac:dyDescent="0.2">
      <c r="H3754" s="5"/>
      <c r="I3754" s="5"/>
      <c r="J3754" s="5"/>
      <c r="K3754" s="5"/>
      <c r="L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  <c r="W3754" s="5"/>
      <c r="X3754" s="5"/>
      <c r="Y3754" s="5"/>
      <c r="Z3754" s="5"/>
      <c r="AA3754" s="5"/>
      <c r="AC3754" t="e">
        <f ca="1">RANK(AB3754,OFFSET($AB$2,0,0,#REF!,1))</f>
        <v>#REF!</v>
      </c>
      <c r="AD3754" s="4" t="e">
        <f>InsurerSize(#REF!)</f>
        <v>#VALUE!</v>
      </c>
      <c r="AE3754" s="4" t="e">
        <f t="shared" si="70"/>
        <v>#VALUE!</v>
      </c>
    </row>
    <row r="3755" spans="8:31" x14ac:dyDescent="0.2">
      <c r="H3755" s="5"/>
      <c r="I3755" s="5"/>
      <c r="J3755" s="5"/>
      <c r="K3755" s="5"/>
      <c r="L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  <c r="W3755" s="5"/>
      <c r="X3755" s="5"/>
      <c r="Y3755" s="5"/>
      <c r="Z3755" s="5"/>
      <c r="AA3755" s="5"/>
      <c r="AC3755" t="e">
        <f ca="1">RANK(AB3755,OFFSET($AB$2,0,0,#REF!,1))</f>
        <v>#REF!</v>
      </c>
      <c r="AD3755" s="4" t="e">
        <f>InsurerSize(#REF!)</f>
        <v>#VALUE!</v>
      </c>
      <c r="AE3755" s="4" t="e">
        <f t="shared" si="70"/>
        <v>#VALUE!</v>
      </c>
    </row>
    <row r="3756" spans="8:31" x14ac:dyDescent="0.2">
      <c r="H3756" s="5"/>
      <c r="I3756" s="5"/>
      <c r="J3756" s="5"/>
      <c r="K3756" s="5"/>
      <c r="L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  <c r="W3756" s="5"/>
      <c r="X3756" s="5"/>
      <c r="Y3756" s="5"/>
      <c r="Z3756" s="5"/>
      <c r="AA3756" s="5"/>
      <c r="AC3756" t="e">
        <f ca="1">RANK(AB3756,OFFSET($AB$2,0,0,#REF!,1))</f>
        <v>#REF!</v>
      </c>
      <c r="AD3756" s="4" t="e">
        <f>InsurerSize(#REF!)</f>
        <v>#VALUE!</v>
      </c>
      <c r="AE3756" s="4" t="e">
        <f t="shared" si="70"/>
        <v>#VALUE!</v>
      </c>
    </row>
    <row r="3757" spans="8:31" x14ac:dyDescent="0.2">
      <c r="H3757" s="5"/>
      <c r="I3757" s="5"/>
      <c r="J3757" s="5"/>
      <c r="K3757" s="5"/>
      <c r="L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  <c r="W3757" s="5"/>
      <c r="X3757" s="5"/>
      <c r="Y3757" s="5"/>
      <c r="Z3757" s="5"/>
      <c r="AA3757" s="5"/>
      <c r="AC3757" t="e">
        <f ca="1">RANK(AB3757,OFFSET($AB$2,0,0,#REF!,1))</f>
        <v>#REF!</v>
      </c>
      <c r="AD3757" s="4" t="e">
        <f>InsurerSize(#REF!)</f>
        <v>#VALUE!</v>
      </c>
      <c r="AE3757" s="4" t="e">
        <f t="shared" si="70"/>
        <v>#VALUE!</v>
      </c>
    </row>
    <row r="3758" spans="8:31" x14ac:dyDescent="0.2">
      <c r="H3758" s="5"/>
      <c r="I3758" s="5"/>
      <c r="J3758" s="5"/>
      <c r="K3758" s="5"/>
      <c r="L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  <c r="W3758" s="5"/>
      <c r="X3758" s="5"/>
      <c r="Y3758" s="5"/>
      <c r="Z3758" s="5"/>
      <c r="AA3758" s="5"/>
      <c r="AC3758" t="e">
        <f ca="1">RANK(AB3758,OFFSET($AB$2,0,0,#REF!,1))</f>
        <v>#REF!</v>
      </c>
      <c r="AD3758" s="4" t="e">
        <f>InsurerSize(#REF!)</f>
        <v>#VALUE!</v>
      </c>
      <c r="AE3758" s="4" t="e">
        <f t="shared" si="70"/>
        <v>#VALUE!</v>
      </c>
    </row>
    <row r="3759" spans="8:31" x14ac:dyDescent="0.2">
      <c r="H3759" s="5"/>
      <c r="I3759" s="5"/>
      <c r="J3759" s="5"/>
      <c r="K3759" s="5"/>
      <c r="L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  <c r="W3759" s="5"/>
      <c r="X3759" s="5"/>
      <c r="Y3759" s="5"/>
      <c r="Z3759" s="5"/>
      <c r="AA3759" s="5"/>
      <c r="AC3759" t="e">
        <f ca="1">RANK(AB3759,OFFSET($AB$2,0,0,#REF!,1))</f>
        <v>#REF!</v>
      </c>
      <c r="AD3759" s="4" t="e">
        <f>InsurerSize(#REF!)</f>
        <v>#VALUE!</v>
      </c>
      <c r="AE3759" s="4" t="e">
        <f t="shared" si="70"/>
        <v>#VALUE!</v>
      </c>
    </row>
    <row r="3760" spans="8:31" x14ac:dyDescent="0.2">
      <c r="H3760" s="5"/>
      <c r="I3760" s="5"/>
      <c r="J3760" s="5"/>
      <c r="K3760" s="5"/>
      <c r="L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  <c r="W3760" s="5"/>
      <c r="X3760" s="5"/>
      <c r="Y3760" s="5"/>
      <c r="Z3760" s="5"/>
      <c r="AA3760" s="5"/>
      <c r="AC3760" t="e">
        <f ca="1">RANK(AB3760,OFFSET($AB$2,0,0,#REF!,1))</f>
        <v>#REF!</v>
      </c>
      <c r="AD3760" s="4" t="e">
        <f>InsurerSize(#REF!)</f>
        <v>#VALUE!</v>
      </c>
      <c r="AE3760" s="4" t="e">
        <f t="shared" si="70"/>
        <v>#VALUE!</v>
      </c>
    </row>
    <row r="3761" spans="8:31" x14ac:dyDescent="0.2">
      <c r="H3761" s="5"/>
      <c r="I3761" s="5"/>
      <c r="J3761" s="5"/>
      <c r="K3761" s="5"/>
      <c r="L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  <c r="W3761" s="5"/>
      <c r="X3761" s="5"/>
      <c r="Y3761" s="5"/>
      <c r="Z3761" s="5"/>
      <c r="AA3761" s="5"/>
      <c r="AC3761" t="e">
        <f ca="1">RANK(AB3761,OFFSET($AB$2,0,0,#REF!,1))</f>
        <v>#REF!</v>
      </c>
      <c r="AD3761" s="4" t="e">
        <f>InsurerSize(#REF!)</f>
        <v>#VALUE!</v>
      </c>
      <c r="AE3761" s="4" t="e">
        <f t="shared" si="70"/>
        <v>#VALUE!</v>
      </c>
    </row>
    <row r="3762" spans="8:31" x14ac:dyDescent="0.2">
      <c r="H3762" s="5"/>
      <c r="I3762" s="5"/>
      <c r="J3762" s="5"/>
      <c r="K3762" s="5"/>
      <c r="L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  <c r="W3762" s="5"/>
      <c r="X3762" s="5"/>
      <c r="Y3762" s="5"/>
      <c r="Z3762" s="5"/>
      <c r="AA3762" s="5"/>
      <c r="AC3762" t="e">
        <f ca="1">RANK(AB3762,OFFSET($AB$2,0,0,#REF!,1))</f>
        <v>#REF!</v>
      </c>
      <c r="AD3762" s="4" t="e">
        <f>InsurerSize(#REF!)</f>
        <v>#VALUE!</v>
      </c>
      <c r="AE3762" s="4" t="e">
        <f t="shared" si="70"/>
        <v>#VALUE!</v>
      </c>
    </row>
    <row r="3763" spans="8:31" x14ac:dyDescent="0.2">
      <c r="H3763" s="5"/>
      <c r="I3763" s="5"/>
      <c r="J3763" s="5"/>
      <c r="K3763" s="5"/>
      <c r="L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  <c r="W3763" s="5"/>
      <c r="X3763" s="5"/>
      <c r="Y3763" s="5"/>
      <c r="Z3763" s="5"/>
      <c r="AA3763" s="5"/>
      <c r="AC3763" t="e">
        <f ca="1">RANK(AB3763,OFFSET($AB$2,0,0,#REF!,1))</f>
        <v>#REF!</v>
      </c>
      <c r="AD3763" s="4" t="e">
        <f>InsurerSize(#REF!)</f>
        <v>#VALUE!</v>
      </c>
      <c r="AE3763" s="4" t="e">
        <f t="shared" si="70"/>
        <v>#VALUE!</v>
      </c>
    </row>
    <row r="3764" spans="8:31" x14ac:dyDescent="0.2">
      <c r="H3764" s="5"/>
      <c r="I3764" s="5"/>
      <c r="J3764" s="5"/>
      <c r="K3764" s="5"/>
      <c r="L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  <c r="W3764" s="5"/>
      <c r="X3764" s="5"/>
      <c r="Y3764" s="5"/>
      <c r="Z3764" s="5"/>
      <c r="AA3764" s="5"/>
      <c r="AC3764" t="e">
        <f ca="1">RANK(AB3764,OFFSET($AB$2,0,0,#REF!,1))</f>
        <v>#REF!</v>
      </c>
      <c r="AD3764" s="4" t="e">
        <f>InsurerSize(#REF!)</f>
        <v>#VALUE!</v>
      </c>
      <c r="AE3764" s="4" t="e">
        <f t="shared" si="70"/>
        <v>#VALUE!</v>
      </c>
    </row>
    <row r="3765" spans="8:31" x14ac:dyDescent="0.2">
      <c r="H3765" s="5"/>
      <c r="I3765" s="5"/>
      <c r="J3765" s="5"/>
      <c r="K3765" s="5"/>
      <c r="L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  <c r="W3765" s="5"/>
      <c r="X3765" s="5"/>
      <c r="Y3765" s="5"/>
      <c r="Z3765" s="5"/>
      <c r="AA3765" s="5"/>
      <c r="AC3765" t="e">
        <f ca="1">RANK(AB3765,OFFSET($AB$2,0,0,#REF!,1))</f>
        <v>#REF!</v>
      </c>
      <c r="AD3765" s="4" t="e">
        <f>InsurerSize(#REF!)</f>
        <v>#VALUE!</v>
      </c>
      <c r="AE3765" s="4" t="e">
        <f t="shared" si="70"/>
        <v>#VALUE!</v>
      </c>
    </row>
    <row r="3766" spans="8:31" x14ac:dyDescent="0.2">
      <c r="H3766" s="5"/>
      <c r="I3766" s="5"/>
      <c r="J3766" s="5"/>
      <c r="K3766" s="5"/>
      <c r="L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  <c r="W3766" s="5"/>
      <c r="X3766" s="5"/>
      <c r="Y3766" s="5"/>
      <c r="Z3766" s="5"/>
      <c r="AA3766" s="5"/>
      <c r="AC3766" t="e">
        <f ca="1">RANK(AB3766,OFFSET($AB$2,0,0,#REF!,1))</f>
        <v>#REF!</v>
      </c>
      <c r="AD3766" s="4" t="e">
        <f>InsurerSize(#REF!)</f>
        <v>#VALUE!</v>
      </c>
      <c r="AE3766" s="4" t="e">
        <f t="shared" si="70"/>
        <v>#VALUE!</v>
      </c>
    </row>
    <row r="3767" spans="8:31" x14ac:dyDescent="0.2">
      <c r="H3767" s="5"/>
      <c r="I3767" s="5"/>
      <c r="J3767" s="5"/>
      <c r="K3767" s="5"/>
      <c r="L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  <c r="W3767" s="5"/>
      <c r="X3767" s="5"/>
      <c r="Y3767" s="5"/>
      <c r="Z3767" s="5"/>
      <c r="AA3767" s="5"/>
      <c r="AC3767" t="e">
        <f ca="1">RANK(AB3767,OFFSET($AB$2,0,0,#REF!,1))</f>
        <v>#REF!</v>
      </c>
      <c r="AD3767" s="4" t="e">
        <f>InsurerSize(#REF!)</f>
        <v>#VALUE!</v>
      </c>
      <c r="AE3767" s="4" t="e">
        <f t="shared" si="70"/>
        <v>#VALUE!</v>
      </c>
    </row>
    <row r="3768" spans="8:31" x14ac:dyDescent="0.2">
      <c r="H3768" s="5"/>
      <c r="I3768" s="5"/>
      <c r="J3768" s="5"/>
      <c r="K3768" s="5"/>
      <c r="L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  <c r="W3768" s="5"/>
      <c r="X3768" s="5"/>
      <c r="Y3768" s="5"/>
      <c r="Z3768" s="5"/>
      <c r="AA3768" s="5"/>
      <c r="AC3768" t="e">
        <f ca="1">RANK(AB3768,OFFSET($AB$2,0,0,#REF!,1))</f>
        <v>#REF!</v>
      </c>
      <c r="AD3768" s="4" t="e">
        <f>InsurerSize(#REF!)</f>
        <v>#VALUE!</v>
      </c>
      <c r="AE3768" s="4" t="e">
        <f t="shared" si="70"/>
        <v>#VALUE!</v>
      </c>
    </row>
    <row r="3769" spans="8:31" x14ac:dyDescent="0.2">
      <c r="H3769" s="5"/>
      <c r="I3769" s="5"/>
      <c r="J3769" s="5"/>
      <c r="K3769" s="5"/>
      <c r="L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  <c r="W3769" s="5"/>
      <c r="X3769" s="5"/>
      <c r="Y3769" s="5"/>
      <c r="Z3769" s="5"/>
      <c r="AA3769" s="5"/>
      <c r="AC3769" t="e">
        <f ca="1">RANK(AB3769,OFFSET($AB$2,0,0,#REF!,1))</f>
        <v>#REF!</v>
      </c>
      <c r="AD3769" s="4" t="e">
        <f>InsurerSize(#REF!)</f>
        <v>#VALUE!</v>
      </c>
      <c r="AE3769" s="4" t="e">
        <f t="shared" si="70"/>
        <v>#VALUE!</v>
      </c>
    </row>
    <row r="3770" spans="8:31" x14ac:dyDescent="0.2">
      <c r="H3770" s="5"/>
      <c r="I3770" s="5"/>
      <c r="J3770" s="5"/>
      <c r="K3770" s="5"/>
      <c r="L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  <c r="W3770" s="5"/>
      <c r="X3770" s="5"/>
      <c r="Y3770" s="5"/>
      <c r="Z3770" s="5"/>
      <c r="AA3770" s="5"/>
      <c r="AC3770" t="e">
        <f ca="1">RANK(AB3770,OFFSET($AB$2,0,0,#REF!,1))</f>
        <v>#REF!</v>
      </c>
      <c r="AD3770" s="4" t="e">
        <f>InsurerSize(#REF!)</f>
        <v>#VALUE!</v>
      </c>
      <c r="AE3770" s="4" t="e">
        <f t="shared" si="70"/>
        <v>#VALUE!</v>
      </c>
    </row>
    <row r="3771" spans="8:31" x14ac:dyDescent="0.2">
      <c r="H3771" s="5"/>
      <c r="I3771" s="5"/>
      <c r="J3771" s="5"/>
      <c r="K3771" s="5"/>
      <c r="L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  <c r="W3771" s="5"/>
      <c r="X3771" s="5"/>
      <c r="Y3771" s="5"/>
      <c r="Z3771" s="5"/>
      <c r="AA3771" s="5"/>
      <c r="AC3771" t="e">
        <f ca="1">RANK(AB3771,OFFSET($AB$2,0,0,#REF!,1))</f>
        <v>#REF!</v>
      </c>
      <c r="AD3771" s="4" t="e">
        <f>InsurerSize(#REF!)</f>
        <v>#VALUE!</v>
      </c>
      <c r="AE3771" s="4" t="e">
        <f t="shared" si="70"/>
        <v>#VALUE!</v>
      </c>
    </row>
    <row r="3772" spans="8:31" x14ac:dyDescent="0.2">
      <c r="H3772" s="5"/>
      <c r="I3772" s="5"/>
      <c r="J3772" s="5"/>
      <c r="K3772" s="5"/>
      <c r="L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  <c r="W3772" s="5"/>
      <c r="X3772" s="5"/>
      <c r="Y3772" s="5"/>
      <c r="Z3772" s="5"/>
      <c r="AA3772" s="5"/>
      <c r="AC3772" t="e">
        <f ca="1">RANK(AB3772,OFFSET($AB$2,0,0,#REF!,1))</f>
        <v>#REF!</v>
      </c>
      <c r="AD3772" s="4" t="e">
        <f>InsurerSize(#REF!)</f>
        <v>#VALUE!</v>
      </c>
      <c r="AE3772" s="4" t="e">
        <f t="shared" si="70"/>
        <v>#VALUE!</v>
      </c>
    </row>
    <row r="3773" spans="8:31" x14ac:dyDescent="0.2">
      <c r="H3773" s="5"/>
      <c r="I3773" s="5"/>
      <c r="J3773" s="5"/>
      <c r="K3773" s="5"/>
      <c r="L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  <c r="W3773" s="5"/>
      <c r="X3773" s="5"/>
      <c r="Y3773" s="5"/>
      <c r="Z3773" s="5"/>
      <c r="AA3773" s="5"/>
      <c r="AC3773" t="e">
        <f ca="1">RANK(AB3773,OFFSET($AB$2,0,0,#REF!,1))</f>
        <v>#REF!</v>
      </c>
      <c r="AD3773" s="4" t="e">
        <f>InsurerSize(#REF!)</f>
        <v>#VALUE!</v>
      </c>
      <c r="AE3773" s="4" t="e">
        <f t="shared" si="70"/>
        <v>#VALUE!</v>
      </c>
    </row>
    <row r="3774" spans="8:31" x14ac:dyDescent="0.2">
      <c r="H3774" s="5"/>
      <c r="I3774" s="5"/>
      <c r="J3774" s="5"/>
      <c r="K3774" s="5"/>
      <c r="L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  <c r="W3774" s="5"/>
      <c r="X3774" s="5"/>
      <c r="Y3774" s="5"/>
      <c r="Z3774" s="5"/>
      <c r="AA3774" s="5"/>
      <c r="AC3774" t="e">
        <f ca="1">RANK(AB3774,OFFSET($AB$2,0,0,#REF!,1))</f>
        <v>#REF!</v>
      </c>
      <c r="AD3774" s="4" t="e">
        <f>InsurerSize(#REF!)</f>
        <v>#VALUE!</v>
      </c>
      <c r="AE3774" s="4" t="e">
        <f t="shared" si="70"/>
        <v>#VALUE!</v>
      </c>
    </row>
    <row r="3775" spans="8:31" x14ac:dyDescent="0.2">
      <c r="H3775" s="5"/>
      <c r="I3775" s="5"/>
      <c r="J3775" s="5"/>
      <c r="K3775" s="5"/>
      <c r="L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  <c r="W3775" s="5"/>
      <c r="X3775" s="5"/>
      <c r="Y3775" s="5"/>
      <c r="Z3775" s="5"/>
      <c r="AA3775" s="5"/>
      <c r="AC3775" t="e">
        <f ca="1">RANK(AB3775,OFFSET($AB$2,0,0,#REF!,1))</f>
        <v>#REF!</v>
      </c>
      <c r="AD3775" s="4" t="e">
        <f>InsurerSize(#REF!)</f>
        <v>#VALUE!</v>
      </c>
      <c r="AE3775" s="4" t="e">
        <f t="shared" si="70"/>
        <v>#VALUE!</v>
      </c>
    </row>
    <row r="3776" spans="8:31" x14ac:dyDescent="0.2">
      <c r="H3776" s="5"/>
      <c r="I3776" s="5"/>
      <c r="J3776" s="5"/>
      <c r="K3776" s="5"/>
      <c r="L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  <c r="W3776" s="5"/>
      <c r="X3776" s="5"/>
      <c r="Y3776" s="5"/>
      <c r="Z3776" s="5"/>
      <c r="AA3776" s="5"/>
      <c r="AC3776" t="e">
        <f ca="1">RANK(AB3776,OFFSET($AB$2,0,0,#REF!,1))</f>
        <v>#REF!</v>
      </c>
      <c r="AD3776" s="4" t="e">
        <f>InsurerSize(#REF!)</f>
        <v>#VALUE!</v>
      </c>
      <c r="AE3776" s="4" t="e">
        <f t="shared" si="70"/>
        <v>#VALUE!</v>
      </c>
    </row>
    <row r="3777" spans="8:31" x14ac:dyDescent="0.2">
      <c r="H3777" s="5"/>
      <c r="I3777" s="5"/>
      <c r="J3777" s="5"/>
      <c r="K3777" s="5"/>
      <c r="L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  <c r="W3777" s="5"/>
      <c r="X3777" s="5"/>
      <c r="Y3777" s="5"/>
      <c r="Z3777" s="5"/>
      <c r="AA3777" s="5"/>
      <c r="AC3777" t="e">
        <f ca="1">RANK(AB3777,OFFSET($AB$2,0,0,#REF!,1))</f>
        <v>#REF!</v>
      </c>
      <c r="AD3777" s="4" t="e">
        <f>InsurerSize(#REF!)</f>
        <v>#VALUE!</v>
      </c>
      <c r="AE3777" s="4" t="e">
        <f t="shared" si="70"/>
        <v>#VALUE!</v>
      </c>
    </row>
    <row r="3778" spans="8:31" x14ac:dyDescent="0.2">
      <c r="H3778" s="5"/>
      <c r="I3778" s="5"/>
      <c r="J3778" s="5"/>
      <c r="K3778" s="5"/>
      <c r="L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  <c r="W3778" s="5"/>
      <c r="X3778" s="5"/>
      <c r="Y3778" s="5"/>
      <c r="Z3778" s="5"/>
      <c r="AA3778" s="5"/>
      <c r="AC3778" t="e">
        <f ca="1">RANK(AB3778,OFFSET($AB$2,0,0,#REF!,1))</f>
        <v>#REF!</v>
      </c>
      <c r="AD3778" s="4" t="e">
        <f>InsurerSize(#REF!)</f>
        <v>#VALUE!</v>
      </c>
      <c r="AE3778" s="4" t="e">
        <f t="shared" ref="AE3778:AE3841" si="71">A3778&amp;AD3778</f>
        <v>#VALUE!</v>
      </c>
    </row>
    <row r="3779" spans="8:31" x14ac:dyDescent="0.2">
      <c r="H3779" s="5"/>
      <c r="I3779" s="5"/>
      <c r="J3779" s="5"/>
      <c r="K3779" s="5"/>
      <c r="L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  <c r="W3779" s="5"/>
      <c r="X3779" s="5"/>
      <c r="Y3779" s="5"/>
      <c r="Z3779" s="5"/>
      <c r="AA3779" s="5"/>
      <c r="AC3779" t="e">
        <f ca="1">RANK(AB3779,OFFSET($AB$2,0,0,#REF!,1))</f>
        <v>#REF!</v>
      </c>
      <c r="AD3779" s="4" t="e">
        <f>InsurerSize(#REF!)</f>
        <v>#VALUE!</v>
      </c>
      <c r="AE3779" s="4" t="e">
        <f t="shared" si="71"/>
        <v>#VALUE!</v>
      </c>
    </row>
    <row r="3780" spans="8:31" x14ac:dyDescent="0.2">
      <c r="H3780" s="5"/>
      <c r="I3780" s="5"/>
      <c r="J3780" s="5"/>
      <c r="K3780" s="5"/>
      <c r="L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  <c r="W3780" s="5"/>
      <c r="X3780" s="5"/>
      <c r="Y3780" s="5"/>
      <c r="Z3780" s="5"/>
      <c r="AA3780" s="5"/>
      <c r="AC3780" t="e">
        <f ca="1">RANK(AB3780,OFFSET($AB$2,0,0,#REF!,1))</f>
        <v>#REF!</v>
      </c>
      <c r="AD3780" s="4" t="e">
        <f>InsurerSize(#REF!)</f>
        <v>#VALUE!</v>
      </c>
      <c r="AE3780" s="4" t="e">
        <f t="shared" si="71"/>
        <v>#VALUE!</v>
      </c>
    </row>
    <row r="3781" spans="8:31" x14ac:dyDescent="0.2">
      <c r="H3781" s="5"/>
      <c r="I3781" s="5"/>
      <c r="J3781" s="5"/>
      <c r="K3781" s="5"/>
      <c r="L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  <c r="W3781" s="5"/>
      <c r="X3781" s="5"/>
      <c r="Y3781" s="5"/>
      <c r="Z3781" s="5"/>
      <c r="AA3781" s="5"/>
      <c r="AC3781" t="e">
        <f ca="1">RANK(AB3781,OFFSET($AB$2,0,0,#REF!,1))</f>
        <v>#REF!</v>
      </c>
      <c r="AD3781" s="4" t="e">
        <f>InsurerSize(#REF!)</f>
        <v>#VALUE!</v>
      </c>
      <c r="AE3781" s="4" t="e">
        <f t="shared" si="71"/>
        <v>#VALUE!</v>
      </c>
    </row>
    <row r="3782" spans="8:31" x14ac:dyDescent="0.2">
      <c r="H3782" s="5"/>
      <c r="I3782" s="5"/>
      <c r="J3782" s="5"/>
      <c r="K3782" s="5"/>
      <c r="L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  <c r="W3782" s="5"/>
      <c r="X3782" s="5"/>
      <c r="Y3782" s="5"/>
      <c r="Z3782" s="5"/>
      <c r="AA3782" s="5"/>
      <c r="AC3782" t="e">
        <f ca="1">RANK(AB3782,OFFSET($AB$2,0,0,#REF!,1))</f>
        <v>#REF!</v>
      </c>
      <c r="AD3782" s="4" t="e">
        <f>InsurerSize(#REF!)</f>
        <v>#VALUE!</v>
      </c>
      <c r="AE3782" s="4" t="e">
        <f t="shared" si="71"/>
        <v>#VALUE!</v>
      </c>
    </row>
    <row r="3783" spans="8:31" x14ac:dyDescent="0.2">
      <c r="H3783" s="5"/>
      <c r="I3783" s="5"/>
      <c r="J3783" s="5"/>
      <c r="K3783" s="5"/>
      <c r="L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  <c r="W3783" s="5"/>
      <c r="X3783" s="5"/>
      <c r="Y3783" s="5"/>
      <c r="Z3783" s="5"/>
      <c r="AA3783" s="5"/>
      <c r="AC3783" t="e">
        <f ca="1">RANK(AB3783,OFFSET($AB$2,0,0,#REF!,1))</f>
        <v>#REF!</v>
      </c>
      <c r="AD3783" s="4" t="e">
        <f>InsurerSize(#REF!)</f>
        <v>#VALUE!</v>
      </c>
      <c r="AE3783" s="4" t="e">
        <f t="shared" si="71"/>
        <v>#VALUE!</v>
      </c>
    </row>
    <row r="3784" spans="8:31" x14ac:dyDescent="0.2">
      <c r="H3784" s="5"/>
      <c r="I3784" s="5"/>
      <c r="J3784" s="5"/>
      <c r="K3784" s="5"/>
      <c r="L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  <c r="W3784" s="5"/>
      <c r="X3784" s="5"/>
      <c r="Y3784" s="5"/>
      <c r="Z3784" s="5"/>
      <c r="AA3784" s="5"/>
      <c r="AC3784" t="e">
        <f ca="1">RANK(AB3784,OFFSET($AB$2,0,0,#REF!,1))</f>
        <v>#REF!</v>
      </c>
      <c r="AD3784" s="4" t="e">
        <f>InsurerSize(#REF!)</f>
        <v>#VALUE!</v>
      </c>
      <c r="AE3784" s="4" t="e">
        <f t="shared" si="71"/>
        <v>#VALUE!</v>
      </c>
    </row>
    <row r="3785" spans="8:31" x14ac:dyDescent="0.2">
      <c r="H3785" s="5"/>
      <c r="I3785" s="5"/>
      <c r="J3785" s="5"/>
      <c r="K3785" s="5"/>
      <c r="L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5"/>
      <c r="Z3785" s="5"/>
      <c r="AA3785" s="5"/>
      <c r="AC3785" t="e">
        <f ca="1">RANK(AB3785,OFFSET($AB$2,0,0,#REF!,1))</f>
        <v>#REF!</v>
      </c>
      <c r="AD3785" s="4" t="e">
        <f>InsurerSize(#REF!)</f>
        <v>#VALUE!</v>
      </c>
      <c r="AE3785" s="4" t="e">
        <f t="shared" si="71"/>
        <v>#VALUE!</v>
      </c>
    </row>
    <row r="3786" spans="8:31" x14ac:dyDescent="0.2">
      <c r="H3786" s="5"/>
      <c r="I3786" s="5"/>
      <c r="J3786" s="5"/>
      <c r="K3786" s="5"/>
      <c r="L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  <c r="W3786" s="5"/>
      <c r="X3786" s="5"/>
      <c r="Y3786" s="5"/>
      <c r="Z3786" s="5"/>
      <c r="AA3786" s="5"/>
      <c r="AC3786" t="e">
        <f ca="1">RANK(AB3786,OFFSET($AB$2,0,0,#REF!,1))</f>
        <v>#REF!</v>
      </c>
      <c r="AD3786" s="4" t="e">
        <f>InsurerSize(#REF!)</f>
        <v>#VALUE!</v>
      </c>
      <c r="AE3786" s="4" t="e">
        <f t="shared" si="71"/>
        <v>#VALUE!</v>
      </c>
    </row>
    <row r="3787" spans="8:31" x14ac:dyDescent="0.2">
      <c r="H3787" s="5"/>
      <c r="I3787" s="5"/>
      <c r="J3787" s="5"/>
      <c r="K3787" s="5"/>
      <c r="L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  <c r="W3787" s="5"/>
      <c r="X3787" s="5"/>
      <c r="Y3787" s="5"/>
      <c r="Z3787" s="5"/>
      <c r="AA3787" s="5"/>
      <c r="AC3787" t="e">
        <f ca="1">RANK(AB3787,OFFSET($AB$2,0,0,#REF!,1))</f>
        <v>#REF!</v>
      </c>
      <c r="AD3787" s="4" t="e">
        <f>InsurerSize(#REF!)</f>
        <v>#VALUE!</v>
      </c>
      <c r="AE3787" s="4" t="e">
        <f t="shared" si="71"/>
        <v>#VALUE!</v>
      </c>
    </row>
    <row r="3788" spans="8:31" x14ac:dyDescent="0.2">
      <c r="H3788" s="5"/>
      <c r="I3788" s="5"/>
      <c r="J3788" s="5"/>
      <c r="K3788" s="5"/>
      <c r="L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  <c r="W3788" s="5"/>
      <c r="X3788" s="5"/>
      <c r="Y3788" s="5"/>
      <c r="Z3788" s="5"/>
      <c r="AA3788" s="5"/>
      <c r="AC3788" t="e">
        <f ca="1">RANK(AB3788,OFFSET($AB$2,0,0,#REF!,1))</f>
        <v>#REF!</v>
      </c>
      <c r="AD3788" s="4" t="e">
        <f>InsurerSize(#REF!)</f>
        <v>#VALUE!</v>
      </c>
      <c r="AE3788" s="4" t="e">
        <f t="shared" si="71"/>
        <v>#VALUE!</v>
      </c>
    </row>
    <row r="3789" spans="8:31" x14ac:dyDescent="0.2">
      <c r="H3789" s="5"/>
      <c r="I3789" s="5"/>
      <c r="J3789" s="5"/>
      <c r="K3789" s="5"/>
      <c r="L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  <c r="W3789" s="5"/>
      <c r="X3789" s="5"/>
      <c r="Y3789" s="5"/>
      <c r="Z3789" s="5"/>
      <c r="AA3789" s="5"/>
      <c r="AC3789" t="e">
        <f ca="1">RANK(AB3789,OFFSET($AB$2,0,0,#REF!,1))</f>
        <v>#REF!</v>
      </c>
      <c r="AD3789" s="4" t="e">
        <f>InsurerSize(#REF!)</f>
        <v>#VALUE!</v>
      </c>
      <c r="AE3789" s="4" t="e">
        <f t="shared" si="71"/>
        <v>#VALUE!</v>
      </c>
    </row>
    <row r="3790" spans="8:31" x14ac:dyDescent="0.2">
      <c r="H3790" s="5"/>
      <c r="I3790" s="5"/>
      <c r="J3790" s="5"/>
      <c r="K3790" s="5"/>
      <c r="L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  <c r="W3790" s="5"/>
      <c r="X3790" s="5"/>
      <c r="Y3790" s="5"/>
      <c r="Z3790" s="5"/>
      <c r="AA3790" s="5"/>
      <c r="AC3790" t="e">
        <f ca="1">RANK(AB3790,OFFSET($AB$2,0,0,#REF!,1))</f>
        <v>#REF!</v>
      </c>
      <c r="AD3790" s="4" t="e">
        <f>InsurerSize(#REF!)</f>
        <v>#VALUE!</v>
      </c>
      <c r="AE3790" s="4" t="e">
        <f t="shared" si="71"/>
        <v>#VALUE!</v>
      </c>
    </row>
    <row r="3791" spans="8:31" x14ac:dyDescent="0.2">
      <c r="H3791" s="5"/>
      <c r="I3791" s="5"/>
      <c r="J3791" s="5"/>
      <c r="K3791" s="5"/>
      <c r="L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  <c r="W3791" s="5"/>
      <c r="X3791" s="5"/>
      <c r="Y3791" s="5"/>
      <c r="Z3791" s="5"/>
      <c r="AA3791" s="5"/>
      <c r="AC3791" t="e">
        <f ca="1">RANK(AB3791,OFFSET($AB$2,0,0,#REF!,1))</f>
        <v>#REF!</v>
      </c>
      <c r="AD3791" s="4" t="e">
        <f>InsurerSize(#REF!)</f>
        <v>#VALUE!</v>
      </c>
      <c r="AE3791" s="4" t="e">
        <f t="shared" si="71"/>
        <v>#VALUE!</v>
      </c>
    </row>
    <row r="3792" spans="8:31" x14ac:dyDescent="0.2">
      <c r="H3792" s="5"/>
      <c r="I3792" s="5"/>
      <c r="J3792" s="5"/>
      <c r="K3792" s="5"/>
      <c r="L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  <c r="W3792" s="5"/>
      <c r="X3792" s="5"/>
      <c r="Y3792" s="5"/>
      <c r="Z3792" s="5"/>
      <c r="AA3792" s="5"/>
      <c r="AC3792" t="e">
        <f ca="1">RANK(AB3792,OFFSET($AB$2,0,0,#REF!,1))</f>
        <v>#REF!</v>
      </c>
      <c r="AD3792" s="4" t="e">
        <f>InsurerSize(#REF!)</f>
        <v>#VALUE!</v>
      </c>
      <c r="AE3792" s="4" t="e">
        <f t="shared" si="71"/>
        <v>#VALUE!</v>
      </c>
    </row>
    <row r="3793" spans="8:31" x14ac:dyDescent="0.2">
      <c r="H3793" s="5"/>
      <c r="I3793" s="5"/>
      <c r="J3793" s="5"/>
      <c r="K3793" s="5"/>
      <c r="L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  <c r="W3793" s="5"/>
      <c r="X3793" s="5"/>
      <c r="Y3793" s="5"/>
      <c r="Z3793" s="5"/>
      <c r="AA3793" s="5"/>
      <c r="AC3793" t="e">
        <f ca="1">RANK(AB3793,OFFSET($AB$2,0,0,#REF!,1))</f>
        <v>#REF!</v>
      </c>
      <c r="AD3793" s="4" t="e">
        <f>InsurerSize(#REF!)</f>
        <v>#VALUE!</v>
      </c>
      <c r="AE3793" s="4" t="e">
        <f t="shared" si="71"/>
        <v>#VALUE!</v>
      </c>
    </row>
    <row r="3794" spans="8:31" x14ac:dyDescent="0.2">
      <c r="H3794" s="5"/>
      <c r="I3794" s="5"/>
      <c r="J3794" s="5"/>
      <c r="K3794" s="5"/>
      <c r="L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  <c r="W3794" s="5"/>
      <c r="X3794" s="5"/>
      <c r="Y3794" s="5"/>
      <c r="Z3794" s="5"/>
      <c r="AA3794" s="5"/>
      <c r="AC3794" t="e">
        <f ca="1">RANK(AB3794,OFFSET($AB$2,0,0,#REF!,1))</f>
        <v>#REF!</v>
      </c>
      <c r="AD3794" s="4" t="e">
        <f>InsurerSize(#REF!)</f>
        <v>#VALUE!</v>
      </c>
      <c r="AE3794" s="4" t="e">
        <f t="shared" si="71"/>
        <v>#VALUE!</v>
      </c>
    </row>
    <row r="3795" spans="8:31" x14ac:dyDescent="0.2">
      <c r="H3795" s="5"/>
      <c r="I3795" s="5"/>
      <c r="J3795" s="5"/>
      <c r="K3795" s="5"/>
      <c r="L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  <c r="W3795" s="5"/>
      <c r="X3795" s="5"/>
      <c r="Y3795" s="5"/>
      <c r="Z3795" s="5"/>
      <c r="AA3795" s="5"/>
      <c r="AC3795" t="e">
        <f ca="1">RANK(AB3795,OFFSET($AB$2,0,0,#REF!,1))</f>
        <v>#REF!</v>
      </c>
      <c r="AD3795" s="4" t="e">
        <f>InsurerSize(#REF!)</f>
        <v>#VALUE!</v>
      </c>
      <c r="AE3795" s="4" t="e">
        <f t="shared" si="71"/>
        <v>#VALUE!</v>
      </c>
    </row>
    <row r="3796" spans="8:31" x14ac:dyDescent="0.2">
      <c r="H3796" s="5"/>
      <c r="I3796" s="5"/>
      <c r="J3796" s="5"/>
      <c r="K3796" s="5"/>
      <c r="L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  <c r="W3796" s="5"/>
      <c r="X3796" s="5"/>
      <c r="Y3796" s="5"/>
      <c r="Z3796" s="5"/>
      <c r="AA3796" s="5"/>
      <c r="AC3796" t="e">
        <f ca="1">RANK(AB3796,OFFSET($AB$2,0,0,#REF!,1))</f>
        <v>#REF!</v>
      </c>
      <c r="AD3796" s="4" t="e">
        <f>InsurerSize(#REF!)</f>
        <v>#VALUE!</v>
      </c>
      <c r="AE3796" s="4" t="e">
        <f t="shared" si="71"/>
        <v>#VALUE!</v>
      </c>
    </row>
    <row r="3797" spans="8:31" x14ac:dyDescent="0.2">
      <c r="H3797" s="5"/>
      <c r="I3797" s="5"/>
      <c r="J3797" s="5"/>
      <c r="K3797" s="5"/>
      <c r="L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  <c r="W3797" s="5"/>
      <c r="X3797" s="5"/>
      <c r="Y3797" s="5"/>
      <c r="Z3797" s="5"/>
      <c r="AA3797" s="5"/>
      <c r="AC3797" t="e">
        <f ca="1">RANK(AB3797,OFFSET($AB$2,0,0,#REF!,1))</f>
        <v>#REF!</v>
      </c>
      <c r="AD3797" s="4" t="e">
        <f>InsurerSize(#REF!)</f>
        <v>#VALUE!</v>
      </c>
      <c r="AE3797" s="4" t="e">
        <f t="shared" si="71"/>
        <v>#VALUE!</v>
      </c>
    </row>
    <row r="3798" spans="8:31" x14ac:dyDescent="0.2">
      <c r="H3798" s="5"/>
      <c r="I3798" s="5"/>
      <c r="J3798" s="5"/>
      <c r="K3798" s="5"/>
      <c r="L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  <c r="W3798" s="5"/>
      <c r="X3798" s="5"/>
      <c r="Y3798" s="5"/>
      <c r="Z3798" s="5"/>
      <c r="AA3798" s="5"/>
      <c r="AC3798" t="e">
        <f ca="1">RANK(AB3798,OFFSET($AB$2,0,0,#REF!,1))</f>
        <v>#REF!</v>
      </c>
      <c r="AD3798" s="4" t="e">
        <f>InsurerSize(#REF!)</f>
        <v>#VALUE!</v>
      </c>
      <c r="AE3798" s="4" t="e">
        <f t="shared" si="71"/>
        <v>#VALUE!</v>
      </c>
    </row>
    <row r="3799" spans="8:31" x14ac:dyDescent="0.2">
      <c r="H3799" s="5"/>
      <c r="I3799" s="5"/>
      <c r="J3799" s="5"/>
      <c r="K3799" s="5"/>
      <c r="L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  <c r="W3799" s="5"/>
      <c r="X3799" s="5"/>
      <c r="Y3799" s="5"/>
      <c r="Z3799" s="5"/>
      <c r="AA3799" s="5"/>
      <c r="AC3799" t="e">
        <f ca="1">RANK(AB3799,OFFSET($AB$2,0,0,#REF!,1))</f>
        <v>#REF!</v>
      </c>
      <c r="AD3799" s="4" t="e">
        <f>InsurerSize(#REF!)</f>
        <v>#VALUE!</v>
      </c>
      <c r="AE3799" s="4" t="e">
        <f t="shared" si="71"/>
        <v>#VALUE!</v>
      </c>
    </row>
    <row r="3800" spans="8:31" x14ac:dyDescent="0.2">
      <c r="H3800" s="5"/>
      <c r="I3800" s="5"/>
      <c r="J3800" s="5"/>
      <c r="K3800" s="5"/>
      <c r="L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  <c r="W3800" s="5"/>
      <c r="X3800" s="5"/>
      <c r="Y3800" s="5"/>
      <c r="Z3800" s="5"/>
      <c r="AA3800" s="5"/>
      <c r="AC3800" t="e">
        <f ca="1">RANK(AB3800,OFFSET($AB$2,0,0,#REF!,1))</f>
        <v>#REF!</v>
      </c>
      <c r="AD3800" s="4" t="e">
        <f>InsurerSize(#REF!)</f>
        <v>#VALUE!</v>
      </c>
      <c r="AE3800" s="4" t="e">
        <f t="shared" si="71"/>
        <v>#VALUE!</v>
      </c>
    </row>
    <row r="3801" spans="8:31" x14ac:dyDescent="0.2">
      <c r="H3801" s="5"/>
      <c r="I3801" s="5"/>
      <c r="J3801" s="5"/>
      <c r="K3801" s="5"/>
      <c r="L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  <c r="W3801" s="5"/>
      <c r="X3801" s="5"/>
      <c r="Y3801" s="5"/>
      <c r="Z3801" s="5"/>
      <c r="AA3801" s="5"/>
      <c r="AC3801" t="e">
        <f ca="1">RANK(AB3801,OFFSET($AB$2,0,0,#REF!,1))</f>
        <v>#REF!</v>
      </c>
      <c r="AD3801" s="4" t="e">
        <f>InsurerSize(#REF!)</f>
        <v>#VALUE!</v>
      </c>
      <c r="AE3801" s="4" t="e">
        <f t="shared" si="71"/>
        <v>#VALUE!</v>
      </c>
    </row>
    <row r="3802" spans="8:31" x14ac:dyDescent="0.2">
      <c r="H3802" s="5"/>
      <c r="I3802" s="5"/>
      <c r="J3802" s="5"/>
      <c r="K3802" s="5"/>
      <c r="L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  <c r="W3802" s="5"/>
      <c r="X3802" s="5"/>
      <c r="Y3802" s="5"/>
      <c r="Z3802" s="5"/>
      <c r="AA3802" s="5"/>
      <c r="AC3802" t="e">
        <f ca="1">RANK(AB3802,OFFSET($AB$2,0,0,#REF!,1))</f>
        <v>#REF!</v>
      </c>
      <c r="AD3802" s="4" t="e">
        <f>InsurerSize(#REF!)</f>
        <v>#VALUE!</v>
      </c>
      <c r="AE3802" s="4" t="e">
        <f t="shared" si="71"/>
        <v>#VALUE!</v>
      </c>
    </row>
    <row r="3803" spans="8:31" x14ac:dyDescent="0.2">
      <c r="H3803" s="5"/>
      <c r="I3803" s="5"/>
      <c r="J3803" s="5"/>
      <c r="K3803" s="5"/>
      <c r="L3803" s="5"/>
      <c r="M3803" s="5"/>
      <c r="N3803" s="5"/>
      <c r="O3803" s="5"/>
      <c r="P3803" s="5"/>
      <c r="Q3803" s="5"/>
      <c r="R3803" s="5"/>
      <c r="S3803" s="5"/>
      <c r="T3803" s="5"/>
      <c r="U3803" s="5"/>
      <c r="V3803" s="5"/>
      <c r="W3803" s="5"/>
      <c r="X3803" s="5"/>
      <c r="Y3803" s="5"/>
      <c r="Z3803" s="5"/>
      <c r="AA3803" s="5"/>
      <c r="AC3803" t="e">
        <f ca="1">RANK(AB3803,OFFSET($AB$2,0,0,#REF!,1))</f>
        <v>#REF!</v>
      </c>
      <c r="AD3803" s="4" t="e">
        <f>InsurerSize(#REF!)</f>
        <v>#VALUE!</v>
      </c>
      <c r="AE3803" s="4" t="e">
        <f t="shared" si="71"/>
        <v>#VALUE!</v>
      </c>
    </row>
    <row r="3804" spans="8:31" x14ac:dyDescent="0.2">
      <c r="H3804" s="5"/>
      <c r="I3804" s="5"/>
      <c r="J3804" s="5"/>
      <c r="K3804" s="5"/>
      <c r="L3804" s="5"/>
      <c r="M3804" s="5"/>
      <c r="N3804" s="5"/>
      <c r="O3804" s="5"/>
      <c r="P3804" s="5"/>
      <c r="Q3804" s="5"/>
      <c r="R3804" s="5"/>
      <c r="S3804" s="5"/>
      <c r="T3804" s="5"/>
      <c r="U3804" s="5"/>
      <c r="V3804" s="5"/>
      <c r="W3804" s="5"/>
      <c r="X3804" s="5"/>
      <c r="Y3804" s="5"/>
      <c r="Z3804" s="5"/>
      <c r="AA3804" s="5"/>
      <c r="AC3804" t="e">
        <f ca="1">RANK(AB3804,OFFSET($AB$2,0,0,#REF!,1))</f>
        <v>#REF!</v>
      </c>
      <c r="AD3804" s="4" t="e">
        <f>InsurerSize(#REF!)</f>
        <v>#VALUE!</v>
      </c>
      <c r="AE3804" s="4" t="e">
        <f t="shared" si="71"/>
        <v>#VALUE!</v>
      </c>
    </row>
    <row r="3805" spans="8:31" x14ac:dyDescent="0.2">
      <c r="H3805" s="5"/>
      <c r="I3805" s="5"/>
      <c r="J3805" s="5"/>
      <c r="K3805" s="5"/>
      <c r="L3805" s="5"/>
      <c r="M3805" s="5"/>
      <c r="N3805" s="5"/>
      <c r="O3805" s="5"/>
      <c r="P3805" s="5"/>
      <c r="Q3805" s="5"/>
      <c r="R3805" s="5"/>
      <c r="S3805" s="5"/>
      <c r="T3805" s="5"/>
      <c r="U3805" s="5"/>
      <c r="V3805" s="5"/>
      <c r="W3805" s="5"/>
      <c r="X3805" s="5"/>
      <c r="Y3805" s="5"/>
      <c r="Z3805" s="5"/>
      <c r="AA3805" s="5"/>
      <c r="AC3805" t="e">
        <f ca="1">RANK(AB3805,OFFSET($AB$2,0,0,#REF!,1))</f>
        <v>#REF!</v>
      </c>
      <c r="AD3805" s="4" t="e">
        <f>InsurerSize(#REF!)</f>
        <v>#VALUE!</v>
      </c>
      <c r="AE3805" s="4" t="e">
        <f t="shared" si="71"/>
        <v>#VALUE!</v>
      </c>
    </row>
    <row r="3806" spans="8:31" x14ac:dyDescent="0.2">
      <c r="H3806" s="5"/>
      <c r="I3806" s="5"/>
      <c r="J3806" s="5"/>
      <c r="K3806" s="5"/>
      <c r="L3806" s="5"/>
      <c r="M3806" s="5"/>
      <c r="N3806" s="5"/>
      <c r="O3806" s="5"/>
      <c r="P3806" s="5"/>
      <c r="Q3806" s="5"/>
      <c r="R3806" s="5"/>
      <c r="S3806" s="5"/>
      <c r="T3806" s="5"/>
      <c r="U3806" s="5"/>
      <c r="V3806" s="5"/>
      <c r="W3806" s="5"/>
      <c r="X3806" s="5"/>
      <c r="Y3806" s="5"/>
      <c r="Z3806" s="5"/>
      <c r="AA3806" s="5"/>
      <c r="AC3806" t="e">
        <f ca="1">RANK(AB3806,OFFSET($AB$2,0,0,#REF!,1))</f>
        <v>#REF!</v>
      </c>
      <c r="AD3806" s="4" t="e">
        <f>InsurerSize(#REF!)</f>
        <v>#VALUE!</v>
      </c>
      <c r="AE3806" s="4" t="e">
        <f t="shared" si="71"/>
        <v>#VALUE!</v>
      </c>
    </row>
    <row r="3807" spans="8:31" x14ac:dyDescent="0.2">
      <c r="H3807" s="5"/>
      <c r="I3807" s="5"/>
      <c r="J3807" s="5"/>
      <c r="K3807" s="5"/>
      <c r="L3807" s="5"/>
      <c r="M3807" s="5"/>
      <c r="N3807" s="5"/>
      <c r="O3807" s="5"/>
      <c r="P3807" s="5"/>
      <c r="Q3807" s="5"/>
      <c r="R3807" s="5"/>
      <c r="S3807" s="5"/>
      <c r="T3807" s="5"/>
      <c r="U3807" s="5"/>
      <c r="V3807" s="5"/>
      <c r="W3807" s="5"/>
      <c r="X3807" s="5"/>
      <c r="Y3807" s="5"/>
      <c r="Z3807" s="5"/>
      <c r="AA3807" s="5"/>
      <c r="AC3807" t="e">
        <f ca="1">RANK(AB3807,OFFSET($AB$2,0,0,#REF!,1))</f>
        <v>#REF!</v>
      </c>
      <c r="AD3807" s="4" t="e">
        <f>InsurerSize(#REF!)</f>
        <v>#VALUE!</v>
      </c>
      <c r="AE3807" s="4" t="e">
        <f t="shared" si="71"/>
        <v>#VALUE!</v>
      </c>
    </row>
    <row r="3808" spans="8:31" x14ac:dyDescent="0.2">
      <c r="H3808" s="5"/>
      <c r="I3808" s="5"/>
      <c r="J3808" s="5"/>
      <c r="K3808" s="5"/>
      <c r="L3808" s="5"/>
      <c r="M3808" s="5"/>
      <c r="N3808" s="5"/>
      <c r="O3808" s="5"/>
      <c r="P3808" s="5"/>
      <c r="Q3808" s="5"/>
      <c r="R3808" s="5"/>
      <c r="S3808" s="5"/>
      <c r="T3808" s="5"/>
      <c r="U3808" s="5"/>
      <c r="V3808" s="5"/>
      <c r="W3808" s="5"/>
      <c r="X3808" s="5"/>
      <c r="Y3808" s="5"/>
      <c r="Z3808" s="5"/>
      <c r="AA3808" s="5"/>
      <c r="AC3808" t="e">
        <f ca="1">RANK(AB3808,OFFSET($AB$2,0,0,#REF!,1))</f>
        <v>#REF!</v>
      </c>
      <c r="AD3808" s="4" t="e">
        <f>InsurerSize(#REF!)</f>
        <v>#VALUE!</v>
      </c>
      <c r="AE3808" s="4" t="e">
        <f t="shared" si="71"/>
        <v>#VALUE!</v>
      </c>
    </row>
    <row r="3809" spans="8:31" x14ac:dyDescent="0.2">
      <c r="H3809" s="5"/>
      <c r="I3809" s="5"/>
      <c r="J3809" s="5"/>
      <c r="K3809" s="5"/>
      <c r="L3809" s="5"/>
      <c r="M3809" s="5"/>
      <c r="N3809" s="5"/>
      <c r="O3809" s="5"/>
      <c r="P3809" s="5"/>
      <c r="Q3809" s="5"/>
      <c r="R3809" s="5"/>
      <c r="S3809" s="5"/>
      <c r="T3809" s="5"/>
      <c r="U3809" s="5"/>
      <c r="V3809" s="5"/>
      <c r="W3809" s="5"/>
      <c r="X3809" s="5"/>
      <c r="Y3809" s="5"/>
      <c r="Z3809" s="5"/>
      <c r="AA3809" s="5"/>
      <c r="AC3809" t="e">
        <f ca="1">RANK(AB3809,OFFSET($AB$2,0,0,#REF!,1))</f>
        <v>#REF!</v>
      </c>
      <c r="AD3809" s="4" t="e">
        <f>InsurerSize(#REF!)</f>
        <v>#VALUE!</v>
      </c>
      <c r="AE3809" s="4" t="e">
        <f t="shared" si="71"/>
        <v>#VALUE!</v>
      </c>
    </row>
    <row r="3810" spans="8:31" x14ac:dyDescent="0.2">
      <c r="H3810" s="5"/>
      <c r="I3810" s="5"/>
      <c r="J3810" s="5"/>
      <c r="K3810" s="5"/>
      <c r="L3810" s="5"/>
      <c r="M3810" s="5"/>
      <c r="N3810" s="5"/>
      <c r="O3810" s="5"/>
      <c r="P3810" s="5"/>
      <c r="Q3810" s="5"/>
      <c r="R3810" s="5"/>
      <c r="S3810" s="5"/>
      <c r="T3810" s="5"/>
      <c r="U3810" s="5"/>
      <c r="V3810" s="5"/>
      <c r="W3810" s="5"/>
      <c r="X3810" s="5"/>
      <c r="Y3810" s="5"/>
      <c r="Z3810" s="5"/>
      <c r="AA3810" s="5"/>
      <c r="AC3810" t="e">
        <f ca="1">RANK(AB3810,OFFSET($AB$2,0,0,#REF!,1))</f>
        <v>#REF!</v>
      </c>
      <c r="AD3810" s="4" t="e">
        <f>InsurerSize(#REF!)</f>
        <v>#VALUE!</v>
      </c>
      <c r="AE3810" s="4" t="e">
        <f t="shared" si="71"/>
        <v>#VALUE!</v>
      </c>
    </row>
    <row r="3811" spans="8:31" x14ac:dyDescent="0.2">
      <c r="H3811" s="5"/>
      <c r="I3811" s="5"/>
      <c r="J3811" s="5"/>
      <c r="K3811" s="5"/>
      <c r="L3811" s="5"/>
      <c r="M3811" s="5"/>
      <c r="N3811" s="5"/>
      <c r="O3811" s="5"/>
      <c r="P3811" s="5"/>
      <c r="Q3811" s="5"/>
      <c r="R3811" s="5"/>
      <c r="S3811" s="5"/>
      <c r="T3811" s="5"/>
      <c r="U3811" s="5"/>
      <c r="V3811" s="5"/>
      <c r="W3811" s="5"/>
      <c r="X3811" s="5"/>
      <c r="Y3811" s="5"/>
      <c r="Z3811" s="5"/>
      <c r="AA3811" s="5"/>
      <c r="AC3811" t="e">
        <f ca="1">RANK(AB3811,OFFSET($AB$2,0,0,#REF!,1))</f>
        <v>#REF!</v>
      </c>
      <c r="AD3811" s="4" t="e">
        <f>InsurerSize(#REF!)</f>
        <v>#VALUE!</v>
      </c>
      <c r="AE3811" s="4" t="e">
        <f t="shared" si="71"/>
        <v>#VALUE!</v>
      </c>
    </row>
    <row r="3812" spans="8:31" x14ac:dyDescent="0.2">
      <c r="H3812" s="5"/>
      <c r="I3812" s="5"/>
      <c r="J3812" s="5"/>
      <c r="K3812" s="5"/>
      <c r="L3812" s="5"/>
      <c r="M3812" s="5"/>
      <c r="N3812" s="5"/>
      <c r="O3812" s="5"/>
      <c r="P3812" s="5"/>
      <c r="Q3812" s="5"/>
      <c r="R3812" s="5"/>
      <c r="S3812" s="5"/>
      <c r="T3812" s="5"/>
      <c r="U3812" s="5"/>
      <c r="V3812" s="5"/>
      <c r="W3812" s="5"/>
      <c r="X3812" s="5"/>
      <c r="Y3812" s="5"/>
      <c r="Z3812" s="5"/>
      <c r="AA3812" s="5"/>
      <c r="AC3812" t="e">
        <f ca="1">RANK(AB3812,OFFSET($AB$2,0,0,#REF!,1))</f>
        <v>#REF!</v>
      </c>
      <c r="AD3812" s="4" t="e">
        <f>InsurerSize(#REF!)</f>
        <v>#VALUE!</v>
      </c>
      <c r="AE3812" s="4" t="e">
        <f t="shared" si="71"/>
        <v>#VALUE!</v>
      </c>
    </row>
    <row r="3813" spans="8:31" x14ac:dyDescent="0.2">
      <c r="H3813" s="5"/>
      <c r="I3813" s="5"/>
      <c r="J3813" s="5"/>
      <c r="K3813" s="5"/>
      <c r="L3813" s="5"/>
      <c r="M3813" s="5"/>
      <c r="N3813" s="5"/>
      <c r="O3813" s="5"/>
      <c r="P3813" s="5"/>
      <c r="Q3813" s="5"/>
      <c r="R3813" s="5"/>
      <c r="S3813" s="5"/>
      <c r="T3813" s="5"/>
      <c r="U3813" s="5"/>
      <c r="V3813" s="5"/>
      <c r="W3813" s="5"/>
      <c r="X3813" s="5"/>
      <c r="Y3813" s="5"/>
      <c r="Z3813" s="5"/>
      <c r="AA3813" s="5"/>
      <c r="AC3813" t="e">
        <f ca="1">RANK(AB3813,OFFSET($AB$2,0,0,#REF!,1))</f>
        <v>#REF!</v>
      </c>
      <c r="AD3813" s="4" t="e">
        <f>InsurerSize(#REF!)</f>
        <v>#VALUE!</v>
      </c>
      <c r="AE3813" s="4" t="e">
        <f t="shared" si="71"/>
        <v>#VALUE!</v>
      </c>
    </row>
    <row r="3814" spans="8:31" x14ac:dyDescent="0.2">
      <c r="H3814" s="5"/>
      <c r="I3814" s="5"/>
      <c r="J3814" s="5"/>
      <c r="K3814" s="5"/>
      <c r="L3814" s="5"/>
      <c r="M3814" s="5"/>
      <c r="N3814" s="5"/>
      <c r="O3814" s="5"/>
      <c r="P3814" s="5"/>
      <c r="Q3814" s="5"/>
      <c r="R3814" s="5"/>
      <c r="S3814" s="5"/>
      <c r="T3814" s="5"/>
      <c r="U3814" s="5"/>
      <c r="V3814" s="5"/>
      <c r="W3814" s="5"/>
      <c r="X3814" s="5"/>
      <c r="Y3814" s="5"/>
      <c r="Z3814" s="5"/>
      <c r="AA3814" s="5"/>
      <c r="AC3814" t="e">
        <f ca="1">RANK(AB3814,OFFSET($AB$2,0,0,#REF!,1))</f>
        <v>#REF!</v>
      </c>
      <c r="AD3814" s="4" t="e">
        <f>InsurerSize(#REF!)</f>
        <v>#VALUE!</v>
      </c>
      <c r="AE3814" s="4" t="e">
        <f t="shared" si="71"/>
        <v>#VALUE!</v>
      </c>
    </row>
    <row r="3815" spans="8:31" x14ac:dyDescent="0.2">
      <c r="H3815" s="5"/>
      <c r="I3815" s="5"/>
      <c r="J3815" s="5"/>
      <c r="K3815" s="5"/>
      <c r="L3815" s="5"/>
      <c r="M3815" s="5"/>
      <c r="N3815" s="5"/>
      <c r="O3815" s="5"/>
      <c r="P3815" s="5"/>
      <c r="Q3815" s="5"/>
      <c r="R3815" s="5"/>
      <c r="S3815" s="5"/>
      <c r="T3815" s="5"/>
      <c r="U3815" s="5"/>
      <c r="V3815" s="5"/>
      <c r="W3815" s="5"/>
      <c r="X3815" s="5"/>
      <c r="Y3815" s="5"/>
      <c r="Z3815" s="5"/>
      <c r="AA3815" s="5"/>
      <c r="AC3815" t="e">
        <f ca="1">RANK(AB3815,OFFSET($AB$2,0,0,#REF!,1))</f>
        <v>#REF!</v>
      </c>
      <c r="AD3815" s="4" t="e">
        <f>InsurerSize(#REF!)</f>
        <v>#VALUE!</v>
      </c>
      <c r="AE3815" s="4" t="e">
        <f t="shared" si="71"/>
        <v>#VALUE!</v>
      </c>
    </row>
    <row r="3816" spans="8:31" x14ac:dyDescent="0.2">
      <c r="H3816" s="5"/>
      <c r="I3816" s="5"/>
      <c r="J3816" s="5"/>
      <c r="K3816" s="5"/>
      <c r="L3816" s="5"/>
      <c r="M3816" s="5"/>
      <c r="N3816" s="5"/>
      <c r="O3816" s="5"/>
      <c r="P3816" s="5"/>
      <c r="Q3816" s="5"/>
      <c r="R3816" s="5"/>
      <c r="S3816" s="5"/>
      <c r="T3816" s="5"/>
      <c r="U3816" s="5"/>
      <c r="V3816" s="5"/>
      <c r="W3816" s="5"/>
      <c r="X3816" s="5"/>
      <c r="Y3816" s="5"/>
      <c r="Z3816" s="5"/>
      <c r="AA3816" s="5"/>
      <c r="AC3816" t="e">
        <f ca="1">RANK(AB3816,OFFSET($AB$2,0,0,#REF!,1))</f>
        <v>#REF!</v>
      </c>
      <c r="AD3816" s="4" t="e">
        <f>InsurerSize(#REF!)</f>
        <v>#VALUE!</v>
      </c>
      <c r="AE3816" s="4" t="e">
        <f t="shared" si="71"/>
        <v>#VALUE!</v>
      </c>
    </row>
    <row r="3817" spans="8:31" x14ac:dyDescent="0.2">
      <c r="H3817" s="5"/>
      <c r="I3817" s="5"/>
      <c r="J3817" s="5"/>
      <c r="K3817" s="5"/>
      <c r="L3817" s="5"/>
      <c r="M3817" s="5"/>
      <c r="N3817" s="5"/>
      <c r="O3817" s="5"/>
      <c r="P3817" s="5"/>
      <c r="Q3817" s="5"/>
      <c r="R3817" s="5"/>
      <c r="S3817" s="5"/>
      <c r="T3817" s="5"/>
      <c r="U3817" s="5"/>
      <c r="V3817" s="5"/>
      <c r="W3817" s="5"/>
      <c r="X3817" s="5"/>
      <c r="Y3817" s="5"/>
      <c r="Z3817" s="5"/>
      <c r="AA3817" s="5"/>
      <c r="AC3817" t="e">
        <f ca="1">RANK(AB3817,OFFSET($AB$2,0,0,#REF!,1))</f>
        <v>#REF!</v>
      </c>
      <c r="AD3817" s="4" t="e">
        <f>InsurerSize(#REF!)</f>
        <v>#VALUE!</v>
      </c>
      <c r="AE3817" s="4" t="e">
        <f t="shared" si="71"/>
        <v>#VALUE!</v>
      </c>
    </row>
    <row r="3818" spans="8:31" x14ac:dyDescent="0.2">
      <c r="H3818" s="5"/>
      <c r="I3818" s="5"/>
      <c r="J3818" s="5"/>
      <c r="K3818" s="5"/>
      <c r="L3818" s="5"/>
      <c r="M3818" s="5"/>
      <c r="N3818" s="5"/>
      <c r="O3818" s="5"/>
      <c r="P3818" s="5"/>
      <c r="Q3818" s="5"/>
      <c r="R3818" s="5"/>
      <c r="S3818" s="5"/>
      <c r="T3818" s="5"/>
      <c r="U3818" s="5"/>
      <c r="V3818" s="5"/>
      <c r="W3818" s="5"/>
      <c r="X3818" s="5"/>
      <c r="Y3818" s="5"/>
      <c r="Z3818" s="5"/>
      <c r="AA3818" s="5"/>
      <c r="AC3818" t="e">
        <f ca="1">RANK(AB3818,OFFSET($AB$2,0,0,#REF!,1))</f>
        <v>#REF!</v>
      </c>
      <c r="AD3818" s="4" t="e">
        <f>InsurerSize(#REF!)</f>
        <v>#VALUE!</v>
      </c>
      <c r="AE3818" s="4" t="e">
        <f t="shared" si="71"/>
        <v>#VALUE!</v>
      </c>
    </row>
    <row r="3819" spans="8:31" x14ac:dyDescent="0.2">
      <c r="H3819" s="5"/>
      <c r="I3819" s="5"/>
      <c r="J3819" s="5"/>
      <c r="K3819" s="5"/>
      <c r="L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  <c r="W3819" s="5"/>
      <c r="X3819" s="5"/>
      <c r="Y3819" s="5"/>
      <c r="Z3819" s="5"/>
      <c r="AA3819" s="5"/>
      <c r="AC3819" t="e">
        <f ca="1">RANK(AB3819,OFFSET($AB$2,0,0,#REF!,1))</f>
        <v>#REF!</v>
      </c>
      <c r="AD3819" s="4" t="e">
        <f>InsurerSize(#REF!)</f>
        <v>#VALUE!</v>
      </c>
      <c r="AE3819" s="4" t="e">
        <f t="shared" si="71"/>
        <v>#VALUE!</v>
      </c>
    </row>
    <row r="3820" spans="8:31" x14ac:dyDescent="0.2">
      <c r="H3820" s="5"/>
      <c r="I3820" s="5"/>
      <c r="J3820" s="5"/>
      <c r="K3820" s="5"/>
      <c r="L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  <c r="W3820" s="5"/>
      <c r="X3820" s="5"/>
      <c r="Y3820" s="5"/>
      <c r="Z3820" s="5"/>
      <c r="AA3820" s="5"/>
      <c r="AC3820" t="e">
        <f ca="1">RANK(AB3820,OFFSET($AB$2,0,0,#REF!,1))</f>
        <v>#REF!</v>
      </c>
      <c r="AD3820" s="4" t="e">
        <f>InsurerSize(#REF!)</f>
        <v>#VALUE!</v>
      </c>
      <c r="AE3820" s="4" t="e">
        <f t="shared" si="71"/>
        <v>#VALUE!</v>
      </c>
    </row>
    <row r="3821" spans="8:31" x14ac:dyDescent="0.2">
      <c r="H3821" s="5"/>
      <c r="I3821" s="5"/>
      <c r="J3821" s="5"/>
      <c r="K3821" s="5"/>
      <c r="L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5"/>
      <c r="Z3821" s="5"/>
      <c r="AA3821" s="5"/>
      <c r="AC3821" t="e">
        <f ca="1">RANK(AB3821,OFFSET($AB$2,0,0,#REF!,1))</f>
        <v>#REF!</v>
      </c>
      <c r="AD3821" s="4" t="e">
        <f>InsurerSize(#REF!)</f>
        <v>#VALUE!</v>
      </c>
      <c r="AE3821" s="4" t="e">
        <f t="shared" si="71"/>
        <v>#VALUE!</v>
      </c>
    </row>
    <row r="3822" spans="8:31" x14ac:dyDescent="0.2">
      <c r="H3822" s="5"/>
      <c r="I3822" s="5"/>
      <c r="J3822" s="5"/>
      <c r="K3822" s="5"/>
      <c r="L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  <c r="W3822" s="5"/>
      <c r="X3822" s="5"/>
      <c r="Y3822" s="5"/>
      <c r="Z3822" s="5"/>
      <c r="AA3822" s="5"/>
      <c r="AC3822" t="e">
        <f ca="1">RANK(AB3822,OFFSET($AB$2,0,0,#REF!,1))</f>
        <v>#REF!</v>
      </c>
      <c r="AD3822" s="4" t="e">
        <f>InsurerSize(#REF!)</f>
        <v>#VALUE!</v>
      </c>
      <c r="AE3822" s="4" t="e">
        <f t="shared" si="71"/>
        <v>#VALUE!</v>
      </c>
    </row>
    <row r="3823" spans="8:31" x14ac:dyDescent="0.2">
      <c r="H3823" s="5"/>
      <c r="I3823" s="5"/>
      <c r="J3823" s="5"/>
      <c r="K3823" s="5"/>
      <c r="L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  <c r="W3823" s="5"/>
      <c r="X3823" s="5"/>
      <c r="Y3823" s="5"/>
      <c r="Z3823" s="5"/>
      <c r="AA3823" s="5"/>
      <c r="AC3823" t="e">
        <f ca="1">RANK(AB3823,OFFSET($AB$2,0,0,#REF!,1))</f>
        <v>#REF!</v>
      </c>
      <c r="AD3823" s="4" t="e">
        <f>InsurerSize(#REF!)</f>
        <v>#VALUE!</v>
      </c>
      <c r="AE3823" s="4" t="e">
        <f t="shared" si="71"/>
        <v>#VALUE!</v>
      </c>
    </row>
    <row r="3824" spans="8:31" x14ac:dyDescent="0.2">
      <c r="H3824" s="5"/>
      <c r="I3824" s="5"/>
      <c r="J3824" s="5"/>
      <c r="K3824" s="5"/>
      <c r="L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  <c r="W3824" s="5"/>
      <c r="X3824" s="5"/>
      <c r="Y3824" s="5"/>
      <c r="Z3824" s="5"/>
      <c r="AA3824" s="5"/>
      <c r="AC3824" t="e">
        <f ca="1">RANK(AB3824,OFFSET($AB$2,0,0,#REF!,1))</f>
        <v>#REF!</v>
      </c>
      <c r="AD3824" s="4" t="e">
        <f>InsurerSize(#REF!)</f>
        <v>#VALUE!</v>
      </c>
      <c r="AE3824" s="4" t="e">
        <f t="shared" si="71"/>
        <v>#VALUE!</v>
      </c>
    </row>
    <row r="3825" spans="8:31" x14ac:dyDescent="0.2">
      <c r="H3825" s="5"/>
      <c r="I3825" s="5"/>
      <c r="J3825" s="5"/>
      <c r="K3825" s="5"/>
      <c r="L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  <c r="W3825" s="5"/>
      <c r="X3825" s="5"/>
      <c r="Y3825" s="5"/>
      <c r="Z3825" s="5"/>
      <c r="AA3825" s="5"/>
      <c r="AC3825" t="e">
        <f ca="1">RANK(AB3825,OFFSET($AB$2,0,0,#REF!,1))</f>
        <v>#REF!</v>
      </c>
      <c r="AD3825" s="4" t="e">
        <f>InsurerSize(#REF!)</f>
        <v>#VALUE!</v>
      </c>
      <c r="AE3825" s="4" t="e">
        <f t="shared" si="71"/>
        <v>#VALUE!</v>
      </c>
    </row>
    <row r="3826" spans="8:31" x14ac:dyDescent="0.2">
      <c r="H3826" s="5"/>
      <c r="I3826" s="5"/>
      <c r="J3826" s="5"/>
      <c r="K3826" s="5"/>
      <c r="L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  <c r="W3826" s="5"/>
      <c r="X3826" s="5"/>
      <c r="Y3826" s="5"/>
      <c r="Z3826" s="5"/>
      <c r="AA3826" s="5"/>
      <c r="AC3826" t="e">
        <f ca="1">RANK(AB3826,OFFSET($AB$2,0,0,#REF!,1))</f>
        <v>#REF!</v>
      </c>
      <c r="AD3826" s="4" t="e">
        <f>InsurerSize(#REF!)</f>
        <v>#VALUE!</v>
      </c>
      <c r="AE3826" s="4" t="e">
        <f t="shared" si="71"/>
        <v>#VALUE!</v>
      </c>
    </row>
    <row r="3827" spans="8:31" x14ac:dyDescent="0.2">
      <c r="H3827" s="5"/>
      <c r="I3827" s="5"/>
      <c r="J3827" s="5"/>
      <c r="K3827" s="5"/>
      <c r="L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  <c r="W3827" s="5"/>
      <c r="X3827" s="5"/>
      <c r="Y3827" s="5"/>
      <c r="Z3827" s="5"/>
      <c r="AA3827" s="5"/>
      <c r="AC3827" t="e">
        <f ca="1">RANK(AB3827,OFFSET($AB$2,0,0,#REF!,1))</f>
        <v>#REF!</v>
      </c>
      <c r="AD3827" s="4" t="e">
        <f>InsurerSize(#REF!)</f>
        <v>#VALUE!</v>
      </c>
      <c r="AE3827" s="4" t="e">
        <f t="shared" si="71"/>
        <v>#VALUE!</v>
      </c>
    </row>
    <row r="3828" spans="8:31" x14ac:dyDescent="0.2">
      <c r="H3828" s="5"/>
      <c r="I3828" s="5"/>
      <c r="J3828" s="5"/>
      <c r="K3828" s="5"/>
      <c r="L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  <c r="W3828" s="5"/>
      <c r="X3828" s="5"/>
      <c r="Y3828" s="5"/>
      <c r="Z3828" s="5"/>
      <c r="AA3828" s="5"/>
      <c r="AC3828" t="e">
        <f ca="1">RANK(AB3828,OFFSET($AB$2,0,0,#REF!,1))</f>
        <v>#REF!</v>
      </c>
      <c r="AD3828" s="4" t="e">
        <f>InsurerSize(#REF!)</f>
        <v>#VALUE!</v>
      </c>
      <c r="AE3828" s="4" t="e">
        <f t="shared" si="71"/>
        <v>#VALUE!</v>
      </c>
    </row>
    <row r="3829" spans="8:31" x14ac:dyDescent="0.2">
      <c r="H3829" s="5"/>
      <c r="I3829" s="5"/>
      <c r="J3829" s="5"/>
      <c r="K3829" s="5"/>
      <c r="L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  <c r="W3829" s="5"/>
      <c r="X3829" s="5"/>
      <c r="Y3829" s="5"/>
      <c r="Z3829" s="5"/>
      <c r="AA3829" s="5"/>
      <c r="AC3829" t="e">
        <f ca="1">RANK(AB3829,OFFSET($AB$2,0,0,#REF!,1))</f>
        <v>#REF!</v>
      </c>
      <c r="AD3829" s="4" t="e">
        <f>InsurerSize(#REF!)</f>
        <v>#VALUE!</v>
      </c>
      <c r="AE3829" s="4" t="e">
        <f t="shared" si="71"/>
        <v>#VALUE!</v>
      </c>
    </row>
    <row r="3830" spans="8:31" x14ac:dyDescent="0.2">
      <c r="H3830" s="5"/>
      <c r="I3830" s="5"/>
      <c r="J3830" s="5"/>
      <c r="K3830" s="5"/>
      <c r="L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  <c r="W3830" s="5"/>
      <c r="X3830" s="5"/>
      <c r="Y3830" s="5"/>
      <c r="Z3830" s="5"/>
      <c r="AA3830" s="5"/>
      <c r="AC3830" t="e">
        <f ca="1">RANK(AB3830,OFFSET($AB$2,0,0,#REF!,1))</f>
        <v>#REF!</v>
      </c>
      <c r="AD3830" s="4" t="e">
        <f>InsurerSize(#REF!)</f>
        <v>#VALUE!</v>
      </c>
      <c r="AE3830" s="4" t="e">
        <f t="shared" si="71"/>
        <v>#VALUE!</v>
      </c>
    </row>
    <row r="3831" spans="8:31" x14ac:dyDescent="0.2">
      <c r="H3831" s="5"/>
      <c r="I3831" s="5"/>
      <c r="J3831" s="5"/>
      <c r="K3831" s="5"/>
      <c r="L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  <c r="W3831" s="5"/>
      <c r="X3831" s="5"/>
      <c r="Y3831" s="5"/>
      <c r="Z3831" s="5"/>
      <c r="AA3831" s="5"/>
      <c r="AC3831" t="e">
        <f ca="1">RANK(AB3831,OFFSET($AB$2,0,0,#REF!,1))</f>
        <v>#REF!</v>
      </c>
      <c r="AD3831" s="4" t="e">
        <f>InsurerSize(#REF!)</f>
        <v>#VALUE!</v>
      </c>
      <c r="AE3831" s="4" t="e">
        <f t="shared" si="71"/>
        <v>#VALUE!</v>
      </c>
    </row>
    <row r="3832" spans="8:31" x14ac:dyDescent="0.2">
      <c r="H3832" s="5"/>
      <c r="I3832" s="5"/>
      <c r="J3832" s="5"/>
      <c r="K3832" s="5"/>
      <c r="L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  <c r="W3832" s="5"/>
      <c r="X3832" s="5"/>
      <c r="Y3832" s="5"/>
      <c r="Z3832" s="5"/>
      <c r="AA3832" s="5"/>
      <c r="AC3832" t="e">
        <f ca="1">RANK(AB3832,OFFSET($AB$2,0,0,#REF!,1))</f>
        <v>#REF!</v>
      </c>
      <c r="AD3832" s="4" t="e">
        <f>InsurerSize(#REF!)</f>
        <v>#VALUE!</v>
      </c>
      <c r="AE3832" s="4" t="e">
        <f t="shared" si="71"/>
        <v>#VALUE!</v>
      </c>
    </row>
    <row r="3833" spans="8:31" x14ac:dyDescent="0.2">
      <c r="H3833" s="5"/>
      <c r="I3833" s="5"/>
      <c r="J3833" s="5"/>
      <c r="K3833" s="5"/>
      <c r="L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  <c r="W3833" s="5"/>
      <c r="X3833" s="5"/>
      <c r="Y3833" s="5"/>
      <c r="Z3833" s="5"/>
      <c r="AA3833" s="5"/>
      <c r="AC3833" t="e">
        <f ca="1">RANK(AB3833,OFFSET($AB$2,0,0,#REF!,1))</f>
        <v>#REF!</v>
      </c>
      <c r="AD3833" s="4" t="e">
        <f>InsurerSize(#REF!)</f>
        <v>#VALUE!</v>
      </c>
      <c r="AE3833" s="4" t="e">
        <f t="shared" si="71"/>
        <v>#VALUE!</v>
      </c>
    </row>
    <row r="3834" spans="8:31" x14ac:dyDescent="0.2">
      <c r="H3834" s="5"/>
      <c r="I3834" s="5"/>
      <c r="J3834" s="5"/>
      <c r="K3834" s="5"/>
      <c r="L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  <c r="W3834" s="5"/>
      <c r="X3834" s="5"/>
      <c r="Y3834" s="5"/>
      <c r="Z3834" s="5"/>
      <c r="AA3834" s="5"/>
      <c r="AC3834" t="e">
        <f ca="1">RANK(AB3834,OFFSET($AB$2,0,0,#REF!,1))</f>
        <v>#REF!</v>
      </c>
      <c r="AD3834" s="4" t="e">
        <f>InsurerSize(#REF!)</f>
        <v>#VALUE!</v>
      </c>
      <c r="AE3834" s="4" t="e">
        <f t="shared" si="71"/>
        <v>#VALUE!</v>
      </c>
    </row>
    <row r="3835" spans="8:31" x14ac:dyDescent="0.2">
      <c r="H3835" s="5"/>
      <c r="I3835" s="5"/>
      <c r="J3835" s="5"/>
      <c r="K3835" s="5"/>
      <c r="L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  <c r="W3835" s="5"/>
      <c r="X3835" s="5"/>
      <c r="Y3835" s="5"/>
      <c r="Z3835" s="5"/>
      <c r="AA3835" s="5"/>
      <c r="AC3835" t="e">
        <f ca="1">RANK(AB3835,OFFSET($AB$2,0,0,#REF!,1))</f>
        <v>#REF!</v>
      </c>
      <c r="AD3835" s="4" t="e">
        <f>InsurerSize(#REF!)</f>
        <v>#VALUE!</v>
      </c>
      <c r="AE3835" s="4" t="e">
        <f t="shared" si="71"/>
        <v>#VALUE!</v>
      </c>
    </row>
    <row r="3836" spans="8:31" x14ac:dyDescent="0.2">
      <c r="H3836" s="5"/>
      <c r="I3836" s="5"/>
      <c r="J3836" s="5"/>
      <c r="K3836" s="5"/>
      <c r="L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  <c r="W3836" s="5"/>
      <c r="X3836" s="5"/>
      <c r="Y3836" s="5"/>
      <c r="Z3836" s="5"/>
      <c r="AA3836" s="5"/>
      <c r="AC3836" t="e">
        <f ca="1">RANK(AB3836,OFFSET($AB$2,0,0,#REF!,1))</f>
        <v>#REF!</v>
      </c>
      <c r="AD3836" s="4" t="e">
        <f>InsurerSize(#REF!)</f>
        <v>#VALUE!</v>
      </c>
      <c r="AE3836" s="4" t="e">
        <f t="shared" si="71"/>
        <v>#VALUE!</v>
      </c>
    </row>
    <row r="3837" spans="8:31" x14ac:dyDescent="0.2">
      <c r="H3837" s="5"/>
      <c r="I3837" s="5"/>
      <c r="J3837" s="5"/>
      <c r="K3837" s="5"/>
      <c r="L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  <c r="W3837" s="5"/>
      <c r="X3837" s="5"/>
      <c r="Y3837" s="5"/>
      <c r="Z3837" s="5"/>
      <c r="AA3837" s="5"/>
      <c r="AC3837" t="e">
        <f ca="1">RANK(AB3837,OFFSET($AB$2,0,0,#REF!,1))</f>
        <v>#REF!</v>
      </c>
      <c r="AD3837" s="4" t="e">
        <f>InsurerSize(#REF!)</f>
        <v>#VALUE!</v>
      </c>
      <c r="AE3837" s="4" t="e">
        <f t="shared" si="71"/>
        <v>#VALUE!</v>
      </c>
    </row>
    <row r="3838" spans="8:31" x14ac:dyDescent="0.2">
      <c r="H3838" s="5"/>
      <c r="I3838" s="5"/>
      <c r="J3838" s="5"/>
      <c r="K3838" s="5"/>
      <c r="L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  <c r="W3838" s="5"/>
      <c r="X3838" s="5"/>
      <c r="Y3838" s="5"/>
      <c r="Z3838" s="5"/>
      <c r="AA3838" s="5"/>
      <c r="AC3838" t="e">
        <f ca="1">RANK(AB3838,OFFSET($AB$2,0,0,#REF!,1))</f>
        <v>#REF!</v>
      </c>
      <c r="AD3838" s="4" t="e">
        <f>InsurerSize(#REF!)</f>
        <v>#VALUE!</v>
      </c>
      <c r="AE3838" s="4" t="e">
        <f t="shared" si="71"/>
        <v>#VALUE!</v>
      </c>
    </row>
    <row r="3839" spans="8:31" x14ac:dyDescent="0.2">
      <c r="H3839" s="5"/>
      <c r="I3839" s="5"/>
      <c r="J3839" s="5"/>
      <c r="K3839" s="5"/>
      <c r="L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  <c r="W3839" s="5"/>
      <c r="X3839" s="5"/>
      <c r="Y3839" s="5"/>
      <c r="Z3839" s="5"/>
      <c r="AA3839" s="5"/>
      <c r="AC3839" t="e">
        <f ca="1">RANK(AB3839,OFFSET($AB$2,0,0,#REF!,1))</f>
        <v>#REF!</v>
      </c>
      <c r="AD3839" s="4" t="e">
        <f>InsurerSize(#REF!)</f>
        <v>#VALUE!</v>
      </c>
      <c r="AE3839" s="4" t="e">
        <f t="shared" si="71"/>
        <v>#VALUE!</v>
      </c>
    </row>
    <row r="3840" spans="8:31" x14ac:dyDescent="0.2">
      <c r="H3840" s="5"/>
      <c r="I3840" s="5"/>
      <c r="J3840" s="5"/>
      <c r="K3840" s="5"/>
      <c r="L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  <c r="W3840" s="5"/>
      <c r="X3840" s="5"/>
      <c r="Y3840" s="5"/>
      <c r="Z3840" s="5"/>
      <c r="AA3840" s="5"/>
      <c r="AC3840" t="e">
        <f ca="1">RANK(AB3840,OFFSET($AB$2,0,0,#REF!,1))</f>
        <v>#REF!</v>
      </c>
      <c r="AD3840" s="4" t="e">
        <f>InsurerSize(#REF!)</f>
        <v>#VALUE!</v>
      </c>
      <c r="AE3840" s="4" t="e">
        <f t="shared" si="71"/>
        <v>#VALUE!</v>
      </c>
    </row>
    <row r="3841" spans="8:31" x14ac:dyDescent="0.2">
      <c r="H3841" s="5"/>
      <c r="I3841" s="5"/>
      <c r="J3841" s="5"/>
      <c r="K3841" s="5"/>
      <c r="L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  <c r="W3841" s="5"/>
      <c r="X3841" s="5"/>
      <c r="Y3841" s="5"/>
      <c r="Z3841" s="5"/>
      <c r="AA3841" s="5"/>
      <c r="AC3841" t="e">
        <f ca="1">RANK(AB3841,OFFSET($AB$2,0,0,#REF!,1))</f>
        <v>#REF!</v>
      </c>
      <c r="AD3841" s="4" t="e">
        <f>InsurerSize(#REF!)</f>
        <v>#VALUE!</v>
      </c>
      <c r="AE3841" s="4" t="e">
        <f t="shared" si="71"/>
        <v>#VALUE!</v>
      </c>
    </row>
    <row r="3842" spans="8:31" x14ac:dyDescent="0.2">
      <c r="H3842" s="5"/>
      <c r="I3842" s="5"/>
      <c r="J3842" s="5"/>
      <c r="K3842" s="5"/>
      <c r="L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  <c r="W3842" s="5"/>
      <c r="X3842" s="5"/>
      <c r="Y3842" s="5"/>
      <c r="Z3842" s="5"/>
      <c r="AA3842" s="5"/>
      <c r="AC3842" t="e">
        <f ca="1">RANK(AB3842,OFFSET($AB$2,0,0,#REF!,1))</f>
        <v>#REF!</v>
      </c>
      <c r="AD3842" s="4" t="e">
        <f>InsurerSize(#REF!)</f>
        <v>#VALUE!</v>
      </c>
      <c r="AE3842" s="4" t="e">
        <f t="shared" ref="AE3842:AE3905" si="72">A3842&amp;AD3842</f>
        <v>#VALUE!</v>
      </c>
    </row>
    <row r="3843" spans="8:31" x14ac:dyDescent="0.2">
      <c r="H3843" s="5"/>
      <c r="I3843" s="5"/>
      <c r="J3843" s="5"/>
      <c r="K3843" s="5"/>
      <c r="L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  <c r="W3843" s="5"/>
      <c r="X3843" s="5"/>
      <c r="Y3843" s="5"/>
      <c r="Z3843" s="5"/>
      <c r="AA3843" s="5"/>
      <c r="AC3843" t="e">
        <f ca="1">RANK(AB3843,OFFSET($AB$2,0,0,#REF!,1))</f>
        <v>#REF!</v>
      </c>
      <c r="AD3843" s="4" t="e">
        <f>InsurerSize(#REF!)</f>
        <v>#VALUE!</v>
      </c>
      <c r="AE3843" s="4" t="e">
        <f t="shared" si="72"/>
        <v>#VALUE!</v>
      </c>
    </row>
    <row r="3844" spans="8:31" x14ac:dyDescent="0.2">
      <c r="H3844" s="5"/>
      <c r="I3844" s="5"/>
      <c r="J3844" s="5"/>
      <c r="K3844" s="5"/>
      <c r="L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  <c r="W3844" s="5"/>
      <c r="X3844" s="5"/>
      <c r="Y3844" s="5"/>
      <c r="Z3844" s="5"/>
      <c r="AA3844" s="5"/>
      <c r="AC3844" t="e">
        <f ca="1">RANK(AB3844,OFFSET($AB$2,0,0,#REF!,1))</f>
        <v>#REF!</v>
      </c>
      <c r="AD3844" s="4" t="e">
        <f>InsurerSize(#REF!)</f>
        <v>#VALUE!</v>
      </c>
      <c r="AE3844" s="4" t="e">
        <f t="shared" si="72"/>
        <v>#VALUE!</v>
      </c>
    </row>
    <row r="3845" spans="8:31" x14ac:dyDescent="0.2">
      <c r="H3845" s="5"/>
      <c r="I3845" s="5"/>
      <c r="J3845" s="5"/>
      <c r="K3845" s="5"/>
      <c r="L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  <c r="W3845" s="5"/>
      <c r="X3845" s="5"/>
      <c r="Y3845" s="5"/>
      <c r="Z3845" s="5"/>
      <c r="AA3845" s="5"/>
      <c r="AC3845" t="e">
        <f ca="1">RANK(AB3845,OFFSET($AB$2,0,0,#REF!,1))</f>
        <v>#REF!</v>
      </c>
      <c r="AD3845" s="4" t="e">
        <f>InsurerSize(#REF!)</f>
        <v>#VALUE!</v>
      </c>
      <c r="AE3845" s="4" t="e">
        <f t="shared" si="72"/>
        <v>#VALUE!</v>
      </c>
    </row>
    <row r="3846" spans="8:31" x14ac:dyDescent="0.2">
      <c r="H3846" s="5"/>
      <c r="I3846" s="5"/>
      <c r="J3846" s="5"/>
      <c r="K3846" s="5"/>
      <c r="L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  <c r="W3846" s="5"/>
      <c r="X3846" s="5"/>
      <c r="Y3846" s="5"/>
      <c r="Z3846" s="5"/>
      <c r="AA3846" s="5"/>
      <c r="AC3846" t="e">
        <f ca="1">RANK(AB3846,OFFSET($AB$2,0,0,#REF!,1))</f>
        <v>#REF!</v>
      </c>
      <c r="AD3846" s="4" t="e">
        <f>InsurerSize(#REF!)</f>
        <v>#VALUE!</v>
      </c>
      <c r="AE3846" s="4" t="e">
        <f t="shared" si="72"/>
        <v>#VALUE!</v>
      </c>
    </row>
    <row r="3847" spans="8:31" x14ac:dyDescent="0.2">
      <c r="H3847" s="5"/>
      <c r="I3847" s="5"/>
      <c r="J3847" s="5"/>
      <c r="K3847" s="5"/>
      <c r="L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  <c r="W3847" s="5"/>
      <c r="X3847" s="5"/>
      <c r="Y3847" s="5"/>
      <c r="Z3847" s="5"/>
      <c r="AA3847" s="5"/>
      <c r="AC3847" t="e">
        <f ca="1">RANK(AB3847,OFFSET($AB$2,0,0,#REF!,1))</f>
        <v>#REF!</v>
      </c>
      <c r="AD3847" s="4" t="e">
        <f>InsurerSize(#REF!)</f>
        <v>#VALUE!</v>
      </c>
      <c r="AE3847" s="4" t="e">
        <f t="shared" si="72"/>
        <v>#VALUE!</v>
      </c>
    </row>
    <row r="3848" spans="8:31" x14ac:dyDescent="0.2">
      <c r="H3848" s="5"/>
      <c r="I3848" s="5"/>
      <c r="J3848" s="5"/>
      <c r="K3848" s="5"/>
      <c r="L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  <c r="W3848" s="5"/>
      <c r="X3848" s="5"/>
      <c r="Y3848" s="5"/>
      <c r="Z3848" s="5"/>
      <c r="AA3848" s="5"/>
      <c r="AC3848" t="e">
        <f ca="1">RANK(AB3848,OFFSET($AB$2,0,0,#REF!,1))</f>
        <v>#REF!</v>
      </c>
      <c r="AD3848" s="4" t="e">
        <f>InsurerSize(#REF!)</f>
        <v>#VALUE!</v>
      </c>
      <c r="AE3848" s="4" t="e">
        <f t="shared" si="72"/>
        <v>#VALUE!</v>
      </c>
    </row>
    <row r="3849" spans="8:31" x14ac:dyDescent="0.2">
      <c r="H3849" s="5"/>
      <c r="I3849" s="5"/>
      <c r="J3849" s="5"/>
      <c r="K3849" s="5"/>
      <c r="L3849" s="5"/>
      <c r="M3849" s="5"/>
      <c r="N3849" s="5"/>
      <c r="O3849" s="5"/>
      <c r="P3849" s="5"/>
      <c r="Q3849" s="5"/>
      <c r="R3849" s="5"/>
      <c r="S3849" s="5"/>
      <c r="T3849" s="5"/>
      <c r="U3849" s="5"/>
      <c r="V3849" s="5"/>
      <c r="W3849" s="5"/>
      <c r="X3849" s="5"/>
      <c r="Y3849" s="5"/>
      <c r="Z3849" s="5"/>
      <c r="AA3849" s="5"/>
      <c r="AC3849" t="e">
        <f ca="1">RANK(AB3849,OFFSET($AB$2,0,0,#REF!,1))</f>
        <v>#REF!</v>
      </c>
      <c r="AD3849" s="4" t="e">
        <f>InsurerSize(#REF!)</f>
        <v>#VALUE!</v>
      </c>
      <c r="AE3849" s="4" t="e">
        <f t="shared" si="72"/>
        <v>#VALUE!</v>
      </c>
    </row>
    <row r="3850" spans="8:31" x14ac:dyDescent="0.2">
      <c r="H3850" s="5"/>
      <c r="I3850" s="5"/>
      <c r="J3850" s="5"/>
      <c r="K3850" s="5"/>
      <c r="L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  <c r="W3850" s="5"/>
      <c r="X3850" s="5"/>
      <c r="Y3850" s="5"/>
      <c r="Z3850" s="5"/>
      <c r="AA3850" s="5"/>
      <c r="AC3850" t="e">
        <f ca="1">RANK(AB3850,OFFSET($AB$2,0,0,#REF!,1))</f>
        <v>#REF!</v>
      </c>
      <c r="AD3850" s="4" t="e">
        <f>InsurerSize(#REF!)</f>
        <v>#VALUE!</v>
      </c>
      <c r="AE3850" s="4" t="e">
        <f t="shared" si="72"/>
        <v>#VALUE!</v>
      </c>
    </row>
    <row r="3851" spans="8:31" x14ac:dyDescent="0.2">
      <c r="H3851" s="5"/>
      <c r="I3851" s="5"/>
      <c r="J3851" s="5"/>
      <c r="K3851" s="5"/>
      <c r="L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  <c r="W3851" s="5"/>
      <c r="X3851" s="5"/>
      <c r="Y3851" s="5"/>
      <c r="Z3851" s="5"/>
      <c r="AA3851" s="5"/>
      <c r="AC3851" t="e">
        <f ca="1">RANK(AB3851,OFFSET($AB$2,0,0,#REF!,1))</f>
        <v>#REF!</v>
      </c>
      <c r="AD3851" s="4" t="e">
        <f>InsurerSize(#REF!)</f>
        <v>#VALUE!</v>
      </c>
      <c r="AE3851" s="4" t="e">
        <f t="shared" si="72"/>
        <v>#VALUE!</v>
      </c>
    </row>
    <row r="3852" spans="8:31" x14ac:dyDescent="0.2">
      <c r="H3852" s="5"/>
      <c r="I3852" s="5"/>
      <c r="J3852" s="5"/>
      <c r="K3852" s="5"/>
      <c r="L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  <c r="W3852" s="5"/>
      <c r="X3852" s="5"/>
      <c r="Y3852" s="5"/>
      <c r="Z3852" s="5"/>
      <c r="AA3852" s="5"/>
      <c r="AC3852" t="e">
        <f ca="1">RANK(AB3852,OFFSET($AB$2,0,0,#REF!,1))</f>
        <v>#REF!</v>
      </c>
      <c r="AD3852" s="4" t="e">
        <f>InsurerSize(#REF!)</f>
        <v>#VALUE!</v>
      </c>
      <c r="AE3852" s="4" t="e">
        <f t="shared" si="72"/>
        <v>#VALUE!</v>
      </c>
    </row>
    <row r="3853" spans="8:31" x14ac:dyDescent="0.2">
      <c r="H3853" s="5"/>
      <c r="I3853" s="5"/>
      <c r="J3853" s="5"/>
      <c r="K3853" s="5"/>
      <c r="L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  <c r="W3853" s="5"/>
      <c r="X3853" s="5"/>
      <c r="Y3853" s="5"/>
      <c r="Z3853" s="5"/>
      <c r="AA3853" s="5"/>
      <c r="AC3853" t="e">
        <f ca="1">RANK(AB3853,OFFSET($AB$2,0,0,#REF!,1))</f>
        <v>#REF!</v>
      </c>
      <c r="AD3853" s="4" t="e">
        <f>InsurerSize(#REF!)</f>
        <v>#VALUE!</v>
      </c>
      <c r="AE3853" s="4" t="e">
        <f t="shared" si="72"/>
        <v>#VALUE!</v>
      </c>
    </row>
    <row r="3854" spans="8:31" x14ac:dyDescent="0.2">
      <c r="H3854" s="5"/>
      <c r="I3854" s="5"/>
      <c r="J3854" s="5"/>
      <c r="K3854" s="5"/>
      <c r="L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  <c r="W3854" s="5"/>
      <c r="X3854" s="5"/>
      <c r="Y3854" s="5"/>
      <c r="Z3854" s="5"/>
      <c r="AA3854" s="5"/>
      <c r="AC3854" t="e">
        <f ca="1">RANK(AB3854,OFFSET($AB$2,0,0,#REF!,1))</f>
        <v>#REF!</v>
      </c>
      <c r="AD3854" s="4" t="e">
        <f>InsurerSize(#REF!)</f>
        <v>#VALUE!</v>
      </c>
      <c r="AE3854" s="4" t="e">
        <f t="shared" si="72"/>
        <v>#VALUE!</v>
      </c>
    </row>
    <row r="3855" spans="8:31" x14ac:dyDescent="0.2">
      <c r="H3855" s="5"/>
      <c r="I3855" s="5"/>
      <c r="J3855" s="5"/>
      <c r="K3855" s="5"/>
      <c r="L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  <c r="W3855" s="5"/>
      <c r="X3855" s="5"/>
      <c r="Y3855" s="5"/>
      <c r="Z3855" s="5"/>
      <c r="AA3855" s="5"/>
      <c r="AC3855" t="e">
        <f ca="1">RANK(AB3855,OFFSET($AB$2,0,0,#REF!,1))</f>
        <v>#REF!</v>
      </c>
      <c r="AD3855" s="4" t="e">
        <f>InsurerSize(#REF!)</f>
        <v>#VALUE!</v>
      </c>
      <c r="AE3855" s="4" t="e">
        <f t="shared" si="72"/>
        <v>#VALUE!</v>
      </c>
    </row>
    <row r="3856" spans="8:31" x14ac:dyDescent="0.2">
      <c r="H3856" s="5"/>
      <c r="I3856" s="5"/>
      <c r="J3856" s="5"/>
      <c r="K3856" s="5"/>
      <c r="L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  <c r="W3856" s="5"/>
      <c r="X3856" s="5"/>
      <c r="Y3856" s="5"/>
      <c r="Z3856" s="5"/>
      <c r="AA3856" s="5"/>
      <c r="AC3856" t="e">
        <f ca="1">RANK(AB3856,OFFSET($AB$2,0,0,#REF!,1))</f>
        <v>#REF!</v>
      </c>
      <c r="AD3856" s="4" t="e">
        <f>InsurerSize(#REF!)</f>
        <v>#VALUE!</v>
      </c>
      <c r="AE3856" s="4" t="e">
        <f t="shared" si="72"/>
        <v>#VALUE!</v>
      </c>
    </row>
    <row r="3857" spans="8:31" x14ac:dyDescent="0.2">
      <c r="H3857" s="5"/>
      <c r="I3857" s="5"/>
      <c r="J3857" s="5"/>
      <c r="K3857" s="5"/>
      <c r="L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5"/>
      <c r="Z3857" s="5"/>
      <c r="AA3857" s="5"/>
      <c r="AC3857" t="e">
        <f ca="1">RANK(AB3857,OFFSET($AB$2,0,0,#REF!,1))</f>
        <v>#REF!</v>
      </c>
      <c r="AD3857" s="4" t="e">
        <f>InsurerSize(#REF!)</f>
        <v>#VALUE!</v>
      </c>
      <c r="AE3857" s="4" t="e">
        <f t="shared" si="72"/>
        <v>#VALUE!</v>
      </c>
    </row>
    <row r="3858" spans="8:31" x14ac:dyDescent="0.2">
      <c r="H3858" s="5"/>
      <c r="I3858" s="5"/>
      <c r="J3858" s="5"/>
      <c r="K3858" s="5"/>
      <c r="L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  <c r="W3858" s="5"/>
      <c r="X3858" s="5"/>
      <c r="Y3858" s="5"/>
      <c r="Z3858" s="5"/>
      <c r="AA3858" s="5"/>
      <c r="AC3858" t="e">
        <f ca="1">RANK(AB3858,OFFSET($AB$2,0,0,#REF!,1))</f>
        <v>#REF!</v>
      </c>
      <c r="AD3858" s="4" t="e">
        <f>InsurerSize(#REF!)</f>
        <v>#VALUE!</v>
      </c>
      <c r="AE3858" s="4" t="e">
        <f t="shared" si="72"/>
        <v>#VALUE!</v>
      </c>
    </row>
    <row r="3859" spans="8:31" x14ac:dyDescent="0.2">
      <c r="H3859" s="5"/>
      <c r="I3859" s="5"/>
      <c r="J3859" s="5"/>
      <c r="K3859" s="5"/>
      <c r="L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  <c r="W3859" s="5"/>
      <c r="X3859" s="5"/>
      <c r="Y3859" s="5"/>
      <c r="Z3859" s="5"/>
      <c r="AA3859" s="5"/>
      <c r="AC3859" t="e">
        <f ca="1">RANK(AB3859,OFFSET($AB$2,0,0,#REF!,1))</f>
        <v>#REF!</v>
      </c>
      <c r="AD3859" s="4" t="e">
        <f>InsurerSize(#REF!)</f>
        <v>#VALUE!</v>
      </c>
      <c r="AE3859" s="4" t="e">
        <f t="shared" si="72"/>
        <v>#VALUE!</v>
      </c>
    </row>
    <row r="3860" spans="8:31" x14ac:dyDescent="0.2">
      <c r="H3860" s="5"/>
      <c r="I3860" s="5"/>
      <c r="J3860" s="5"/>
      <c r="K3860" s="5"/>
      <c r="L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  <c r="W3860" s="5"/>
      <c r="X3860" s="5"/>
      <c r="Y3860" s="5"/>
      <c r="Z3860" s="5"/>
      <c r="AA3860" s="5"/>
      <c r="AC3860" t="e">
        <f ca="1">RANK(AB3860,OFFSET($AB$2,0,0,#REF!,1))</f>
        <v>#REF!</v>
      </c>
      <c r="AD3860" s="4" t="e">
        <f>InsurerSize(#REF!)</f>
        <v>#VALUE!</v>
      </c>
      <c r="AE3860" s="4" t="e">
        <f t="shared" si="72"/>
        <v>#VALUE!</v>
      </c>
    </row>
    <row r="3861" spans="8:31" x14ac:dyDescent="0.2">
      <c r="H3861" s="5"/>
      <c r="I3861" s="5"/>
      <c r="J3861" s="5"/>
      <c r="K3861" s="5"/>
      <c r="L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  <c r="W3861" s="5"/>
      <c r="X3861" s="5"/>
      <c r="Y3861" s="5"/>
      <c r="Z3861" s="5"/>
      <c r="AA3861" s="5"/>
      <c r="AC3861" t="e">
        <f ca="1">RANK(AB3861,OFFSET($AB$2,0,0,#REF!,1))</f>
        <v>#REF!</v>
      </c>
      <c r="AD3861" s="4" t="e">
        <f>InsurerSize(#REF!)</f>
        <v>#VALUE!</v>
      </c>
      <c r="AE3861" s="4" t="e">
        <f t="shared" si="72"/>
        <v>#VALUE!</v>
      </c>
    </row>
    <row r="3862" spans="8:31" x14ac:dyDescent="0.2">
      <c r="H3862" s="5"/>
      <c r="I3862" s="5"/>
      <c r="J3862" s="5"/>
      <c r="K3862" s="5"/>
      <c r="L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  <c r="W3862" s="5"/>
      <c r="X3862" s="5"/>
      <c r="Y3862" s="5"/>
      <c r="Z3862" s="5"/>
      <c r="AA3862" s="5"/>
      <c r="AC3862" t="e">
        <f ca="1">RANK(AB3862,OFFSET($AB$2,0,0,#REF!,1))</f>
        <v>#REF!</v>
      </c>
      <c r="AD3862" s="4" t="e">
        <f>InsurerSize(#REF!)</f>
        <v>#VALUE!</v>
      </c>
      <c r="AE3862" s="4" t="e">
        <f t="shared" si="72"/>
        <v>#VALUE!</v>
      </c>
    </row>
    <row r="3863" spans="8:31" x14ac:dyDescent="0.2">
      <c r="H3863" s="5"/>
      <c r="I3863" s="5"/>
      <c r="J3863" s="5"/>
      <c r="K3863" s="5"/>
      <c r="L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  <c r="W3863" s="5"/>
      <c r="X3863" s="5"/>
      <c r="Y3863" s="5"/>
      <c r="Z3863" s="5"/>
      <c r="AA3863" s="5"/>
      <c r="AC3863" t="e">
        <f ca="1">RANK(AB3863,OFFSET($AB$2,0,0,#REF!,1))</f>
        <v>#REF!</v>
      </c>
      <c r="AD3863" s="4" t="e">
        <f>InsurerSize(#REF!)</f>
        <v>#VALUE!</v>
      </c>
      <c r="AE3863" s="4" t="e">
        <f t="shared" si="72"/>
        <v>#VALUE!</v>
      </c>
    </row>
    <row r="3864" spans="8:31" x14ac:dyDescent="0.2">
      <c r="H3864" s="5"/>
      <c r="I3864" s="5"/>
      <c r="J3864" s="5"/>
      <c r="K3864" s="5"/>
      <c r="L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  <c r="W3864" s="5"/>
      <c r="X3864" s="5"/>
      <c r="Y3864" s="5"/>
      <c r="Z3864" s="5"/>
      <c r="AA3864" s="5"/>
      <c r="AC3864" t="e">
        <f ca="1">RANK(AB3864,OFFSET($AB$2,0,0,#REF!,1))</f>
        <v>#REF!</v>
      </c>
      <c r="AD3864" s="4" t="e">
        <f>InsurerSize(#REF!)</f>
        <v>#VALUE!</v>
      </c>
      <c r="AE3864" s="4" t="e">
        <f t="shared" si="72"/>
        <v>#VALUE!</v>
      </c>
    </row>
    <row r="3865" spans="8:31" x14ac:dyDescent="0.2">
      <c r="H3865" s="5"/>
      <c r="I3865" s="5"/>
      <c r="J3865" s="5"/>
      <c r="K3865" s="5"/>
      <c r="L3865" s="5"/>
      <c r="M3865" s="5"/>
      <c r="N3865" s="5"/>
      <c r="O3865" s="5"/>
      <c r="P3865" s="5"/>
      <c r="Q3865" s="5"/>
      <c r="R3865" s="5"/>
      <c r="S3865" s="5"/>
      <c r="T3865" s="5"/>
      <c r="U3865" s="5"/>
      <c r="V3865" s="5"/>
      <c r="W3865" s="5"/>
      <c r="X3865" s="5"/>
      <c r="Y3865" s="5"/>
      <c r="Z3865" s="5"/>
      <c r="AA3865" s="5"/>
      <c r="AC3865" t="e">
        <f ca="1">RANK(AB3865,OFFSET($AB$2,0,0,#REF!,1))</f>
        <v>#REF!</v>
      </c>
      <c r="AD3865" s="4" t="e">
        <f>InsurerSize(#REF!)</f>
        <v>#VALUE!</v>
      </c>
      <c r="AE3865" s="4" t="e">
        <f t="shared" si="72"/>
        <v>#VALUE!</v>
      </c>
    </row>
    <row r="3866" spans="8:31" x14ac:dyDescent="0.2">
      <c r="H3866" s="5"/>
      <c r="I3866" s="5"/>
      <c r="J3866" s="5"/>
      <c r="K3866" s="5"/>
      <c r="L3866" s="5"/>
      <c r="M3866" s="5"/>
      <c r="N3866" s="5"/>
      <c r="O3866" s="5"/>
      <c r="P3866" s="5"/>
      <c r="Q3866" s="5"/>
      <c r="R3866" s="5"/>
      <c r="S3866" s="5"/>
      <c r="T3866" s="5"/>
      <c r="U3866" s="5"/>
      <c r="V3866" s="5"/>
      <c r="W3866" s="5"/>
      <c r="X3866" s="5"/>
      <c r="Y3866" s="5"/>
      <c r="Z3866" s="5"/>
      <c r="AA3866" s="5"/>
      <c r="AC3866" t="e">
        <f ca="1">RANK(AB3866,OFFSET($AB$2,0,0,#REF!,1))</f>
        <v>#REF!</v>
      </c>
      <c r="AD3866" s="4" t="e">
        <f>InsurerSize(#REF!)</f>
        <v>#VALUE!</v>
      </c>
      <c r="AE3866" s="4" t="e">
        <f t="shared" si="72"/>
        <v>#VALUE!</v>
      </c>
    </row>
    <row r="3867" spans="8:31" x14ac:dyDescent="0.2">
      <c r="H3867" s="5"/>
      <c r="I3867" s="5"/>
      <c r="J3867" s="5"/>
      <c r="K3867" s="5"/>
      <c r="L3867" s="5"/>
      <c r="M3867" s="5"/>
      <c r="N3867" s="5"/>
      <c r="O3867" s="5"/>
      <c r="P3867" s="5"/>
      <c r="Q3867" s="5"/>
      <c r="R3867" s="5"/>
      <c r="S3867" s="5"/>
      <c r="T3867" s="5"/>
      <c r="U3867" s="5"/>
      <c r="V3867" s="5"/>
      <c r="W3867" s="5"/>
      <c r="X3867" s="5"/>
      <c r="Y3867" s="5"/>
      <c r="Z3867" s="5"/>
      <c r="AA3867" s="5"/>
      <c r="AC3867" t="e">
        <f ca="1">RANK(AB3867,OFFSET($AB$2,0,0,#REF!,1))</f>
        <v>#REF!</v>
      </c>
      <c r="AD3867" s="4" t="e">
        <f>InsurerSize(#REF!)</f>
        <v>#VALUE!</v>
      </c>
      <c r="AE3867" s="4" t="e">
        <f t="shared" si="72"/>
        <v>#VALUE!</v>
      </c>
    </row>
    <row r="3868" spans="8:31" x14ac:dyDescent="0.2">
      <c r="H3868" s="5"/>
      <c r="I3868" s="5"/>
      <c r="J3868" s="5"/>
      <c r="K3868" s="5"/>
      <c r="L3868" s="5"/>
      <c r="M3868" s="5"/>
      <c r="N3868" s="5"/>
      <c r="O3868" s="5"/>
      <c r="P3868" s="5"/>
      <c r="Q3868" s="5"/>
      <c r="R3868" s="5"/>
      <c r="S3868" s="5"/>
      <c r="T3868" s="5"/>
      <c r="U3868" s="5"/>
      <c r="V3868" s="5"/>
      <c r="W3868" s="5"/>
      <c r="X3868" s="5"/>
      <c r="Y3868" s="5"/>
      <c r="Z3868" s="5"/>
      <c r="AA3868" s="5"/>
      <c r="AC3868" t="e">
        <f ca="1">RANK(AB3868,OFFSET($AB$2,0,0,#REF!,1))</f>
        <v>#REF!</v>
      </c>
      <c r="AD3868" s="4" t="e">
        <f>InsurerSize(#REF!)</f>
        <v>#VALUE!</v>
      </c>
      <c r="AE3868" s="4" t="e">
        <f t="shared" si="72"/>
        <v>#VALUE!</v>
      </c>
    </row>
    <row r="3869" spans="8:31" x14ac:dyDescent="0.2">
      <c r="H3869" s="5"/>
      <c r="I3869" s="5"/>
      <c r="J3869" s="5"/>
      <c r="K3869" s="5"/>
      <c r="L3869" s="5"/>
      <c r="M3869" s="5"/>
      <c r="N3869" s="5"/>
      <c r="O3869" s="5"/>
      <c r="P3869" s="5"/>
      <c r="Q3869" s="5"/>
      <c r="R3869" s="5"/>
      <c r="S3869" s="5"/>
      <c r="T3869" s="5"/>
      <c r="U3869" s="5"/>
      <c r="V3869" s="5"/>
      <c r="W3869" s="5"/>
      <c r="X3869" s="5"/>
      <c r="Y3869" s="5"/>
      <c r="Z3869" s="5"/>
      <c r="AA3869" s="5"/>
      <c r="AC3869" t="e">
        <f ca="1">RANK(AB3869,OFFSET($AB$2,0,0,#REF!,1))</f>
        <v>#REF!</v>
      </c>
      <c r="AD3869" s="4" t="e">
        <f>InsurerSize(#REF!)</f>
        <v>#VALUE!</v>
      </c>
      <c r="AE3869" s="4" t="e">
        <f t="shared" si="72"/>
        <v>#VALUE!</v>
      </c>
    </row>
    <row r="3870" spans="8:31" x14ac:dyDescent="0.2">
      <c r="H3870" s="5"/>
      <c r="I3870" s="5"/>
      <c r="J3870" s="5"/>
      <c r="K3870" s="5"/>
      <c r="L3870" s="5"/>
      <c r="M3870" s="5"/>
      <c r="N3870" s="5"/>
      <c r="O3870" s="5"/>
      <c r="P3870" s="5"/>
      <c r="Q3870" s="5"/>
      <c r="R3870" s="5"/>
      <c r="S3870" s="5"/>
      <c r="T3870" s="5"/>
      <c r="U3870" s="5"/>
      <c r="V3870" s="5"/>
      <c r="W3870" s="5"/>
      <c r="X3870" s="5"/>
      <c r="Y3870" s="5"/>
      <c r="Z3870" s="5"/>
      <c r="AA3870" s="5"/>
      <c r="AC3870" t="e">
        <f ca="1">RANK(AB3870,OFFSET($AB$2,0,0,#REF!,1))</f>
        <v>#REF!</v>
      </c>
      <c r="AD3870" s="4" t="e">
        <f>InsurerSize(#REF!)</f>
        <v>#VALUE!</v>
      </c>
      <c r="AE3870" s="4" t="e">
        <f t="shared" si="72"/>
        <v>#VALUE!</v>
      </c>
    </row>
    <row r="3871" spans="8:31" x14ac:dyDescent="0.2">
      <c r="H3871" s="5"/>
      <c r="I3871" s="5"/>
      <c r="J3871" s="5"/>
      <c r="K3871" s="5"/>
      <c r="L3871" s="5"/>
      <c r="M3871" s="5"/>
      <c r="N3871" s="5"/>
      <c r="O3871" s="5"/>
      <c r="P3871" s="5"/>
      <c r="Q3871" s="5"/>
      <c r="R3871" s="5"/>
      <c r="S3871" s="5"/>
      <c r="T3871" s="5"/>
      <c r="U3871" s="5"/>
      <c r="V3871" s="5"/>
      <c r="W3871" s="5"/>
      <c r="X3871" s="5"/>
      <c r="Y3871" s="5"/>
      <c r="Z3871" s="5"/>
      <c r="AA3871" s="5"/>
      <c r="AC3871" t="e">
        <f ca="1">RANK(AB3871,OFFSET($AB$2,0,0,#REF!,1))</f>
        <v>#REF!</v>
      </c>
      <c r="AD3871" s="4" t="e">
        <f>InsurerSize(#REF!)</f>
        <v>#VALUE!</v>
      </c>
      <c r="AE3871" s="4" t="e">
        <f t="shared" si="72"/>
        <v>#VALUE!</v>
      </c>
    </row>
    <row r="3872" spans="8:31" x14ac:dyDescent="0.2">
      <c r="H3872" s="5"/>
      <c r="I3872" s="5"/>
      <c r="J3872" s="5"/>
      <c r="K3872" s="5"/>
      <c r="L3872" s="5"/>
      <c r="M3872" s="5"/>
      <c r="N3872" s="5"/>
      <c r="O3872" s="5"/>
      <c r="P3872" s="5"/>
      <c r="Q3872" s="5"/>
      <c r="R3872" s="5"/>
      <c r="S3872" s="5"/>
      <c r="T3872" s="5"/>
      <c r="U3872" s="5"/>
      <c r="V3872" s="5"/>
      <c r="W3872" s="5"/>
      <c r="X3872" s="5"/>
      <c r="Y3872" s="5"/>
      <c r="Z3872" s="5"/>
      <c r="AA3872" s="5"/>
      <c r="AC3872" t="e">
        <f ca="1">RANK(AB3872,OFFSET($AB$2,0,0,#REF!,1))</f>
        <v>#REF!</v>
      </c>
      <c r="AD3872" s="4" t="e">
        <f>InsurerSize(#REF!)</f>
        <v>#VALUE!</v>
      </c>
      <c r="AE3872" s="4" t="e">
        <f t="shared" si="72"/>
        <v>#VALUE!</v>
      </c>
    </row>
    <row r="3873" spans="8:31" x14ac:dyDescent="0.2">
      <c r="H3873" s="5"/>
      <c r="I3873" s="5"/>
      <c r="J3873" s="5"/>
      <c r="K3873" s="5"/>
      <c r="L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  <c r="W3873" s="5"/>
      <c r="X3873" s="5"/>
      <c r="Y3873" s="5"/>
      <c r="Z3873" s="5"/>
      <c r="AA3873" s="5"/>
      <c r="AC3873" t="e">
        <f ca="1">RANK(AB3873,OFFSET($AB$2,0,0,#REF!,1))</f>
        <v>#REF!</v>
      </c>
      <c r="AD3873" s="4" t="e">
        <f>InsurerSize(#REF!)</f>
        <v>#VALUE!</v>
      </c>
      <c r="AE3873" s="4" t="e">
        <f t="shared" si="72"/>
        <v>#VALUE!</v>
      </c>
    </row>
    <row r="3874" spans="8:31" x14ac:dyDescent="0.2">
      <c r="H3874" s="5"/>
      <c r="I3874" s="5"/>
      <c r="J3874" s="5"/>
      <c r="K3874" s="5"/>
      <c r="L3874" s="5"/>
      <c r="M3874" s="5"/>
      <c r="N3874" s="5"/>
      <c r="O3874" s="5"/>
      <c r="P3874" s="5"/>
      <c r="Q3874" s="5"/>
      <c r="R3874" s="5"/>
      <c r="S3874" s="5"/>
      <c r="T3874" s="5"/>
      <c r="U3874" s="5"/>
      <c r="V3874" s="5"/>
      <c r="W3874" s="5"/>
      <c r="X3874" s="5"/>
      <c r="Y3874" s="5"/>
      <c r="Z3874" s="5"/>
      <c r="AA3874" s="5"/>
      <c r="AC3874" t="e">
        <f ca="1">RANK(AB3874,OFFSET($AB$2,0,0,#REF!,1))</f>
        <v>#REF!</v>
      </c>
      <c r="AD3874" s="4" t="e">
        <f>InsurerSize(#REF!)</f>
        <v>#VALUE!</v>
      </c>
      <c r="AE3874" s="4" t="e">
        <f t="shared" si="72"/>
        <v>#VALUE!</v>
      </c>
    </row>
    <row r="3875" spans="8:31" x14ac:dyDescent="0.2">
      <c r="H3875" s="5"/>
      <c r="I3875" s="5"/>
      <c r="J3875" s="5"/>
      <c r="K3875" s="5"/>
      <c r="L3875" s="5"/>
      <c r="M3875" s="5"/>
      <c r="N3875" s="5"/>
      <c r="O3875" s="5"/>
      <c r="P3875" s="5"/>
      <c r="Q3875" s="5"/>
      <c r="R3875" s="5"/>
      <c r="S3875" s="5"/>
      <c r="T3875" s="5"/>
      <c r="U3875" s="5"/>
      <c r="V3875" s="5"/>
      <c r="W3875" s="5"/>
      <c r="X3875" s="5"/>
      <c r="Y3875" s="5"/>
      <c r="Z3875" s="5"/>
      <c r="AA3875" s="5"/>
      <c r="AC3875" t="e">
        <f ca="1">RANK(AB3875,OFFSET($AB$2,0,0,#REF!,1))</f>
        <v>#REF!</v>
      </c>
      <c r="AD3875" s="4" t="e">
        <f>InsurerSize(#REF!)</f>
        <v>#VALUE!</v>
      </c>
      <c r="AE3875" s="4" t="e">
        <f t="shared" si="72"/>
        <v>#VALUE!</v>
      </c>
    </row>
    <row r="3876" spans="8:31" x14ac:dyDescent="0.2">
      <c r="H3876" s="5"/>
      <c r="I3876" s="5"/>
      <c r="J3876" s="5"/>
      <c r="K3876" s="5"/>
      <c r="L3876" s="5"/>
      <c r="M3876" s="5"/>
      <c r="N3876" s="5"/>
      <c r="O3876" s="5"/>
      <c r="P3876" s="5"/>
      <c r="Q3876" s="5"/>
      <c r="R3876" s="5"/>
      <c r="S3876" s="5"/>
      <c r="T3876" s="5"/>
      <c r="U3876" s="5"/>
      <c r="V3876" s="5"/>
      <c r="W3876" s="5"/>
      <c r="X3876" s="5"/>
      <c r="Y3876" s="5"/>
      <c r="Z3876" s="5"/>
      <c r="AA3876" s="5"/>
      <c r="AC3876" t="e">
        <f ca="1">RANK(AB3876,OFFSET($AB$2,0,0,#REF!,1))</f>
        <v>#REF!</v>
      </c>
      <c r="AD3876" s="4" t="e">
        <f>InsurerSize(#REF!)</f>
        <v>#VALUE!</v>
      </c>
      <c r="AE3876" s="4" t="e">
        <f t="shared" si="72"/>
        <v>#VALUE!</v>
      </c>
    </row>
    <row r="3877" spans="8:31" x14ac:dyDescent="0.2">
      <c r="H3877" s="5"/>
      <c r="I3877" s="5"/>
      <c r="J3877" s="5"/>
      <c r="K3877" s="5"/>
      <c r="L3877" s="5"/>
      <c r="M3877" s="5"/>
      <c r="N3877" s="5"/>
      <c r="O3877" s="5"/>
      <c r="P3877" s="5"/>
      <c r="Q3877" s="5"/>
      <c r="R3877" s="5"/>
      <c r="S3877" s="5"/>
      <c r="T3877" s="5"/>
      <c r="U3877" s="5"/>
      <c r="V3877" s="5"/>
      <c r="W3877" s="5"/>
      <c r="X3877" s="5"/>
      <c r="Y3877" s="5"/>
      <c r="Z3877" s="5"/>
      <c r="AA3877" s="5"/>
      <c r="AC3877" t="e">
        <f ca="1">RANK(AB3877,OFFSET($AB$2,0,0,#REF!,1))</f>
        <v>#REF!</v>
      </c>
      <c r="AD3877" s="4" t="e">
        <f>InsurerSize(#REF!)</f>
        <v>#VALUE!</v>
      </c>
      <c r="AE3877" s="4" t="e">
        <f t="shared" si="72"/>
        <v>#VALUE!</v>
      </c>
    </row>
    <row r="3878" spans="8:31" x14ac:dyDescent="0.2">
      <c r="H3878" s="5"/>
      <c r="I3878" s="5"/>
      <c r="J3878" s="5"/>
      <c r="K3878" s="5"/>
      <c r="L3878" s="5"/>
      <c r="M3878" s="5"/>
      <c r="N3878" s="5"/>
      <c r="O3878" s="5"/>
      <c r="P3878" s="5"/>
      <c r="Q3878" s="5"/>
      <c r="R3878" s="5"/>
      <c r="S3878" s="5"/>
      <c r="T3878" s="5"/>
      <c r="U3878" s="5"/>
      <c r="V3878" s="5"/>
      <c r="W3878" s="5"/>
      <c r="X3878" s="5"/>
      <c r="Y3878" s="5"/>
      <c r="Z3878" s="5"/>
      <c r="AA3878" s="5"/>
      <c r="AC3878" t="e">
        <f ca="1">RANK(AB3878,OFFSET($AB$2,0,0,#REF!,1))</f>
        <v>#REF!</v>
      </c>
      <c r="AD3878" s="4" t="e">
        <f>InsurerSize(#REF!)</f>
        <v>#VALUE!</v>
      </c>
      <c r="AE3878" s="4" t="e">
        <f t="shared" si="72"/>
        <v>#VALUE!</v>
      </c>
    </row>
    <row r="3879" spans="8:31" x14ac:dyDescent="0.2">
      <c r="H3879" s="5"/>
      <c r="I3879" s="5"/>
      <c r="J3879" s="5"/>
      <c r="K3879" s="5"/>
      <c r="L3879" s="5"/>
      <c r="M3879" s="5"/>
      <c r="N3879" s="5"/>
      <c r="O3879" s="5"/>
      <c r="P3879" s="5"/>
      <c r="Q3879" s="5"/>
      <c r="R3879" s="5"/>
      <c r="S3879" s="5"/>
      <c r="T3879" s="5"/>
      <c r="U3879" s="5"/>
      <c r="V3879" s="5"/>
      <c r="W3879" s="5"/>
      <c r="X3879" s="5"/>
      <c r="Y3879" s="5"/>
      <c r="Z3879" s="5"/>
      <c r="AA3879" s="5"/>
      <c r="AC3879" t="e">
        <f ca="1">RANK(AB3879,OFFSET($AB$2,0,0,#REF!,1))</f>
        <v>#REF!</v>
      </c>
      <c r="AD3879" s="4" t="e">
        <f>InsurerSize(#REF!)</f>
        <v>#VALUE!</v>
      </c>
      <c r="AE3879" s="4" t="e">
        <f t="shared" si="72"/>
        <v>#VALUE!</v>
      </c>
    </row>
    <row r="3880" spans="8:31" x14ac:dyDescent="0.2">
      <c r="H3880" s="5"/>
      <c r="I3880" s="5"/>
      <c r="J3880" s="5"/>
      <c r="K3880" s="5"/>
      <c r="L3880" s="5"/>
      <c r="M3880" s="5"/>
      <c r="N3880" s="5"/>
      <c r="O3880" s="5"/>
      <c r="P3880" s="5"/>
      <c r="Q3880" s="5"/>
      <c r="R3880" s="5"/>
      <c r="S3880" s="5"/>
      <c r="T3880" s="5"/>
      <c r="U3880" s="5"/>
      <c r="V3880" s="5"/>
      <c r="W3880" s="5"/>
      <c r="X3880" s="5"/>
      <c r="Y3880" s="5"/>
      <c r="Z3880" s="5"/>
      <c r="AA3880" s="5"/>
      <c r="AC3880" t="e">
        <f ca="1">RANK(AB3880,OFFSET($AB$2,0,0,#REF!,1))</f>
        <v>#REF!</v>
      </c>
      <c r="AD3880" s="4" t="e">
        <f>InsurerSize(#REF!)</f>
        <v>#VALUE!</v>
      </c>
      <c r="AE3880" s="4" t="e">
        <f t="shared" si="72"/>
        <v>#VALUE!</v>
      </c>
    </row>
    <row r="3881" spans="8:31" x14ac:dyDescent="0.2">
      <c r="H3881" s="5"/>
      <c r="I3881" s="5"/>
      <c r="J3881" s="5"/>
      <c r="K3881" s="5"/>
      <c r="L3881" s="5"/>
      <c r="M3881" s="5"/>
      <c r="N3881" s="5"/>
      <c r="O3881" s="5"/>
      <c r="P3881" s="5"/>
      <c r="Q3881" s="5"/>
      <c r="R3881" s="5"/>
      <c r="S3881" s="5"/>
      <c r="T3881" s="5"/>
      <c r="U3881" s="5"/>
      <c r="V3881" s="5"/>
      <c r="W3881" s="5"/>
      <c r="X3881" s="5"/>
      <c r="Y3881" s="5"/>
      <c r="Z3881" s="5"/>
      <c r="AA3881" s="5"/>
      <c r="AC3881" t="e">
        <f ca="1">RANK(AB3881,OFFSET($AB$2,0,0,#REF!,1))</f>
        <v>#REF!</v>
      </c>
      <c r="AD3881" s="4" t="e">
        <f>InsurerSize(#REF!)</f>
        <v>#VALUE!</v>
      </c>
      <c r="AE3881" s="4" t="e">
        <f t="shared" si="72"/>
        <v>#VALUE!</v>
      </c>
    </row>
    <row r="3882" spans="8:31" x14ac:dyDescent="0.2">
      <c r="H3882" s="5"/>
      <c r="I3882" s="5"/>
      <c r="J3882" s="5"/>
      <c r="K3882" s="5"/>
      <c r="L3882" s="5"/>
      <c r="M3882" s="5"/>
      <c r="N3882" s="5"/>
      <c r="O3882" s="5"/>
      <c r="P3882" s="5"/>
      <c r="Q3882" s="5"/>
      <c r="R3882" s="5"/>
      <c r="S3882" s="5"/>
      <c r="T3882" s="5"/>
      <c r="U3882" s="5"/>
      <c r="V3882" s="5"/>
      <c r="W3882" s="5"/>
      <c r="X3882" s="5"/>
      <c r="Y3882" s="5"/>
      <c r="Z3882" s="5"/>
      <c r="AA3882" s="5"/>
      <c r="AC3882" t="e">
        <f ca="1">RANK(AB3882,OFFSET($AB$2,0,0,#REF!,1))</f>
        <v>#REF!</v>
      </c>
      <c r="AD3882" s="4" t="e">
        <f>InsurerSize(#REF!)</f>
        <v>#VALUE!</v>
      </c>
      <c r="AE3882" s="4" t="e">
        <f t="shared" si="72"/>
        <v>#VALUE!</v>
      </c>
    </row>
    <row r="3883" spans="8:31" x14ac:dyDescent="0.2">
      <c r="H3883" s="5"/>
      <c r="I3883" s="5"/>
      <c r="J3883" s="5"/>
      <c r="K3883" s="5"/>
      <c r="L3883" s="5"/>
      <c r="M3883" s="5"/>
      <c r="N3883" s="5"/>
      <c r="O3883" s="5"/>
      <c r="P3883" s="5"/>
      <c r="Q3883" s="5"/>
      <c r="R3883" s="5"/>
      <c r="S3883" s="5"/>
      <c r="T3883" s="5"/>
      <c r="U3883" s="5"/>
      <c r="V3883" s="5"/>
      <c r="W3883" s="5"/>
      <c r="X3883" s="5"/>
      <c r="Y3883" s="5"/>
      <c r="Z3883" s="5"/>
      <c r="AA3883" s="5"/>
      <c r="AC3883" t="e">
        <f ca="1">RANK(AB3883,OFFSET($AB$2,0,0,#REF!,1))</f>
        <v>#REF!</v>
      </c>
      <c r="AD3883" s="4" t="e">
        <f>InsurerSize(#REF!)</f>
        <v>#VALUE!</v>
      </c>
      <c r="AE3883" s="4" t="e">
        <f t="shared" si="72"/>
        <v>#VALUE!</v>
      </c>
    </row>
    <row r="3884" spans="8:31" x14ac:dyDescent="0.2">
      <c r="H3884" s="5"/>
      <c r="I3884" s="5"/>
      <c r="J3884" s="5"/>
      <c r="K3884" s="5"/>
      <c r="L3884" s="5"/>
      <c r="M3884" s="5"/>
      <c r="N3884" s="5"/>
      <c r="O3884" s="5"/>
      <c r="P3884" s="5"/>
      <c r="Q3884" s="5"/>
      <c r="R3884" s="5"/>
      <c r="S3884" s="5"/>
      <c r="T3884" s="5"/>
      <c r="U3884" s="5"/>
      <c r="V3884" s="5"/>
      <c r="W3884" s="5"/>
      <c r="X3884" s="5"/>
      <c r="Y3884" s="5"/>
      <c r="Z3884" s="5"/>
      <c r="AA3884" s="5"/>
      <c r="AC3884" t="e">
        <f ca="1">RANK(AB3884,OFFSET($AB$2,0,0,#REF!,1))</f>
        <v>#REF!</v>
      </c>
      <c r="AD3884" s="4" t="e">
        <f>InsurerSize(#REF!)</f>
        <v>#VALUE!</v>
      </c>
      <c r="AE3884" s="4" t="e">
        <f t="shared" si="72"/>
        <v>#VALUE!</v>
      </c>
    </row>
    <row r="3885" spans="8:31" x14ac:dyDescent="0.2">
      <c r="H3885" s="5"/>
      <c r="I3885" s="5"/>
      <c r="J3885" s="5"/>
      <c r="K3885" s="5"/>
      <c r="L3885" s="5"/>
      <c r="M3885" s="5"/>
      <c r="N3885" s="5"/>
      <c r="O3885" s="5"/>
      <c r="P3885" s="5"/>
      <c r="Q3885" s="5"/>
      <c r="R3885" s="5"/>
      <c r="S3885" s="5"/>
      <c r="T3885" s="5"/>
      <c r="U3885" s="5"/>
      <c r="V3885" s="5"/>
      <c r="W3885" s="5"/>
      <c r="X3885" s="5"/>
      <c r="Y3885" s="5"/>
      <c r="Z3885" s="5"/>
      <c r="AA3885" s="5"/>
      <c r="AC3885" t="e">
        <f ca="1">RANK(AB3885,OFFSET($AB$2,0,0,#REF!,1))</f>
        <v>#REF!</v>
      </c>
      <c r="AD3885" s="4" t="e">
        <f>InsurerSize(#REF!)</f>
        <v>#VALUE!</v>
      </c>
      <c r="AE3885" s="4" t="e">
        <f t="shared" si="72"/>
        <v>#VALUE!</v>
      </c>
    </row>
    <row r="3886" spans="8:31" x14ac:dyDescent="0.2">
      <c r="H3886" s="5"/>
      <c r="I3886" s="5"/>
      <c r="J3886" s="5"/>
      <c r="K3886" s="5"/>
      <c r="L3886" s="5"/>
      <c r="M3886" s="5"/>
      <c r="N3886" s="5"/>
      <c r="O3886" s="5"/>
      <c r="P3886" s="5"/>
      <c r="Q3886" s="5"/>
      <c r="R3886" s="5"/>
      <c r="S3886" s="5"/>
      <c r="T3886" s="5"/>
      <c r="U3886" s="5"/>
      <c r="V3886" s="5"/>
      <c r="W3886" s="5"/>
      <c r="X3886" s="5"/>
      <c r="Y3886" s="5"/>
      <c r="Z3886" s="5"/>
      <c r="AA3886" s="5"/>
      <c r="AC3886" t="e">
        <f ca="1">RANK(AB3886,OFFSET($AB$2,0,0,#REF!,1))</f>
        <v>#REF!</v>
      </c>
      <c r="AD3886" s="4" t="e">
        <f>InsurerSize(#REF!)</f>
        <v>#VALUE!</v>
      </c>
      <c r="AE3886" s="4" t="e">
        <f t="shared" si="72"/>
        <v>#VALUE!</v>
      </c>
    </row>
    <row r="3887" spans="8:31" x14ac:dyDescent="0.2">
      <c r="H3887" s="5"/>
      <c r="I3887" s="5"/>
      <c r="J3887" s="5"/>
      <c r="K3887" s="5"/>
      <c r="L3887" s="5"/>
      <c r="M3887" s="5"/>
      <c r="N3887" s="5"/>
      <c r="O3887" s="5"/>
      <c r="P3887" s="5"/>
      <c r="Q3887" s="5"/>
      <c r="R3887" s="5"/>
      <c r="S3887" s="5"/>
      <c r="T3887" s="5"/>
      <c r="U3887" s="5"/>
      <c r="V3887" s="5"/>
      <c r="W3887" s="5"/>
      <c r="X3887" s="5"/>
      <c r="Y3887" s="5"/>
      <c r="Z3887" s="5"/>
      <c r="AA3887" s="5"/>
      <c r="AC3887" t="e">
        <f ca="1">RANK(AB3887,OFFSET($AB$2,0,0,#REF!,1))</f>
        <v>#REF!</v>
      </c>
      <c r="AD3887" s="4" t="e">
        <f>InsurerSize(#REF!)</f>
        <v>#VALUE!</v>
      </c>
      <c r="AE3887" s="4" t="e">
        <f t="shared" si="72"/>
        <v>#VALUE!</v>
      </c>
    </row>
    <row r="3888" spans="8:31" x14ac:dyDescent="0.2">
      <c r="H3888" s="5"/>
      <c r="I3888" s="5"/>
      <c r="J3888" s="5"/>
      <c r="K3888" s="5"/>
      <c r="L3888" s="5"/>
      <c r="M3888" s="5"/>
      <c r="N3888" s="5"/>
      <c r="O3888" s="5"/>
      <c r="P3888" s="5"/>
      <c r="Q3888" s="5"/>
      <c r="R3888" s="5"/>
      <c r="S3888" s="5"/>
      <c r="T3888" s="5"/>
      <c r="U3888" s="5"/>
      <c r="V3888" s="5"/>
      <c r="W3888" s="5"/>
      <c r="X3888" s="5"/>
      <c r="Y3888" s="5"/>
      <c r="Z3888" s="5"/>
      <c r="AA3888" s="5"/>
      <c r="AC3888" t="e">
        <f ca="1">RANK(AB3888,OFFSET($AB$2,0,0,#REF!,1))</f>
        <v>#REF!</v>
      </c>
      <c r="AD3888" s="4" t="e">
        <f>InsurerSize(#REF!)</f>
        <v>#VALUE!</v>
      </c>
      <c r="AE3888" s="4" t="e">
        <f t="shared" si="72"/>
        <v>#VALUE!</v>
      </c>
    </row>
    <row r="3889" spans="8:31" x14ac:dyDescent="0.2">
      <c r="H3889" s="5"/>
      <c r="I3889" s="5"/>
      <c r="J3889" s="5"/>
      <c r="K3889" s="5"/>
      <c r="L3889" s="5"/>
      <c r="M3889" s="5"/>
      <c r="N3889" s="5"/>
      <c r="O3889" s="5"/>
      <c r="P3889" s="5"/>
      <c r="Q3889" s="5"/>
      <c r="R3889" s="5"/>
      <c r="S3889" s="5"/>
      <c r="T3889" s="5"/>
      <c r="U3889" s="5"/>
      <c r="V3889" s="5"/>
      <c r="W3889" s="5"/>
      <c r="X3889" s="5"/>
      <c r="Y3889" s="5"/>
      <c r="Z3889" s="5"/>
      <c r="AA3889" s="5"/>
      <c r="AC3889" t="e">
        <f ca="1">RANK(AB3889,OFFSET($AB$2,0,0,#REF!,1))</f>
        <v>#REF!</v>
      </c>
      <c r="AD3889" s="4" t="e">
        <f>InsurerSize(#REF!)</f>
        <v>#VALUE!</v>
      </c>
      <c r="AE3889" s="4" t="e">
        <f t="shared" si="72"/>
        <v>#VALUE!</v>
      </c>
    </row>
    <row r="3890" spans="8:31" x14ac:dyDescent="0.2">
      <c r="H3890" s="5"/>
      <c r="I3890" s="5"/>
      <c r="J3890" s="5"/>
      <c r="K3890" s="5"/>
      <c r="L3890" s="5"/>
      <c r="M3890" s="5"/>
      <c r="N3890" s="5"/>
      <c r="O3890" s="5"/>
      <c r="P3890" s="5"/>
      <c r="Q3890" s="5"/>
      <c r="R3890" s="5"/>
      <c r="S3890" s="5"/>
      <c r="T3890" s="5"/>
      <c r="U3890" s="5"/>
      <c r="V3890" s="5"/>
      <c r="W3890" s="5"/>
      <c r="X3890" s="5"/>
      <c r="Y3890" s="5"/>
      <c r="Z3890" s="5"/>
      <c r="AA3890" s="5"/>
      <c r="AC3890" t="e">
        <f ca="1">RANK(AB3890,OFFSET($AB$2,0,0,#REF!,1))</f>
        <v>#REF!</v>
      </c>
      <c r="AD3890" s="4" t="e">
        <f>InsurerSize(#REF!)</f>
        <v>#VALUE!</v>
      </c>
      <c r="AE3890" s="4" t="e">
        <f t="shared" si="72"/>
        <v>#VALUE!</v>
      </c>
    </row>
    <row r="3891" spans="8:31" x14ac:dyDescent="0.2">
      <c r="H3891" s="5"/>
      <c r="I3891" s="5"/>
      <c r="J3891" s="5"/>
      <c r="K3891" s="5"/>
      <c r="L3891" s="5"/>
      <c r="M3891" s="5"/>
      <c r="N3891" s="5"/>
      <c r="O3891" s="5"/>
      <c r="P3891" s="5"/>
      <c r="Q3891" s="5"/>
      <c r="R3891" s="5"/>
      <c r="S3891" s="5"/>
      <c r="T3891" s="5"/>
      <c r="U3891" s="5"/>
      <c r="V3891" s="5"/>
      <c r="W3891" s="5"/>
      <c r="X3891" s="5"/>
      <c r="Y3891" s="5"/>
      <c r="Z3891" s="5"/>
      <c r="AA3891" s="5"/>
      <c r="AC3891" t="e">
        <f ca="1">RANK(AB3891,OFFSET($AB$2,0,0,#REF!,1))</f>
        <v>#REF!</v>
      </c>
      <c r="AD3891" s="4" t="e">
        <f>InsurerSize(#REF!)</f>
        <v>#VALUE!</v>
      </c>
      <c r="AE3891" s="4" t="e">
        <f t="shared" si="72"/>
        <v>#VALUE!</v>
      </c>
    </row>
    <row r="3892" spans="8:31" x14ac:dyDescent="0.2">
      <c r="H3892" s="5"/>
      <c r="I3892" s="5"/>
      <c r="J3892" s="5"/>
      <c r="K3892" s="5"/>
      <c r="L3892" s="5"/>
      <c r="M3892" s="5"/>
      <c r="N3892" s="5"/>
      <c r="O3892" s="5"/>
      <c r="P3892" s="5"/>
      <c r="Q3892" s="5"/>
      <c r="R3892" s="5"/>
      <c r="S3892" s="5"/>
      <c r="T3892" s="5"/>
      <c r="U3892" s="5"/>
      <c r="V3892" s="5"/>
      <c r="W3892" s="5"/>
      <c r="X3892" s="5"/>
      <c r="Y3892" s="5"/>
      <c r="Z3892" s="5"/>
      <c r="AA3892" s="5"/>
      <c r="AC3892" t="e">
        <f ca="1">RANK(AB3892,OFFSET($AB$2,0,0,#REF!,1))</f>
        <v>#REF!</v>
      </c>
      <c r="AD3892" s="4" t="e">
        <f>InsurerSize(#REF!)</f>
        <v>#VALUE!</v>
      </c>
      <c r="AE3892" s="4" t="e">
        <f t="shared" si="72"/>
        <v>#VALUE!</v>
      </c>
    </row>
    <row r="3893" spans="8:31" x14ac:dyDescent="0.2">
      <c r="H3893" s="5"/>
      <c r="I3893" s="5"/>
      <c r="J3893" s="5"/>
      <c r="K3893" s="5"/>
      <c r="L3893" s="5"/>
      <c r="M3893" s="5"/>
      <c r="N3893" s="5"/>
      <c r="O3893" s="5"/>
      <c r="P3893" s="5"/>
      <c r="Q3893" s="5"/>
      <c r="R3893" s="5"/>
      <c r="S3893" s="5"/>
      <c r="T3893" s="5"/>
      <c r="U3893" s="5"/>
      <c r="V3893" s="5"/>
      <c r="W3893" s="5"/>
      <c r="X3893" s="5"/>
      <c r="Y3893" s="5"/>
      <c r="Z3893" s="5"/>
      <c r="AA3893" s="5"/>
      <c r="AC3893" t="e">
        <f ca="1">RANK(AB3893,OFFSET($AB$2,0,0,#REF!,1))</f>
        <v>#REF!</v>
      </c>
      <c r="AD3893" s="4" t="e">
        <f>InsurerSize(#REF!)</f>
        <v>#VALUE!</v>
      </c>
      <c r="AE3893" s="4" t="e">
        <f t="shared" si="72"/>
        <v>#VALUE!</v>
      </c>
    </row>
    <row r="3894" spans="8:31" x14ac:dyDescent="0.2">
      <c r="H3894" s="5"/>
      <c r="I3894" s="5"/>
      <c r="J3894" s="5"/>
      <c r="K3894" s="5"/>
      <c r="L3894" s="5"/>
      <c r="M3894" s="5"/>
      <c r="N3894" s="5"/>
      <c r="O3894" s="5"/>
      <c r="P3894" s="5"/>
      <c r="Q3894" s="5"/>
      <c r="R3894" s="5"/>
      <c r="S3894" s="5"/>
      <c r="T3894" s="5"/>
      <c r="U3894" s="5"/>
      <c r="V3894" s="5"/>
      <c r="W3894" s="5"/>
      <c r="X3894" s="5"/>
      <c r="Y3894" s="5"/>
      <c r="Z3894" s="5"/>
      <c r="AA3894" s="5"/>
      <c r="AC3894" t="e">
        <f ca="1">RANK(AB3894,OFFSET($AB$2,0,0,#REF!,1))</f>
        <v>#REF!</v>
      </c>
      <c r="AD3894" s="4" t="e">
        <f>InsurerSize(#REF!)</f>
        <v>#VALUE!</v>
      </c>
      <c r="AE3894" s="4" t="e">
        <f t="shared" si="72"/>
        <v>#VALUE!</v>
      </c>
    </row>
    <row r="3895" spans="8:31" x14ac:dyDescent="0.2">
      <c r="H3895" s="5"/>
      <c r="I3895" s="5"/>
      <c r="J3895" s="5"/>
      <c r="K3895" s="5"/>
      <c r="L3895" s="5"/>
      <c r="M3895" s="5"/>
      <c r="N3895" s="5"/>
      <c r="O3895" s="5"/>
      <c r="P3895" s="5"/>
      <c r="Q3895" s="5"/>
      <c r="R3895" s="5"/>
      <c r="S3895" s="5"/>
      <c r="T3895" s="5"/>
      <c r="U3895" s="5"/>
      <c r="V3895" s="5"/>
      <c r="W3895" s="5"/>
      <c r="X3895" s="5"/>
      <c r="Y3895" s="5"/>
      <c r="Z3895" s="5"/>
      <c r="AA3895" s="5"/>
      <c r="AC3895" t="e">
        <f ca="1">RANK(AB3895,OFFSET($AB$2,0,0,#REF!,1))</f>
        <v>#REF!</v>
      </c>
      <c r="AD3895" s="4" t="e">
        <f>InsurerSize(#REF!)</f>
        <v>#VALUE!</v>
      </c>
      <c r="AE3895" s="4" t="e">
        <f t="shared" si="72"/>
        <v>#VALUE!</v>
      </c>
    </row>
    <row r="3896" spans="8:31" x14ac:dyDescent="0.2">
      <c r="H3896" s="5"/>
      <c r="I3896" s="5"/>
      <c r="J3896" s="5"/>
      <c r="K3896" s="5"/>
      <c r="L3896" s="5"/>
      <c r="M3896" s="5"/>
      <c r="N3896" s="5"/>
      <c r="O3896" s="5"/>
      <c r="P3896" s="5"/>
      <c r="Q3896" s="5"/>
      <c r="R3896" s="5"/>
      <c r="S3896" s="5"/>
      <c r="T3896" s="5"/>
      <c r="U3896" s="5"/>
      <c r="V3896" s="5"/>
      <c r="W3896" s="5"/>
      <c r="X3896" s="5"/>
      <c r="Y3896" s="5"/>
      <c r="Z3896" s="5"/>
      <c r="AA3896" s="5"/>
      <c r="AC3896" t="e">
        <f ca="1">RANK(AB3896,OFFSET($AB$2,0,0,#REF!,1))</f>
        <v>#REF!</v>
      </c>
      <c r="AD3896" s="4" t="e">
        <f>InsurerSize(#REF!)</f>
        <v>#VALUE!</v>
      </c>
      <c r="AE3896" s="4" t="e">
        <f t="shared" si="72"/>
        <v>#VALUE!</v>
      </c>
    </row>
    <row r="3897" spans="8:31" x14ac:dyDescent="0.2">
      <c r="H3897" s="5"/>
      <c r="I3897" s="5"/>
      <c r="J3897" s="5"/>
      <c r="K3897" s="5"/>
      <c r="L3897" s="5"/>
      <c r="M3897" s="5"/>
      <c r="N3897" s="5"/>
      <c r="O3897" s="5"/>
      <c r="P3897" s="5"/>
      <c r="Q3897" s="5"/>
      <c r="R3897" s="5"/>
      <c r="S3897" s="5"/>
      <c r="T3897" s="5"/>
      <c r="U3897" s="5"/>
      <c r="V3897" s="5"/>
      <c r="W3897" s="5"/>
      <c r="X3897" s="5"/>
      <c r="Y3897" s="5"/>
      <c r="Z3897" s="5"/>
      <c r="AA3897" s="5"/>
      <c r="AC3897" t="e">
        <f ca="1">RANK(AB3897,OFFSET($AB$2,0,0,#REF!,1))</f>
        <v>#REF!</v>
      </c>
      <c r="AD3897" s="4" t="e">
        <f>InsurerSize(#REF!)</f>
        <v>#VALUE!</v>
      </c>
      <c r="AE3897" s="4" t="e">
        <f t="shared" si="72"/>
        <v>#VALUE!</v>
      </c>
    </row>
    <row r="3898" spans="8:31" x14ac:dyDescent="0.2">
      <c r="H3898" s="5"/>
      <c r="I3898" s="5"/>
      <c r="J3898" s="5"/>
      <c r="K3898" s="5"/>
      <c r="L3898" s="5"/>
      <c r="M3898" s="5"/>
      <c r="N3898" s="5"/>
      <c r="O3898" s="5"/>
      <c r="P3898" s="5"/>
      <c r="Q3898" s="5"/>
      <c r="R3898" s="5"/>
      <c r="S3898" s="5"/>
      <c r="T3898" s="5"/>
      <c r="U3898" s="5"/>
      <c r="V3898" s="5"/>
      <c r="W3898" s="5"/>
      <c r="X3898" s="5"/>
      <c r="Y3898" s="5"/>
      <c r="Z3898" s="5"/>
      <c r="AA3898" s="5"/>
      <c r="AC3898" t="e">
        <f ca="1">RANK(AB3898,OFFSET($AB$2,0,0,#REF!,1))</f>
        <v>#REF!</v>
      </c>
      <c r="AD3898" s="4" t="e">
        <f>InsurerSize(#REF!)</f>
        <v>#VALUE!</v>
      </c>
      <c r="AE3898" s="4" t="e">
        <f t="shared" si="72"/>
        <v>#VALUE!</v>
      </c>
    </row>
    <row r="3899" spans="8:31" x14ac:dyDescent="0.2">
      <c r="H3899" s="5"/>
      <c r="I3899" s="5"/>
      <c r="J3899" s="5"/>
      <c r="K3899" s="5"/>
      <c r="L3899" s="5"/>
      <c r="M3899" s="5"/>
      <c r="N3899" s="5"/>
      <c r="O3899" s="5"/>
      <c r="P3899" s="5"/>
      <c r="Q3899" s="5"/>
      <c r="R3899" s="5"/>
      <c r="S3899" s="5"/>
      <c r="T3899" s="5"/>
      <c r="U3899" s="5"/>
      <c r="V3899" s="5"/>
      <c r="W3899" s="5"/>
      <c r="X3899" s="5"/>
      <c r="Y3899" s="5"/>
      <c r="Z3899" s="5"/>
      <c r="AA3899" s="5"/>
      <c r="AC3899" t="e">
        <f ca="1">RANK(AB3899,OFFSET($AB$2,0,0,#REF!,1))</f>
        <v>#REF!</v>
      </c>
      <c r="AD3899" s="4" t="e">
        <f>InsurerSize(#REF!)</f>
        <v>#VALUE!</v>
      </c>
      <c r="AE3899" s="4" t="e">
        <f t="shared" si="72"/>
        <v>#VALUE!</v>
      </c>
    </row>
    <row r="3900" spans="8:31" x14ac:dyDescent="0.2">
      <c r="H3900" s="5"/>
      <c r="I3900" s="5"/>
      <c r="J3900" s="5"/>
      <c r="K3900" s="5"/>
      <c r="L3900" s="5"/>
      <c r="M3900" s="5"/>
      <c r="N3900" s="5"/>
      <c r="O3900" s="5"/>
      <c r="P3900" s="5"/>
      <c r="Q3900" s="5"/>
      <c r="R3900" s="5"/>
      <c r="S3900" s="5"/>
      <c r="T3900" s="5"/>
      <c r="U3900" s="5"/>
      <c r="V3900" s="5"/>
      <c r="W3900" s="5"/>
      <c r="X3900" s="5"/>
      <c r="Y3900" s="5"/>
      <c r="Z3900" s="5"/>
      <c r="AA3900" s="5"/>
      <c r="AC3900" t="e">
        <f ca="1">RANK(AB3900,OFFSET($AB$2,0,0,#REF!,1))</f>
        <v>#REF!</v>
      </c>
      <c r="AD3900" s="4" t="e">
        <f>InsurerSize(#REF!)</f>
        <v>#VALUE!</v>
      </c>
      <c r="AE3900" s="4" t="e">
        <f t="shared" si="72"/>
        <v>#VALUE!</v>
      </c>
    </row>
    <row r="3901" spans="8:31" x14ac:dyDescent="0.2">
      <c r="H3901" s="5"/>
      <c r="I3901" s="5"/>
      <c r="J3901" s="5"/>
      <c r="K3901" s="5"/>
      <c r="L3901" s="5"/>
      <c r="M3901" s="5"/>
      <c r="N3901" s="5"/>
      <c r="O3901" s="5"/>
      <c r="P3901" s="5"/>
      <c r="Q3901" s="5"/>
      <c r="R3901" s="5"/>
      <c r="S3901" s="5"/>
      <c r="T3901" s="5"/>
      <c r="U3901" s="5"/>
      <c r="V3901" s="5"/>
      <c r="W3901" s="5"/>
      <c r="X3901" s="5"/>
      <c r="Y3901" s="5"/>
      <c r="Z3901" s="5"/>
      <c r="AA3901" s="5"/>
      <c r="AC3901" t="e">
        <f ca="1">RANK(AB3901,OFFSET($AB$2,0,0,#REF!,1))</f>
        <v>#REF!</v>
      </c>
      <c r="AD3901" s="4" t="e">
        <f>InsurerSize(#REF!)</f>
        <v>#VALUE!</v>
      </c>
      <c r="AE3901" s="4" t="e">
        <f t="shared" si="72"/>
        <v>#VALUE!</v>
      </c>
    </row>
    <row r="3902" spans="8:31" x14ac:dyDescent="0.2">
      <c r="H3902" s="5"/>
      <c r="I3902" s="5"/>
      <c r="J3902" s="5"/>
      <c r="K3902" s="5"/>
      <c r="L3902" s="5"/>
      <c r="M3902" s="5"/>
      <c r="N3902" s="5"/>
      <c r="O3902" s="5"/>
      <c r="P3902" s="5"/>
      <c r="Q3902" s="5"/>
      <c r="R3902" s="5"/>
      <c r="S3902" s="5"/>
      <c r="T3902" s="5"/>
      <c r="U3902" s="5"/>
      <c r="V3902" s="5"/>
      <c r="W3902" s="5"/>
      <c r="X3902" s="5"/>
      <c r="Y3902" s="5"/>
      <c r="Z3902" s="5"/>
      <c r="AA3902" s="5"/>
      <c r="AC3902" t="e">
        <f ca="1">RANK(AB3902,OFFSET($AB$2,0,0,#REF!,1))</f>
        <v>#REF!</v>
      </c>
      <c r="AD3902" s="4" t="e">
        <f>InsurerSize(#REF!)</f>
        <v>#VALUE!</v>
      </c>
      <c r="AE3902" s="4" t="e">
        <f t="shared" si="72"/>
        <v>#VALUE!</v>
      </c>
    </row>
    <row r="3903" spans="8:31" x14ac:dyDescent="0.2">
      <c r="H3903" s="5"/>
      <c r="I3903" s="5"/>
      <c r="J3903" s="5"/>
      <c r="K3903" s="5"/>
      <c r="L3903" s="5"/>
      <c r="M3903" s="5"/>
      <c r="N3903" s="5"/>
      <c r="O3903" s="5"/>
      <c r="P3903" s="5"/>
      <c r="Q3903" s="5"/>
      <c r="R3903" s="5"/>
      <c r="S3903" s="5"/>
      <c r="T3903" s="5"/>
      <c r="U3903" s="5"/>
      <c r="V3903" s="5"/>
      <c r="W3903" s="5"/>
      <c r="X3903" s="5"/>
      <c r="Y3903" s="5"/>
      <c r="Z3903" s="5"/>
      <c r="AA3903" s="5"/>
      <c r="AC3903" t="e">
        <f ca="1">RANK(AB3903,OFFSET($AB$2,0,0,#REF!,1))</f>
        <v>#REF!</v>
      </c>
      <c r="AD3903" s="4" t="e">
        <f>InsurerSize(#REF!)</f>
        <v>#VALUE!</v>
      </c>
      <c r="AE3903" s="4" t="e">
        <f t="shared" si="72"/>
        <v>#VALUE!</v>
      </c>
    </row>
    <row r="3904" spans="8:31" x14ac:dyDescent="0.2">
      <c r="H3904" s="5"/>
      <c r="I3904" s="5"/>
      <c r="J3904" s="5"/>
      <c r="K3904" s="5"/>
      <c r="L3904" s="5"/>
      <c r="M3904" s="5"/>
      <c r="N3904" s="5"/>
      <c r="O3904" s="5"/>
      <c r="P3904" s="5"/>
      <c r="Q3904" s="5"/>
      <c r="R3904" s="5"/>
      <c r="S3904" s="5"/>
      <c r="T3904" s="5"/>
      <c r="U3904" s="5"/>
      <c r="V3904" s="5"/>
      <c r="W3904" s="5"/>
      <c r="X3904" s="5"/>
      <c r="Y3904" s="5"/>
      <c r="Z3904" s="5"/>
      <c r="AA3904" s="5"/>
      <c r="AC3904" t="e">
        <f ca="1">RANK(AB3904,OFFSET($AB$2,0,0,#REF!,1))</f>
        <v>#REF!</v>
      </c>
      <c r="AD3904" s="4" t="e">
        <f>InsurerSize(#REF!)</f>
        <v>#VALUE!</v>
      </c>
      <c r="AE3904" s="4" t="e">
        <f t="shared" si="72"/>
        <v>#VALUE!</v>
      </c>
    </row>
    <row r="3905" spans="8:31" x14ac:dyDescent="0.2">
      <c r="H3905" s="5"/>
      <c r="I3905" s="5"/>
      <c r="J3905" s="5"/>
      <c r="K3905" s="5"/>
      <c r="L3905" s="5"/>
      <c r="M3905" s="5"/>
      <c r="N3905" s="5"/>
      <c r="O3905" s="5"/>
      <c r="P3905" s="5"/>
      <c r="Q3905" s="5"/>
      <c r="R3905" s="5"/>
      <c r="S3905" s="5"/>
      <c r="T3905" s="5"/>
      <c r="U3905" s="5"/>
      <c r="V3905" s="5"/>
      <c r="W3905" s="5"/>
      <c r="X3905" s="5"/>
      <c r="Y3905" s="5"/>
      <c r="Z3905" s="5"/>
      <c r="AA3905" s="5"/>
      <c r="AC3905" t="e">
        <f ca="1">RANK(AB3905,OFFSET($AB$2,0,0,#REF!,1))</f>
        <v>#REF!</v>
      </c>
      <c r="AD3905" s="4" t="e">
        <f>InsurerSize(#REF!)</f>
        <v>#VALUE!</v>
      </c>
      <c r="AE3905" s="4" t="e">
        <f t="shared" si="72"/>
        <v>#VALUE!</v>
      </c>
    </row>
    <row r="3906" spans="8:31" x14ac:dyDescent="0.2">
      <c r="H3906" s="5"/>
      <c r="I3906" s="5"/>
      <c r="J3906" s="5"/>
      <c r="K3906" s="5"/>
      <c r="L3906" s="5"/>
      <c r="M3906" s="5"/>
      <c r="N3906" s="5"/>
      <c r="O3906" s="5"/>
      <c r="P3906" s="5"/>
      <c r="Q3906" s="5"/>
      <c r="R3906" s="5"/>
      <c r="S3906" s="5"/>
      <c r="T3906" s="5"/>
      <c r="U3906" s="5"/>
      <c r="V3906" s="5"/>
      <c r="W3906" s="5"/>
      <c r="X3906" s="5"/>
      <c r="Y3906" s="5"/>
      <c r="Z3906" s="5"/>
      <c r="AA3906" s="5"/>
      <c r="AC3906" t="e">
        <f ca="1">RANK(AB3906,OFFSET($AB$2,0,0,#REF!,1))</f>
        <v>#REF!</v>
      </c>
      <c r="AD3906" s="4" t="e">
        <f>InsurerSize(#REF!)</f>
        <v>#VALUE!</v>
      </c>
      <c r="AE3906" s="4" t="e">
        <f t="shared" ref="AE3906:AE3969" si="73">A3906&amp;AD3906</f>
        <v>#VALUE!</v>
      </c>
    </row>
    <row r="3907" spans="8:31" x14ac:dyDescent="0.2">
      <c r="H3907" s="5"/>
      <c r="I3907" s="5"/>
      <c r="J3907" s="5"/>
      <c r="K3907" s="5"/>
      <c r="L3907" s="5"/>
      <c r="M3907" s="5"/>
      <c r="N3907" s="5"/>
      <c r="O3907" s="5"/>
      <c r="P3907" s="5"/>
      <c r="Q3907" s="5"/>
      <c r="R3907" s="5"/>
      <c r="S3907" s="5"/>
      <c r="T3907" s="5"/>
      <c r="U3907" s="5"/>
      <c r="V3907" s="5"/>
      <c r="W3907" s="5"/>
      <c r="X3907" s="5"/>
      <c r="Y3907" s="5"/>
      <c r="Z3907" s="5"/>
      <c r="AA3907" s="5"/>
      <c r="AC3907" t="e">
        <f ca="1">RANK(AB3907,OFFSET($AB$2,0,0,#REF!,1))</f>
        <v>#REF!</v>
      </c>
      <c r="AD3907" s="4" t="e">
        <f>InsurerSize(#REF!)</f>
        <v>#VALUE!</v>
      </c>
      <c r="AE3907" s="4" t="e">
        <f t="shared" si="73"/>
        <v>#VALUE!</v>
      </c>
    </row>
    <row r="3908" spans="8:31" x14ac:dyDescent="0.2">
      <c r="H3908" s="5"/>
      <c r="I3908" s="5"/>
      <c r="J3908" s="5"/>
      <c r="K3908" s="5"/>
      <c r="L3908" s="5"/>
      <c r="M3908" s="5"/>
      <c r="N3908" s="5"/>
      <c r="O3908" s="5"/>
      <c r="P3908" s="5"/>
      <c r="Q3908" s="5"/>
      <c r="R3908" s="5"/>
      <c r="S3908" s="5"/>
      <c r="T3908" s="5"/>
      <c r="U3908" s="5"/>
      <c r="V3908" s="5"/>
      <c r="W3908" s="5"/>
      <c r="X3908" s="5"/>
      <c r="Y3908" s="5"/>
      <c r="Z3908" s="5"/>
      <c r="AA3908" s="5"/>
      <c r="AC3908" t="e">
        <f ca="1">RANK(AB3908,OFFSET($AB$2,0,0,#REF!,1))</f>
        <v>#REF!</v>
      </c>
      <c r="AD3908" s="4" t="e">
        <f>InsurerSize(#REF!)</f>
        <v>#VALUE!</v>
      </c>
      <c r="AE3908" s="4" t="e">
        <f t="shared" si="73"/>
        <v>#VALUE!</v>
      </c>
    </row>
    <row r="3909" spans="8:31" x14ac:dyDescent="0.2">
      <c r="H3909" s="5"/>
      <c r="I3909" s="5"/>
      <c r="J3909" s="5"/>
      <c r="K3909" s="5"/>
      <c r="L3909" s="5"/>
      <c r="M3909" s="5"/>
      <c r="N3909" s="5"/>
      <c r="O3909" s="5"/>
      <c r="P3909" s="5"/>
      <c r="Q3909" s="5"/>
      <c r="R3909" s="5"/>
      <c r="S3909" s="5"/>
      <c r="T3909" s="5"/>
      <c r="U3909" s="5"/>
      <c r="V3909" s="5"/>
      <c r="W3909" s="5"/>
      <c r="X3909" s="5"/>
      <c r="Y3909" s="5"/>
      <c r="Z3909" s="5"/>
      <c r="AA3909" s="5"/>
      <c r="AC3909" t="e">
        <f ca="1">RANK(AB3909,OFFSET($AB$2,0,0,#REF!,1))</f>
        <v>#REF!</v>
      </c>
      <c r="AD3909" s="4" t="e">
        <f>InsurerSize(#REF!)</f>
        <v>#VALUE!</v>
      </c>
      <c r="AE3909" s="4" t="e">
        <f t="shared" si="73"/>
        <v>#VALUE!</v>
      </c>
    </row>
    <row r="3910" spans="8:31" x14ac:dyDescent="0.2">
      <c r="H3910" s="5"/>
      <c r="I3910" s="5"/>
      <c r="J3910" s="5"/>
      <c r="K3910" s="5"/>
      <c r="L3910" s="5"/>
      <c r="M3910" s="5"/>
      <c r="N3910" s="5"/>
      <c r="O3910" s="5"/>
      <c r="P3910" s="5"/>
      <c r="Q3910" s="5"/>
      <c r="R3910" s="5"/>
      <c r="S3910" s="5"/>
      <c r="T3910" s="5"/>
      <c r="U3910" s="5"/>
      <c r="V3910" s="5"/>
      <c r="W3910" s="5"/>
      <c r="X3910" s="5"/>
      <c r="Y3910" s="5"/>
      <c r="Z3910" s="5"/>
      <c r="AA3910" s="5"/>
      <c r="AC3910" t="e">
        <f ca="1">RANK(AB3910,OFFSET($AB$2,0,0,#REF!,1))</f>
        <v>#REF!</v>
      </c>
      <c r="AD3910" s="4" t="e">
        <f>InsurerSize(#REF!)</f>
        <v>#VALUE!</v>
      </c>
      <c r="AE3910" s="4" t="e">
        <f t="shared" si="73"/>
        <v>#VALUE!</v>
      </c>
    </row>
    <row r="3911" spans="8:31" x14ac:dyDescent="0.2">
      <c r="H3911" s="5"/>
      <c r="I3911" s="5"/>
      <c r="J3911" s="5"/>
      <c r="K3911" s="5"/>
      <c r="L3911" s="5"/>
      <c r="M3911" s="5"/>
      <c r="N3911" s="5"/>
      <c r="O3911" s="5"/>
      <c r="P3911" s="5"/>
      <c r="Q3911" s="5"/>
      <c r="R3911" s="5"/>
      <c r="S3911" s="5"/>
      <c r="T3911" s="5"/>
      <c r="U3911" s="5"/>
      <c r="V3911" s="5"/>
      <c r="W3911" s="5"/>
      <c r="X3911" s="5"/>
      <c r="Y3911" s="5"/>
      <c r="Z3911" s="5"/>
      <c r="AA3911" s="5"/>
      <c r="AC3911" t="e">
        <f ca="1">RANK(AB3911,OFFSET($AB$2,0,0,#REF!,1))</f>
        <v>#REF!</v>
      </c>
      <c r="AD3911" s="4" t="e">
        <f>InsurerSize(#REF!)</f>
        <v>#VALUE!</v>
      </c>
      <c r="AE3911" s="4" t="e">
        <f t="shared" si="73"/>
        <v>#VALUE!</v>
      </c>
    </row>
    <row r="3912" spans="8:31" x14ac:dyDescent="0.2">
      <c r="H3912" s="5"/>
      <c r="I3912" s="5"/>
      <c r="J3912" s="5"/>
      <c r="K3912" s="5"/>
      <c r="L3912" s="5"/>
      <c r="M3912" s="5"/>
      <c r="N3912" s="5"/>
      <c r="O3912" s="5"/>
      <c r="P3912" s="5"/>
      <c r="Q3912" s="5"/>
      <c r="R3912" s="5"/>
      <c r="S3912" s="5"/>
      <c r="T3912" s="5"/>
      <c r="U3912" s="5"/>
      <c r="V3912" s="5"/>
      <c r="W3912" s="5"/>
      <c r="X3912" s="5"/>
      <c r="Y3912" s="5"/>
      <c r="Z3912" s="5"/>
      <c r="AA3912" s="5"/>
      <c r="AC3912" t="e">
        <f ca="1">RANK(AB3912,OFFSET($AB$2,0,0,#REF!,1))</f>
        <v>#REF!</v>
      </c>
      <c r="AD3912" s="4" t="e">
        <f>InsurerSize(#REF!)</f>
        <v>#VALUE!</v>
      </c>
      <c r="AE3912" s="4" t="e">
        <f t="shared" si="73"/>
        <v>#VALUE!</v>
      </c>
    </row>
    <row r="3913" spans="8:31" x14ac:dyDescent="0.2">
      <c r="H3913" s="5"/>
      <c r="I3913" s="5"/>
      <c r="J3913" s="5"/>
      <c r="K3913" s="5"/>
      <c r="L3913" s="5"/>
      <c r="M3913" s="5"/>
      <c r="N3913" s="5"/>
      <c r="O3913" s="5"/>
      <c r="P3913" s="5"/>
      <c r="Q3913" s="5"/>
      <c r="R3913" s="5"/>
      <c r="S3913" s="5"/>
      <c r="T3913" s="5"/>
      <c r="U3913" s="5"/>
      <c r="V3913" s="5"/>
      <c r="W3913" s="5"/>
      <c r="X3913" s="5"/>
      <c r="Y3913" s="5"/>
      <c r="Z3913" s="5"/>
      <c r="AA3913" s="5"/>
      <c r="AC3913" t="e">
        <f ca="1">RANK(AB3913,OFFSET($AB$2,0,0,#REF!,1))</f>
        <v>#REF!</v>
      </c>
      <c r="AD3913" s="4" t="e">
        <f>InsurerSize(#REF!)</f>
        <v>#VALUE!</v>
      </c>
      <c r="AE3913" s="4" t="e">
        <f t="shared" si="73"/>
        <v>#VALUE!</v>
      </c>
    </row>
    <row r="3914" spans="8:31" x14ac:dyDescent="0.2">
      <c r="H3914" s="5"/>
      <c r="I3914" s="5"/>
      <c r="J3914" s="5"/>
      <c r="K3914" s="5"/>
      <c r="L3914" s="5"/>
      <c r="M3914" s="5"/>
      <c r="N3914" s="5"/>
      <c r="O3914" s="5"/>
      <c r="P3914" s="5"/>
      <c r="Q3914" s="5"/>
      <c r="R3914" s="5"/>
      <c r="S3914" s="5"/>
      <c r="T3914" s="5"/>
      <c r="U3914" s="5"/>
      <c r="V3914" s="5"/>
      <c r="W3914" s="5"/>
      <c r="X3914" s="5"/>
      <c r="Y3914" s="5"/>
      <c r="Z3914" s="5"/>
      <c r="AA3914" s="5"/>
      <c r="AC3914" t="e">
        <f ca="1">RANK(AB3914,OFFSET($AB$2,0,0,#REF!,1))</f>
        <v>#REF!</v>
      </c>
      <c r="AD3914" s="4" t="e">
        <f>InsurerSize(#REF!)</f>
        <v>#VALUE!</v>
      </c>
      <c r="AE3914" s="4" t="e">
        <f t="shared" si="73"/>
        <v>#VALUE!</v>
      </c>
    </row>
    <row r="3915" spans="8:31" x14ac:dyDescent="0.2">
      <c r="H3915" s="5"/>
      <c r="I3915" s="5"/>
      <c r="J3915" s="5"/>
      <c r="K3915" s="5"/>
      <c r="L3915" s="5"/>
      <c r="M3915" s="5"/>
      <c r="N3915" s="5"/>
      <c r="O3915" s="5"/>
      <c r="P3915" s="5"/>
      <c r="Q3915" s="5"/>
      <c r="R3915" s="5"/>
      <c r="S3915" s="5"/>
      <c r="T3915" s="5"/>
      <c r="U3915" s="5"/>
      <c r="V3915" s="5"/>
      <c r="W3915" s="5"/>
      <c r="X3915" s="5"/>
      <c r="Y3915" s="5"/>
      <c r="Z3915" s="5"/>
      <c r="AA3915" s="5"/>
      <c r="AC3915" t="e">
        <f ca="1">RANK(AB3915,OFFSET($AB$2,0,0,#REF!,1))</f>
        <v>#REF!</v>
      </c>
      <c r="AD3915" s="4" t="e">
        <f>InsurerSize(#REF!)</f>
        <v>#VALUE!</v>
      </c>
      <c r="AE3915" s="4" t="e">
        <f t="shared" si="73"/>
        <v>#VALUE!</v>
      </c>
    </row>
    <row r="3916" spans="8:31" x14ac:dyDescent="0.2">
      <c r="H3916" s="5"/>
      <c r="I3916" s="5"/>
      <c r="J3916" s="5"/>
      <c r="K3916" s="5"/>
      <c r="L3916" s="5"/>
      <c r="M3916" s="5"/>
      <c r="N3916" s="5"/>
      <c r="O3916" s="5"/>
      <c r="P3916" s="5"/>
      <c r="Q3916" s="5"/>
      <c r="R3916" s="5"/>
      <c r="S3916" s="5"/>
      <c r="T3916" s="5"/>
      <c r="U3916" s="5"/>
      <c r="V3916" s="5"/>
      <c r="W3916" s="5"/>
      <c r="X3916" s="5"/>
      <c r="Y3916" s="5"/>
      <c r="Z3916" s="5"/>
      <c r="AA3916" s="5"/>
      <c r="AC3916" t="e">
        <f ca="1">RANK(AB3916,OFFSET($AB$2,0,0,#REF!,1))</f>
        <v>#REF!</v>
      </c>
      <c r="AD3916" s="4" t="e">
        <f>InsurerSize(#REF!)</f>
        <v>#VALUE!</v>
      </c>
      <c r="AE3916" s="4" t="e">
        <f t="shared" si="73"/>
        <v>#VALUE!</v>
      </c>
    </row>
    <row r="3917" spans="8:31" x14ac:dyDescent="0.2">
      <c r="H3917" s="5"/>
      <c r="I3917" s="5"/>
      <c r="J3917" s="5"/>
      <c r="K3917" s="5"/>
      <c r="L3917" s="5"/>
      <c r="M3917" s="5"/>
      <c r="N3917" s="5"/>
      <c r="O3917" s="5"/>
      <c r="P3917" s="5"/>
      <c r="Q3917" s="5"/>
      <c r="R3917" s="5"/>
      <c r="S3917" s="5"/>
      <c r="T3917" s="5"/>
      <c r="U3917" s="5"/>
      <c r="V3917" s="5"/>
      <c r="W3917" s="5"/>
      <c r="X3917" s="5"/>
      <c r="Y3917" s="5"/>
      <c r="Z3917" s="5"/>
      <c r="AA3917" s="5"/>
      <c r="AC3917" t="e">
        <f ca="1">RANK(AB3917,OFFSET($AB$2,0,0,#REF!,1))</f>
        <v>#REF!</v>
      </c>
      <c r="AD3917" s="4" t="e">
        <f>InsurerSize(#REF!)</f>
        <v>#VALUE!</v>
      </c>
      <c r="AE3917" s="4" t="e">
        <f t="shared" si="73"/>
        <v>#VALUE!</v>
      </c>
    </row>
    <row r="3918" spans="8:31" x14ac:dyDescent="0.2">
      <c r="H3918" s="5"/>
      <c r="I3918" s="5"/>
      <c r="J3918" s="5"/>
      <c r="K3918" s="5"/>
      <c r="L3918" s="5"/>
      <c r="M3918" s="5"/>
      <c r="N3918" s="5"/>
      <c r="O3918" s="5"/>
      <c r="P3918" s="5"/>
      <c r="Q3918" s="5"/>
      <c r="R3918" s="5"/>
      <c r="S3918" s="5"/>
      <c r="T3918" s="5"/>
      <c r="U3918" s="5"/>
      <c r="V3918" s="5"/>
      <c r="W3918" s="5"/>
      <c r="X3918" s="5"/>
      <c r="Y3918" s="5"/>
      <c r="Z3918" s="5"/>
      <c r="AA3918" s="5"/>
      <c r="AC3918" t="e">
        <f ca="1">RANK(AB3918,OFFSET($AB$2,0,0,#REF!,1))</f>
        <v>#REF!</v>
      </c>
      <c r="AD3918" s="4" t="e">
        <f>InsurerSize(#REF!)</f>
        <v>#VALUE!</v>
      </c>
      <c r="AE3918" s="4" t="e">
        <f t="shared" si="73"/>
        <v>#VALUE!</v>
      </c>
    </row>
    <row r="3919" spans="8:31" x14ac:dyDescent="0.2">
      <c r="H3919" s="5"/>
      <c r="I3919" s="5"/>
      <c r="J3919" s="5"/>
      <c r="K3919" s="5"/>
      <c r="L3919" s="5"/>
      <c r="M3919" s="5"/>
      <c r="N3919" s="5"/>
      <c r="O3919" s="5"/>
      <c r="P3919" s="5"/>
      <c r="Q3919" s="5"/>
      <c r="R3919" s="5"/>
      <c r="S3919" s="5"/>
      <c r="T3919" s="5"/>
      <c r="U3919" s="5"/>
      <c r="V3919" s="5"/>
      <c r="W3919" s="5"/>
      <c r="X3919" s="5"/>
      <c r="Y3919" s="5"/>
      <c r="Z3919" s="5"/>
      <c r="AA3919" s="5"/>
      <c r="AC3919" t="e">
        <f ca="1">RANK(AB3919,OFFSET($AB$2,0,0,#REF!,1))</f>
        <v>#REF!</v>
      </c>
      <c r="AD3919" s="4" t="e">
        <f>InsurerSize(#REF!)</f>
        <v>#VALUE!</v>
      </c>
      <c r="AE3919" s="4" t="e">
        <f t="shared" si="73"/>
        <v>#VALUE!</v>
      </c>
    </row>
    <row r="3920" spans="8:31" x14ac:dyDescent="0.2">
      <c r="H3920" s="5"/>
      <c r="I3920" s="5"/>
      <c r="J3920" s="5"/>
      <c r="K3920" s="5"/>
      <c r="L3920" s="5"/>
      <c r="M3920" s="5"/>
      <c r="N3920" s="5"/>
      <c r="O3920" s="5"/>
      <c r="P3920" s="5"/>
      <c r="Q3920" s="5"/>
      <c r="R3920" s="5"/>
      <c r="S3920" s="5"/>
      <c r="T3920" s="5"/>
      <c r="U3920" s="5"/>
      <c r="V3920" s="5"/>
      <c r="W3920" s="5"/>
      <c r="X3920" s="5"/>
      <c r="Y3920" s="5"/>
      <c r="Z3920" s="5"/>
      <c r="AA3920" s="5"/>
      <c r="AC3920" t="e">
        <f ca="1">RANK(AB3920,OFFSET($AB$2,0,0,#REF!,1))</f>
        <v>#REF!</v>
      </c>
      <c r="AD3920" s="4" t="e">
        <f>InsurerSize(#REF!)</f>
        <v>#VALUE!</v>
      </c>
      <c r="AE3920" s="4" t="e">
        <f t="shared" si="73"/>
        <v>#VALUE!</v>
      </c>
    </row>
    <row r="3921" spans="8:31" x14ac:dyDescent="0.2">
      <c r="H3921" s="5"/>
      <c r="I3921" s="5"/>
      <c r="J3921" s="5"/>
      <c r="K3921" s="5"/>
      <c r="L3921" s="5"/>
      <c r="M3921" s="5"/>
      <c r="N3921" s="5"/>
      <c r="O3921" s="5"/>
      <c r="P3921" s="5"/>
      <c r="Q3921" s="5"/>
      <c r="R3921" s="5"/>
      <c r="S3921" s="5"/>
      <c r="T3921" s="5"/>
      <c r="U3921" s="5"/>
      <c r="V3921" s="5"/>
      <c r="W3921" s="5"/>
      <c r="X3921" s="5"/>
      <c r="Y3921" s="5"/>
      <c r="Z3921" s="5"/>
      <c r="AA3921" s="5"/>
      <c r="AC3921" t="e">
        <f ca="1">RANK(AB3921,OFFSET($AB$2,0,0,#REF!,1))</f>
        <v>#REF!</v>
      </c>
      <c r="AD3921" s="4" t="e">
        <f>InsurerSize(#REF!)</f>
        <v>#VALUE!</v>
      </c>
      <c r="AE3921" s="4" t="e">
        <f t="shared" si="73"/>
        <v>#VALUE!</v>
      </c>
    </row>
    <row r="3922" spans="8:31" x14ac:dyDescent="0.2">
      <c r="H3922" s="5"/>
      <c r="I3922" s="5"/>
      <c r="J3922" s="5"/>
      <c r="K3922" s="5"/>
      <c r="L3922" s="5"/>
      <c r="M3922" s="5"/>
      <c r="N3922" s="5"/>
      <c r="O3922" s="5"/>
      <c r="P3922" s="5"/>
      <c r="Q3922" s="5"/>
      <c r="R3922" s="5"/>
      <c r="S3922" s="5"/>
      <c r="T3922" s="5"/>
      <c r="U3922" s="5"/>
      <c r="V3922" s="5"/>
      <c r="W3922" s="5"/>
      <c r="X3922" s="5"/>
      <c r="Y3922" s="5"/>
      <c r="Z3922" s="5"/>
      <c r="AA3922" s="5"/>
      <c r="AC3922" t="e">
        <f ca="1">RANK(AB3922,OFFSET($AB$2,0,0,#REF!,1))</f>
        <v>#REF!</v>
      </c>
      <c r="AD3922" s="4" t="e">
        <f>InsurerSize(#REF!)</f>
        <v>#VALUE!</v>
      </c>
      <c r="AE3922" s="4" t="e">
        <f t="shared" si="73"/>
        <v>#VALUE!</v>
      </c>
    </row>
    <row r="3923" spans="8:31" x14ac:dyDescent="0.2">
      <c r="H3923" s="5"/>
      <c r="I3923" s="5"/>
      <c r="J3923" s="5"/>
      <c r="K3923" s="5"/>
      <c r="L3923" s="5"/>
      <c r="M3923" s="5"/>
      <c r="N3923" s="5"/>
      <c r="O3923" s="5"/>
      <c r="P3923" s="5"/>
      <c r="Q3923" s="5"/>
      <c r="R3923" s="5"/>
      <c r="S3923" s="5"/>
      <c r="T3923" s="5"/>
      <c r="U3923" s="5"/>
      <c r="V3923" s="5"/>
      <c r="W3923" s="5"/>
      <c r="X3923" s="5"/>
      <c r="Y3923" s="5"/>
      <c r="Z3923" s="5"/>
      <c r="AA3923" s="5"/>
      <c r="AC3923" t="e">
        <f ca="1">RANK(AB3923,OFFSET($AB$2,0,0,#REF!,1))</f>
        <v>#REF!</v>
      </c>
      <c r="AD3923" s="4" t="e">
        <f>InsurerSize(#REF!)</f>
        <v>#VALUE!</v>
      </c>
      <c r="AE3923" s="4" t="e">
        <f t="shared" si="73"/>
        <v>#VALUE!</v>
      </c>
    </row>
    <row r="3924" spans="8:31" x14ac:dyDescent="0.2">
      <c r="H3924" s="5"/>
      <c r="I3924" s="5"/>
      <c r="J3924" s="5"/>
      <c r="K3924" s="5"/>
      <c r="L3924" s="5"/>
      <c r="M3924" s="5"/>
      <c r="N3924" s="5"/>
      <c r="O3924" s="5"/>
      <c r="P3924" s="5"/>
      <c r="Q3924" s="5"/>
      <c r="R3924" s="5"/>
      <c r="S3924" s="5"/>
      <c r="T3924" s="5"/>
      <c r="U3924" s="5"/>
      <c r="V3924" s="5"/>
      <c r="W3924" s="5"/>
      <c r="X3924" s="5"/>
      <c r="Y3924" s="5"/>
      <c r="Z3924" s="5"/>
      <c r="AA3924" s="5"/>
      <c r="AC3924" t="e">
        <f ca="1">RANK(AB3924,OFFSET($AB$2,0,0,#REF!,1))</f>
        <v>#REF!</v>
      </c>
      <c r="AD3924" s="4" t="e">
        <f>InsurerSize(#REF!)</f>
        <v>#VALUE!</v>
      </c>
      <c r="AE3924" s="4" t="e">
        <f t="shared" si="73"/>
        <v>#VALUE!</v>
      </c>
    </row>
    <row r="3925" spans="8:31" x14ac:dyDescent="0.2">
      <c r="H3925" s="5"/>
      <c r="I3925" s="5"/>
      <c r="J3925" s="5"/>
      <c r="K3925" s="5"/>
      <c r="L3925" s="5"/>
      <c r="M3925" s="5"/>
      <c r="N3925" s="5"/>
      <c r="O3925" s="5"/>
      <c r="P3925" s="5"/>
      <c r="Q3925" s="5"/>
      <c r="R3925" s="5"/>
      <c r="S3925" s="5"/>
      <c r="T3925" s="5"/>
      <c r="U3925" s="5"/>
      <c r="V3925" s="5"/>
      <c r="W3925" s="5"/>
      <c r="X3925" s="5"/>
      <c r="Y3925" s="5"/>
      <c r="Z3925" s="5"/>
      <c r="AA3925" s="5"/>
      <c r="AC3925" t="e">
        <f ca="1">RANK(AB3925,OFFSET($AB$2,0,0,#REF!,1))</f>
        <v>#REF!</v>
      </c>
      <c r="AD3925" s="4" t="e">
        <f>InsurerSize(#REF!)</f>
        <v>#VALUE!</v>
      </c>
      <c r="AE3925" s="4" t="e">
        <f t="shared" si="73"/>
        <v>#VALUE!</v>
      </c>
    </row>
    <row r="3926" spans="8:31" x14ac:dyDescent="0.2">
      <c r="H3926" s="5"/>
      <c r="I3926" s="5"/>
      <c r="J3926" s="5"/>
      <c r="K3926" s="5"/>
      <c r="L3926" s="5"/>
      <c r="M3926" s="5"/>
      <c r="N3926" s="5"/>
      <c r="O3926" s="5"/>
      <c r="P3926" s="5"/>
      <c r="Q3926" s="5"/>
      <c r="R3926" s="5"/>
      <c r="S3926" s="5"/>
      <c r="T3926" s="5"/>
      <c r="U3926" s="5"/>
      <c r="V3926" s="5"/>
      <c r="W3926" s="5"/>
      <c r="X3926" s="5"/>
      <c r="Y3926" s="5"/>
      <c r="Z3926" s="5"/>
      <c r="AA3926" s="5"/>
      <c r="AC3926" t="e">
        <f ca="1">RANK(AB3926,OFFSET($AB$2,0,0,#REF!,1))</f>
        <v>#REF!</v>
      </c>
      <c r="AD3926" s="4" t="e">
        <f>InsurerSize(#REF!)</f>
        <v>#VALUE!</v>
      </c>
      <c r="AE3926" s="4" t="e">
        <f t="shared" si="73"/>
        <v>#VALUE!</v>
      </c>
    </row>
    <row r="3927" spans="8:31" x14ac:dyDescent="0.2">
      <c r="H3927" s="5"/>
      <c r="I3927" s="5"/>
      <c r="J3927" s="5"/>
      <c r="K3927" s="5"/>
      <c r="L3927" s="5"/>
      <c r="M3927" s="5"/>
      <c r="N3927" s="5"/>
      <c r="O3927" s="5"/>
      <c r="P3927" s="5"/>
      <c r="Q3927" s="5"/>
      <c r="R3927" s="5"/>
      <c r="S3927" s="5"/>
      <c r="T3927" s="5"/>
      <c r="U3927" s="5"/>
      <c r="V3927" s="5"/>
      <c r="W3927" s="5"/>
      <c r="X3927" s="5"/>
      <c r="Y3927" s="5"/>
      <c r="Z3927" s="5"/>
      <c r="AA3927" s="5"/>
      <c r="AC3927" t="e">
        <f ca="1">RANK(AB3927,OFFSET($AB$2,0,0,#REF!,1))</f>
        <v>#REF!</v>
      </c>
      <c r="AD3927" s="4" t="e">
        <f>InsurerSize(#REF!)</f>
        <v>#VALUE!</v>
      </c>
      <c r="AE3927" s="4" t="e">
        <f t="shared" si="73"/>
        <v>#VALUE!</v>
      </c>
    </row>
    <row r="3928" spans="8:31" x14ac:dyDescent="0.2">
      <c r="H3928" s="5"/>
      <c r="I3928" s="5"/>
      <c r="J3928" s="5"/>
      <c r="K3928" s="5"/>
      <c r="L3928" s="5"/>
      <c r="M3928" s="5"/>
      <c r="N3928" s="5"/>
      <c r="O3928" s="5"/>
      <c r="P3928" s="5"/>
      <c r="Q3928" s="5"/>
      <c r="R3928" s="5"/>
      <c r="S3928" s="5"/>
      <c r="T3928" s="5"/>
      <c r="U3928" s="5"/>
      <c r="V3928" s="5"/>
      <c r="W3928" s="5"/>
      <c r="X3928" s="5"/>
      <c r="Y3928" s="5"/>
      <c r="Z3928" s="5"/>
      <c r="AA3928" s="5"/>
      <c r="AC3928" t="e">
        <f ca="1">RANK(AB3928,OFFSET($AB$2,0,0,#REF!,1))</f>
        <v>#REF!</v>
      </c>
      <c r="AD3928" s="4" t="e">
        <f>InsurerSize(#REF!)</f>
        <v>#VALUE!</v>
      </c>
      <c r="AE3928" s="4" t="e">
        <f t="shared" si="73"/>
        <v>#VALUE!</v>
      </c>
    </row>
    <row r="3929" spans="8:31" x14ac:dyDescent="0.2">
      <c r="H3929" s="5"/>
      <c r="I3929" s="5"/>
      <c r="J3929" s="5"/>
      <c r="K3929" s="5"/>
      <c r="L3929" s="5"/>
      <c r="M3929" s="5"/>
      <c r="N3929" s="5"/>
      <c r="O3929" s="5"/>
      <c r="P3929" s="5"/>
      <c r="Q3929" s="5"/>
      <c r="R3929" s="5"/>
      <c r="S3929" s="5"/>
      <c r="T3929" s="5"/>
      <c r="U3929" s="5"/>
      <c r="V3929" s="5"/>
      <c r="W3929" s="5"/>
      <c r="X3929" s="5"/>
      <c r="Y3929" s="5"/>
      <c r="Z3929" s="5"/>
      <c r="AA3929" s="5"/>
      <c r="AC3929" t="e">
        <f ca="1">RANK(AB3929,OFFSET($AB$2,0,0,#REF!,1))</f>
        <v>#REF!</v>
      </c>
      <c r="AD3929" s="4" t="e">
        <f>InsurerSize(#REF!)</f>
        <v>#VALUE!</v>
      </c>
      <c r="AE3929" s="4" t="e">
        <f t="shared" si="73"/>
        <v>#VALUE!</v>
      </c>
    </row>
    <row r="3930" spans="8:31" x14ac:dyDescent="0.2">
      <c r="H3930" s="5"/>
      <c r="I3930" s="5"/>
      <c r="J3930" s="5"/>
      <c r="K3930" s="5"/>
      <c r="L3930" s="5"/>
      <c r="M3930" s="5"/>
      <c r="N3930" s="5"/>
      <c r="O3930" s="5"/>
      <c r="P3930" s="5"/>
      <c r="Q3930" s="5"/>
      <c r="R3930" s="5"/>
      <c r="S3930" s="5"/>
      <c r="T3930" s="5"/>
      <c r="U3930" s="5"/>
      <c r="V3930" s="5"/>
      <c r="W3930" s="5"/>
      <c r="X3930" s="5"/>
      <c r="Y3930" s="5"/>
      <c r="Z3930" s="5"/>
      <c r="AA3930" s="5"/>
      <c r="AC3930" t="e">
        <f ca="1">RANK(AB3930,OFFSET($AB$2,0,0,#REF!,1))</f>
        <v>#REF!</v>
      </c>
      <c r="AD3930" s="4" t="e">
        <f>InsurerSize(#REF!)</f>
        <v>#VALUE!</v>
      </c>
      <c r="AE3930" s="4" t="e">
        <f t="shared" si="73"/>
        <v>#VALUE!</v>
      </c>
    </row>
    <row r="3931" spans="8:31" x14ac:dyDescent="0.2">
      <c r="H3931" s="5"/>
      <c r="I3931" s="5"/>
      <c r="J3931" s="5"/>
      <c r="K3931" s="5"/>
      <c r="L3931" s="5"/>
      <c r="M3931" s="5"/>
      <c r="N3931" s="5"/>
      <c r="O3931" s="5"/>
      <c r="P3931" s="5"/>
      <c r="Q3931" s="5"/>
      <c r="R3931" s="5"/>
      <c r="S3931" s="5"/>
      <c r="T3931" s="5"/>
      <c r="U3931" s="5"/>
      <c r="V3931" s="5"/>
      <c r="W3931" s="5"/>
      <c r="X3931" s="5"/>
      <c r="Y3931" s="5"/>
      <c r="Z3931" s="5"/>
      <c r="AA3931" s="5"/>
      <c r="AC3931" t="e">
        <f ca="1">RANK(AB3931,OFFSET($AB$2,0,0,#REF!,1))</f>
        <v>#REF!</v>
      </c>
      <c r="AD3931" s="4" t="e">
        <f>InsurerSize(#REF!)</f>
        <v>#VALUE!</v>
      </c>
      <c r="AE3931" s="4" t="e">
        <f t="shared" si="73"/>
        <v>#VALUE!</v>
      </c>
    </row>
    <row r="3932" spans="8:31" x14ac:dyDescent="0.2">
      <c r="H3932" s="5"/>
      <c r="I3932" s="5"/>
      <c r="J3932" s="5"/>
      <c r="K3932" s="5"/>
      <c r="L3932" s="5"/>
      <c r="M3932" s="5"/>
      <c r="N3932" s="5"/>
      <c r="O3932" s="5"/>
      <c r="P3932" s="5"/>
      <c r="Q3932" s="5"/>
      <c r="R3932" s="5"/>
      <c r="S3932" s="5"/>
      <c r="T3932" s="5"/>
      <c r="U3932" s="5"/>
      <c r="V3932" s="5"/>
      <c r="W3932" s="5"/>
      <c r="X3932" s="5"/>
      <c r="Y3932" s="5"/>
      <c r="Z3932" s="5"/>
      <c r="AA3932" s="5"/>
      <c r="AC3932" t="e">
        <f ca="1">RANK(AB3932,OFFSET($AB$2,0,0,#REF!,1))</f>
        <v>#REF!</v>
      </c>
      <c r="AD3932" s="4" t="e">
        <f>InsurerSize(#REF!)</f>
        <v>#VALUE!</v>
      </c>
      <c r="AE3932" s="4" t="e">
        <f t="shared" si="73"/>
        <v>#VALUE!</v>
      </c>
    </row>
    <row r="3933" spans="8:31" x14ac:dyDescent="0.2">
      <c r="H3933" s="5"/>
      <c r="I3933" s="5"/>
      <c r="J3933" s="5"/>
      <c r="K3933" s="5"/>
      <c r="L3933" s="5"/>
      <c r="M3933" s="5"/>
      <c r="N3933" s="5"/>
      <c r="O3933" s="5"/>
      <c r="P3933" s="5"/>
      <c r="Q3933" s="5"/>
      <c r="R3933" s="5"/>
      <c r="S3933" s="5"/>
      <c r="T3933" s="5"/>
      <c r="U3933" s="5"/>
      <c r="V3933" s="5"/>
      <c r="W3933" s="5"/>
      <c r="X3933" s="5"/>
      <c r="Y3933" s="5"/>
      <c r="Z3933" s="5"/>
      <c r="AA3933" s="5"/>
      <c r="AC3933" t="e">
        <f ca="1">RANK(AB3933,OFFSET($AB$2,0,0,#REF!,1))</f>
        <v>#REF!</v>
      </c>
      <c r="AD3933" s="4" t="e">
        <f>InsurerSize(#REF!)</f>
        <v>#VALUE!</v>
      </c>
      <c r="AE3933" s="4" t="e">
        <f t="shared" si="73"/>
        <v>#VALUE!</v>
      </c>
    </row>
    <row r="3934" spans="8:31" x14ac:dyDescent="0.2">
      <c r="H3934" s="5"/>
      <c r="I3934" s="5"/>
      <c r="J3934" s="5"/>
      <c r="K3934" s="5"/>
      <c r="L3934" s="5"/>
      <c r="M3934" s="5"/>
      <c r="N3934" s="5"/>
      <c r="O3934" s="5"/>
      <c r="P3934" s="5"/>
      <c r="Q3934" s="5"/>
      <c r="R3934" s="5"/>
      <c r="S3934" s="5"/>
      <c r="T3934" s="5"/>
      <c r="U3934" s="5"/>
      <c r="V3934" s="5"/>
      <c r="W3934" s="5"/>
      <c r="X3934" s="5"/>
      <c r="Y3934" s="5"/>
      <c r="Z3934" s="5"/>
      <c r="AA3934" s="5"/>
      <c r="AC3934" t="e">
        <f ca="1">RANK(AB3934,OFFSET($AB$2,0,0,#REF!,1))</f>
        <v>#REF!</v>
      </c>
      <c r="AD3934" s="4" t="e">
        <f>InsurerSize(#REF!)</f>
        <v>#VALUE!</v>
      </c>
      <c r="AE3934" s="4" t="e">
        <f t="shared" si="73"/>
        <v>#VALUE!</v>
      </c>
    </row>
    <row r="3935" spans="8:31" x14ac:dyDescent="0.2">
      <c r="H3935" s="5"/>
      <c r="I3935" s="5"/>
      <c r="J3935" s="5"/>
      <c r="K3935" s="5"/>
      <c r="L3935" s="5"/>
      <c r="M3935" s="5"/>
      <c r="N3935" s="5"/>
      <c r="O3935" s="5"/>
      <c r="P3935" s="5"/>
      <c r="Q3935" s="5"/>
      <c r="R3935" s="5"/>
      <c r="S3935" s="5"/>
      <c r="T3935" s="5"/>
      <c r="U3935" s="5"/>
      <c r="V3935" s="5"/>
      <c r="W3935" s="5"/>
      <c r="X3935" s="5"/>
      <c r="Y3935" s="5"/>
      <c r="Z3935" s="5"/>
      <c r="AA3935" s="5"/>
      <c r="AC3935" t="e">
        <f ca="1">RANK(AB3935,OFFSET($AB$2,0,0,#REF!,1))</f>
        <v>#REF!</v>
      </c>
      <c r="AD3935" s="4" t="e">
        <f>InsurerSize(#REF!)</f>
        <v>#VALUE!</v>
      </c>
      <c r="AE3935" s="4" t="e">
        <f t="shared" si="73"/>
        <v>#VALUE!</v>
      </c>
    </row>
    <row r="3936" spans="8:31" x14ac:dyDescent="0.2">
      <c r="H3936" s="5"/>
      <c r="I3936" s="5"/>
      <c r="J3936" s="5"/>
      <c r="K3936" s="5"/>
      <c r="L3936" s="5"/>
      <c r="M3936" s="5"/>
      <c r="N3936" s="5"/>
      <c r="O3936" s="5"/>
      <c r="P3936" s="5"/>
      <c r="Q3936" s="5"/>
      <c r="R3936" s="5"/>
      <c r="S3936" s="5"/>
      <c r="T3936" s="5"/>
      <c r="U3936" s="5"/>
      <c r="V3936" s="5"/>
      <c r="W3936" s="5"/>
      <c r="X3936" s="5"/>
      <c r="Y3936" s="5"/>
      <c r="Z3936" s="5"/>
      <c r="AA3936" s="5"/>
      <c r="AC3936" t="e">
        <f ca="1">RANK(AB3936,OFFSET($AB$2,0,0,#REF!,1))</f>
        <v>#REF!</v>
      </c>
      <c r="AD3936" s="4" t="e">
        <f>InsurerSize(#REF!)</f>
        <v>#VALUE!</v>
      </c>
      <c r="AE3936" s="4" t="e">
        <f t="shared" si="73"/>
        <v>#VALUE!</v>
      </c>
    </row>
    <row r="3937" spans="8:31" x14ac:dyDescent="0.2">
      <c r="H3937" s="5"/>
      <c r="I3937" s="5"/>
      <c r="J3937" s="5"/>
      <c r="K3937" s="5"/>
      <c r="L3937" s="5"/>
      <c r="M3937" s="5"/>
      <c r="N3937" s="5"/>
      <c r="O3937" s="5"/>
      <c r="P3937" s="5"/>
      <c r="Q3937" s="5"/>
      <c r="R3937" s="5"/>
      <c r="S3937" s="5"/>
      <c r="T3937" s="5"/>
      <c r="U3937" s="5"/>
      <c r="V3937" s="5"/>
      <c r="W3937" s="5"/>
      <c r="X3937" s="5"/>
      <c r="Y3937" s="5"/>
      <c r="Z3937" s="5"/>
      <c r="AA3937" s="5"/>
      <c r="AC3937" t="e">
        <f ca="1">RANK(AB3937,OFFSET($AB$2,0,0,#REF!,1))</f>
        <v>#REF!</v>
      </c>
      <c r="AD3937" s="4" t="e">
        <f>InsurerSize(#REF!)</f>
        <v>#VALUE!</v>
      </c>
      <c r="AE3937" s="4" t="e">
        <f t="shared" si="73"/>
        <v>#VALUE!</v>
      </c>
    </row>
    <row r="3938" spans="8:31" x14ac:dyDescent="0.2">
      <c r="H3938" s="5"/>
      <c r="I3938" s="5"/>
      <c r="J3938" s="5"/>
      <c r="K3938" s="5"/>
      <c r="L3938" s="5"/>
      <c r="M3938" s="5"/>
      <c r="N3938" s="5"/>
      <c r="O3938" s="5"/>
      <c r="P3938" s="5"/>
      <c r="Q3938" s="5"/>
      <c r="R3938" s="5"/>
      <c r="S3938" s="5"/>
      <c r="T3938" s="5"/>
      <c r="U3938" s="5"/>
      <c r="V3938" s="5"/>
      <c r="W3938" s="5"/>
      <c r="X3938" s="5"/>
      <c r="Y3938" s="5"/>
      <c r="Z3938" s="5"/>
      <c r="AA3938" s="5"/>
      <c r="AC3938" t="e">
        <f ca="1">RANK(AB3938,OFFSET($AB$2,0,0,#REF!,1))</f>
        <v>#REF!</v>
      </c>
      <c r="AD3938" s="4" t="e">
        <f>InsurerSize(#REF!)</f>
        <v>#VALUE!</v>
      </c>
      <c r="AE3938" s="4" t="e">
        <f t="shared" si="73"/>
        <v>#VALUE!</v>
      </c>
    </row>
    <row r="3939" spans="8:31" x14ac:dyDescent="0.2">
      <c r="H3939" s="5"/>
      <c r="I3939" s="5"/>
      <c r="J3939" s="5"/>
      <c r="K3939" s="5"/>
      <c r="L3939" s="5"/>
      <c r="M3939" s="5"/>
      <c r="N3939" s="5"/>
      <c r="O3939" s="5"/>
      <c r="P3939" s="5"/>
      <c r="Q3939" s="5"/>
      <c r="R3939" s="5"/>
      <c r="S3939" s="5"/>
      <c r="T3939" s="5"/>
      <c r="U3939" s="5"/>
      <c r="V3939" s="5"/>
      <c r="W3939" s="5"/>
      <c r="X3939" s="5"/>
      <c r="Y3939" s="5"/>
      <c r="Z3939" s="5"/>
      <c r="AA3939" s="5"/>
      <c r="AC3939" t="e">
        <f ca="1">RANK(AB3939,OFFSET($AB$2,0,0,#REF!,1))</f>
        <v>#REF!</v>
      </c>
      <c r="AD3939" s="4" t="e">
        <f>InsurerSize(#REF!)</f>
        <v>#VALUE!</v>
      </c>
      <c r="AE3939" s="4" t="e">
        <f t="shared" si="73"/>
        <v>#VALUE!</v>
      </c>
    </row>
    <row r="3940" spans="8:31" x14ac:dyDescent="0.2">
      <c r="H3940" s="5"/>
      <c r="I3940" s="5"/>
      <c r="J3940" s="5"/>
      <c r="K3940" s="5"/>
      <c r="L3940" s="5"/>
      <c r="M3940" s="5"/>
      <c r="N3940" s="5"/>
      <c r="O3940" s="5"/>
      <c r="P3940" s="5"/>
      <c r="Q3940" s="5"/>
      <c r="R3940" s="5"/>
      <c r="S3940" s="5"/>
      <c r="T3940" s="5"/>
      <c r="U3940" s="5"/>
      <c r="V3940" s="5"/>
      <c r="W3940" s="5"/>
      <c r="X3940" s="5"/>
      <c r="Y3940" s="5"/>
      <c r="Z3940" s="5"/>
      <c r="AA3940" s="5"/>
      <c r="AC3940" t="e">
        <f ca="1">RANK(AB3940,OFFSET($AB$2,0,0,#REF!,1))</f>
        <v>#REF!</v>
      </c>
      <c r="AD3940" s="4" t="e">
        <f>InsurerSize(#REF!)</f>
        <v>#VALUE!</v>
      </c>
      <c r="AE3940" s="4" t="e">
        <f t="shared" si="73"/>
        <v>#VALUE!</v>
      </c>
    </row>
    <row r="3941" spans="8:31" x14ac:dyDescent="0.2">
      <c r="H3941" s="5"/>
      <c r="I3941" s="5"/>
      <c r="J3941" s="5"/>
      <c r="K3941" s="5"/>
      <c r="L3941" s="5"/>
      <c r="M3941" s="5"/>
      <c r="N3941" s="5"/>
      <c r="O3941" s="5"/>
      <c r="P3941" s="5"/>
      <c r="Q3941" s="5"/>
      <c r="R3941" s="5"/>
      <c r="S3941" s="5"/>
      <c r="T3941" s="5"/>
      <c r="U3941" s="5"/>
      <c r="V3941" s="5"/>
      <c r="W3941" s="5"/>
      <c r="X3941" s="5"/>
      <c r="Y3941" s="5"/>
      <c r="Z3941" s="5"/>
      <c r="AA3941" s="5"/>
      <c r="AC3941" t="e">
        <f ca="1">RANK(AB3941,OFFSET($AB$2,0,0,#REF!,1))</f>
        <v>#REF!</v>
      </c>
      <c r="AD3941" s="4" t="e">
        <f>InsurerSize(#REF!)</f>
        <v>#VALUE!</v>
      </c>
      <c r="AE3941" s="4" t="e">
        <f t="shared" si="73"/>
        <v>#VALUE!</v>
      </c>
    </row>
    <row r="3942" spans="8:31" x14ac:dyDescent="0.2">
      <c r="H3942" s="5"/>
      <c r="I3942" s="5"/>
      <c r="J3942" s="5"/>
      <c r="K3942" s="5"/>
      <c r="L3942" s="5"/>
      <c r="M3942" s="5"/>
      <c r="N3942" s="5"/>
      <c r="O3942" s="5"/>
      <c r="P3942" s="5"/>
      <c r="Q3942" s="5"/>
      <c r="R3942" s="5"/>
      <c r="S3942" s="5"/>
      <c r="T3942" s="5"/>
      <c r="U3942" s="5"/>
      <c r="V3942" s="5"/>
      <c r="W3942" s="5"/>
      <c r="X3942" s="5"/>
      <c r="Y3942" s="5"/>
      <c r="Z3942" s="5"/>
      <c r="AA3942" s="5"/>
      <c r="AC3942" t="e">
        <f ca="1">RANK(AB3942,OFFSET($AB$2,0,0,#REF!,1))</f>
        <v>#REF!</v>
      </c>
      <c r="AD3942" s="4" t="e">
        <f>InsurerSize(#REF!)</f>
        <v>#VALUE!</v>
      </c>
      <c r="AE3942" s="4" t="e">
        <f t="shared" si="73"/>
        <v>#VALUE!</v>
      </c>
    </row>
    <row r="3943" spans="8:31" x14ac:dyDescent="0.2">
      <c r="H3943" s="5"/>
      <c r="I3943" s="5"/>
      <c r="J3943" s="5"/>
      <c r="K3943" s="5"/>
      <c r="L3943" s="5"/>
      <c r="M3943" s="5"/>
      <c r="N3943" s="5"/>
      <c r="O3943" s="5"/>
      <c r="P3943" s="5"/>
      <c r="Q3943" s="5"/>
      <c r="R3943" s="5"/>
      <c r="S3943" s="5"/>
      <c r="T3943" s="5"/>
      <c r="U3943" s="5"/>
      <c r="V3943" s="5"/>
      <c r="W3943" s="5"/>
      <c r="X3943" s="5"/>
      <c r="Y3943" s="5"/>
      <c r="Z3943" s="5"/>
      <c r="AA3943" s="5"/>
      <c r="AC3943" t="e">
        <f ca="1">RANK(AB3943,OFFSET($AB$2,0,0,#REF!,1))</f>
        <v>#REF!</v>
      </c>
      <c r="AD3943" s="4" t="e">
        <f>InsurerSize(#REF!)</f>
        <v>#VALUE!</v>
      </c>
      <c r="AE3943" s="4" t="e">
        <f t="shared" si="73"/>
        <v>#VALUE!</v>
      </c>
    </row>
    <row r="3944" spans="8:31" x14ac:dyDescent="0.2">
      <c r="H3944" s="5"/>
      <c r="I3944" s="5"/>
      <c r="J3944" s="5"/>
      <c r="K3944" s="5"/>
      <c r="L3944" s="5"/>
      <c r="M3944" s="5"/>
      <c r="N3944" s="5"/>
      <c r="O3944" s="5"/>
      <c r="P3944" s="5"/>
      <c r="Q3944" s="5"/>
      <c r="R3944" s="5"/>
      <c r="S3944" s="5"/>
      <c r="T3944" s="5"/>
      <c r="U3944" s="5"/>
      <c r="V3944" s="5"/>
      <c r="W3944" s="5"/>
      <c r="X3944" s="5"/>
      <c r="Y3944" s="5"/>
      <c r="Z3944" s="5"/>
      <c r="AA3944" s="5"/>
      <c r="AC3944" t="e">
        <f ca="1">RANK(AB3944,OFFSET($AB$2,0,0,#REF!,1))</f>
        <v>#REF!</v>
      </c>
      <c r="AD3944" s="4" t="e">
        <f>InsurerSize(#REF!)</f>
        <v>#VALUE!</v>
      </c>
      <c r="AE3944" s="4" t="e">
        <f t="shared" si="73"/>
        <v>#VALUE!</v>
      </c>
    </row>
    <row r="3945" spans="8:31" x14ac:dyDescent="0.2">
      <c r="H3945" s="5"/>
      <c r="I3945" s="5"/>
      <c r="J3945" s="5"/>
      <c r="K3945" s="5"/>
      <c r="L3945" s="5"/>
      <c r="M3945" s="5"/>
      <c r="N3945" s="5"/>
      <c r="O3945" s="5"/>
      <c r="P3945" s="5"/>
      <c r="Q3945" s="5"/>
      <c r="R3945" s="5"/>
      <c r="S3945" s="5"/>
      <c r="T3945" s="5"/>
      <c r="U3945" s="5"/>
      <c r="V3945" s="5"/>
      <c r="W3945" s="5"/>
      <c r="X3945" s="5"/>
      <c r="Y3945" s="5"/>
      <c r="Z3945" s="5"/>
      <c r="AA3945" s="5"/>
      <c r="AC3945" t="e">
        <f ca="1">RANK(AB3945,OFFSET($AB$2,0,0,#REF!,1))</f>
        <v>#REF!</v>
      </c>
      <c r="AD3945" s="4" t="e">
        <f>InsurerSize(#REF!)</f>
        <v>#VALUE!</v>
      </c>
      <c r="AE3945" s="4" t="e">
        <f t="shared" si="73"/>
        <v>#VALUE!</v>
      </c>
    </row>
    <row r="3946" spans="8:31" x14ac:dyDescent="0.2">
      <c r="H3946" s="5"/>
      <c r="I3946" s="5"/>
      <c r="J3946" s="5"/>
      <c r="K3946" s="5"/>
      <c r="L3946" s="5"/>
      <c r="M3946" s="5"/>
      <c r="N3946" s="5"/>
      <c r="O3946" s="5"/>
      <c r="P3946" s="5"/>
      <c r="Q3946" s="5"/>
      <c r="R3946" s="5"/>
      <c r="S3946" s="5"/>
      <c r="T3946" s="5"/>
      <c r="U3946" s="5"/>
      <c r="V3946" s="5"/>
      <c r="W3946" s="5"/>
      <c r="X3946" s="5"/>
      <c r="Y3946" s="5"/>
      <c r="Z3946" s="5"/>
      <c r="AA3946" s="5"/>
      <c r="AC3946" t="e">
        <f ca="1">RANK(AB3946,OFFSET($AB$2,0,0,#REF!,1))</f>
        <v>#REF!</v>
      </c>
      <c r="AD3946" s="4" t="e">
        <f>InsurerSize(#REF!)</f>
        <v>#VALUE!</v>
      </c>
      <c r="AE3946" s="4" t="e">
        <f t="shared" si="73"/>
        <v>#VALUE!</v>
      </c>
    </row>
    <row r="3947" spans="8:31" x14ac:dyDescent="0.2">
      <c r="H3947" s="5"/>
      <c r="I3947" s="5"/>
      <c r="J3947" s="5"/>
      <c r="K3947" s="5"/>
      <c r="L3947" s="5"/>
      <c r="M3947" s="5"/>
      <c r="N3947" s="5"/>
      <c r="O3947" s="5"/>
      <c r="P3947" s="5"/>
      <c r="Q3947" s="5"/>
      <c r="R3947" s="5"/>
      <c r="S3947" s="5"/>
      <c r="T3947" s="5"/>
      <c r="U3947" s="5"/>
      <c r="V3947" s="5"/>
      <c r="W3947" s="5"/>
      <c r="X3947" s="5"/>
      <c r="Y3947" s="5"/>
      <c r="Z3947" s="5"/>
      <c r="AA3947" s="5"/>
      <c r="AC3947" t="e">
        <f ca="1">RANK(AB3947,OFFSET($AB$2,0,0,#REF!,1))</f>
        <v>#REF!</v>
      </c>
      <c r="AD3947" s="4" t="e">
        <f>InsurerSize(#REF!)</f>
        <v>#VALUE!</v>
      </c>
      <c r="AE3947" s="4" t="e">
        <f t="shared" si="73"/>
        <v>#VALUE!</v>
      </c>
    </row>
    <row r="3948" spans="8:31" x14ac:dyDescent="0.2">
      <c r="H3948" s="5"/>
      <c r="I3948" s="5"/>
      <c r="J3948" s="5"/>
      <c r="K3948" s="5"/>
      <c r="L3948" s="5"/>
      <c r="M3948" s="5"/>
      <c r="N3948" s="5"/>
      <c r="O3948" s="5"/>
      <c r="P3948" s="5"/>
      <c r="Q3948" s="5"/>
      <c r="R3948" s="5"/>
      <c r="S3948" s="5"/>
      <c r="T3948" s="5"/>
      <c r="U3948" s="5"/>
      <c r="V3948" s="5"/>
      <c r="W3948" s="5"/>
      <c r="X3948" s="5"/>
      <c r="Y3948" s="5"/>
      <c r="Z3948" s="5"/>
      <c r="AA3948" s="5"/>
      <c r="AC3948" t="e">
        <f ca="1">RANK(AB3948,OFFSET($AB$2,0,0,#REF!,1))</f>
        <v>#REF!</v>
      </c>
      <c r="AD3948" s="4" t="e">
        <f>InsurerSize(#REF!)</f>
        <v>#VALUE!</v>
      </c>
      <c r="AE3948" s="4" t="e">
        <f t="shared" si="73"/>
        <v>#VALUE!</v>
      </c>
    </row>
    <row r="3949" spans="8:31" x14ac:dyDescent="0.2">
      <c r="H3949" s="5"/>
      <c r="I3949" s="5"/>
      <c r="J3949" s="5"/>
      <c r="K3949" s="5"/>
      <c r="L3949" s="5"/>
      <c r="M3949" s="5"/>
      <c r="N3949" s="5"/>
      <c r="O3949" s="5"/>
      <c r="P3949" s="5"/>
      <c r="Q3949" s="5"/>
      <c r="R3949" s="5"/>
      <c r="S3949" s="5"/>
      <c r="T3949" s="5"/>
      <c r="U3949" s="5"/>
      <c r="V3949" s="5"/>
      <c r="W3949" s="5"/>
      <c r="X3949" s="5"/>
      <c r="Y3949" s="5"/>
      <c r="Z3949" s="5"/>
      <c r="AA3949" s="5"/>
      <c r="AC3949" t="e">
        <f ca="1">RANK(AB3949,OFFSET($AB$2,0,0,#REF!,1))</f>
        <v>#REF!</v>
      </c>
      <c r="AD3949" s="4" t="e">
        <f>InsurerSize(#REF!)</f>
        <v>#VALUE!</v>
      </c>
      <c r="AE3949" s="4" t="e">
        <f t="shared" si="73"/>
        <v>#VALUE!</v>
      </c>
    </row>
    <row r="3950" spans="8:31" x14ac:dyDescent="0.2">
      <c r="H3950" s="5"/>
      <c r="I3950" s="5"/>
      <c r="J3950" s="5"/>
      <c r="K3950" s="5"/>
      <c r="L3950" s="5"/>
      <c r="M3950" s="5"/>
      <c r="N3950" s="5"/>
      <c r="O3950" s="5"/>
      <c r="P3950" s="5"/>
      <c r="Q3950" s="5"/>
      <c r="R3950" s="5"/>
      <c r="S3950" s="5"/>
      <c r="T3950" s="5"/>
      <c r="U3950" s="5"/>
      <c r="V3950" s="5"/>
      <c r="W3950" s="5"/>
      <c r="X3950" s="5"/>
      <c r="Y3950" s="5"/>
      <c r="Z3950" s="5"/>
      <c r="AA3950" s="5"/>
      <c r="AC3950" t="e">
        <f ca="1">RANK(AB3950,OFFSET($AB$2,0,0,#REF!,1))</f>
        <v>#REF!</v>
      </c>
      <c r="AD3950" s="4" t="e">
        <f>InsurerSize(#REF!)</f>
        <v>#VALUE!</v>
      </c>
      <c r="AE3950" s="4" t="e">
        <f t="shared" si="73"/>
        <v>#VALUE!</v>
      </c>
    </row>
    <row r="3951" spans="8:31" x14ac:dyDescent="0.2">
      <c r="H3951" s="5"/>
      <c r="I3951" s="5"/>
      <c r="J3951" s="5"/>
      <c r="K3951" s="5"/>
      <c r="L3951" s="5"/>
      <c r="M3951" s="5"/>
      <c r="N3951" s="5"/>
      <c r="O3951" s="5"/>
      <c r="P3951" s="5"/>
      <c r="Q3951" s="5"/>
      <c r="R3951" s="5"/>
      <c r="S3951" s="5"/>
      <c r="T3951" s="5"/>
      <c r="U3951" s="5"/>
      <c r="V3951" s="5"/>
      <c r="W3951" s="5"/>
      <c r="X3951" s="5"/>
      <c r="Y3951" s="5"/>
      <c r="Z3951" s="5"/>
      <c r="AA3951" s="5"/>
      <c r="AC3951" t="e">
        <f ca="1">RANK(AB3951,OFFSET($AB$2,0,0,#REF!,1))</f>
        <v>#REF!</v>
      </c>
      <c r="AD3951" s="4" t="e">
        <f>InsurerSize(#REF!)</f>
        <v>#VALUE!</v>
      </c>
      <c r="AE3951" s="4" t="e">
        <f t="shared" si="73"/>
        <v>#VALUE!</v>
      </c>
    </row>
    <row r="3952" spans="8:31" x14ac:dyDescent="0.2">
      <c r="H3952" s="5"/>
      <c r="I3952" s="5"/>
      <c r="J3952" s="5"/>
      <c r="K3952" s="5"/>
      <c r="L3952" s="5"/>
      <c r="M3952" s="5"/>
      <c r="N3952" s="5"/>
      <c r="O3952" s="5"/>
      <c r="P3952" s="5"/>
      <c r="Q3952" s="5"/>
      <c r="R3952" s="5"/>
      <c r="S3952" s="5"/>
      <c r="T3952" s="5"/>
      <c r="U3952" s="5"/>
      <c r="V3952" s="5"/>
      <c r="W3952" s="5"/>
      <c r="X3952" s="5"/>
      <c r="Y3952" s="5"/>
      <c r="Z3952" s="5"/>
      <c r="AA3952" s="5"/>
      <c r="AC3952" t="e">
        <f ca="1">RANK(AB3952,OFFSET($AB$2,0,0,#REF!,1))</f>
        <v>#REF!</v>
      </c>
      <c r="AD3952" s="4" t="e">
        <f>InsurerSize(#REF!)</f>
        <v>#VALUE!</v>
      </c>
      <c r="AE3952" s="4" t="e">
        <f t="shared" si="73"/>
        <v>#VALUE!</v>
      </c>
    </row>
    <row r="3953" spans="8:31" x14ac:dyDescent="0.2">
      <c r="H3953" s="5"/>
      <c r="I3953" s="5"/>
      <c r="J3953" s="5"/>
      <c r="K3953" s="5"/>
      <c r="L3953" s="5"/>
      <c r="M3953" s="5"/>
      <c r="N3953" s="5"/>
      <c r="O3953" s="5"/>
      <c r="P3953" s="5"/>
      <c r="Q3953" s="5"/>
      <c r="R3953" s="5"/>
      <c r="S3953" s="5"/>
      <c r="T3953" s="5"/>
      <c r="U3953" s="5"/>
      <c r="V3953" s="5"/>
      <c r="W3953" s="5"/>
      <c r="X3953" s="5"/>
      <c r="Y3953" s="5"/>
      <c r="Z3953" s="5"/>
      <c r="AA3953" s="5"/>
      <c r="AC3953" t="e">
        <f ca="1">RANK(AB3953,OFFSET($AB$2,0,0,#REF!,1))</f>
        <v>#REF!</v>
      </c>
      <c r="AD3953" s="4" t="e">
        <f>InsurerSize(#REF!)</f>
        <v>#VALUE!</v>
      </c>
      <c r="AE3953" s="4" t="e">
        <f t="shared" si="73"/>
        <v>#VALUE!</v>
      </c>
    </row>
    <row r="3954" spans="8:31" x14ac:dyDescent="0.2">
      <c r="H3954" s="5"/>
      <c r="I3954" s="5"/>
      <c r="J3954" s="5"/>
      <c r="K3954" s="5"/>
      <c r="L3954" s="5"/>
      <c r="M3954" s="5"/>
      <c r="N3954" s="5"/>
      <c r="O3954" s="5"/>
      <c r="P3954" s="5"/>
      <c r="Q3954" s="5"/>
      <c r="R3954" s="5"/>
      <c r="S3954" s="5"/>
      <c r="T3954" s="5"/>
      <c r="U3954" s="5"/>
      <c r="V3954" s="5"/>
      <c r="W3954" s="5"/>
      <c r="X3954" s="5"/>
      <c r="Y3954" s="5"/>
      <c r="Z3954" s="5"/>
      <c r="AA3954" s="5"/>
      <c r="AC3954" t="e">
        <f ca="1">RANK(AB3954,OFFSET($AB$2,0,0,#REF!,1))</f>
        <v>#REF!</v>
      </c>
      <c r="AD3954" s="4" t="e">
        <f>InsurerSize(#REF!)</f>
        <v>#VALUE!</v>
      </c>
      <c r="AE3954" s="4" t="e">
        <f t="shared" si="73"/>
        <v>#VALUE!</v>
      </c>
    </row>
    <row r="3955" spans="8:31" x14ac:dyDescent="0.2">
      <c r="H3955" s="5"/>
      <c r="I3955" s="5"/>
      <c r="J3955" s="5"/>
      <c r="K3955" s="5"/>
      <c r="L3955" s="5"/>
      <c r="M3955" s="5"/>
      <c r="N3955" s="5"/>
      <c r="O3955" s="5"/>
      <c r="P3955" s="5"/>
      <c r="Q3955" s="5"/>
      <c r="R3955" s="5"/>
      <c r="S3955" s="5"/>
      <c r="T3955" s="5"/>
      <c r="U3955" s="5"/>
      <c r="V3955" s="5"/>
      <c r="W3955" s="5"/>
      <c r="X3955" s="5"/>
      <c r="Y3955" s="5"/>
      <c r="Z3955" s="5"/>
      <c r="AA3955" s="5"/>
      <c r="AC3955" t="e">
        <f ca="1">RANK(AB3955,OFFSET($AB$2,0,0,#REF!,1))</f>
        <v>#REF!</v>
      </c>
      <c r="AD3955" s="4" t="e">
        <f>InsurerSize(#REF!)</f>
        <v>#VALUE!</v>
      </c>
      <c r="AE3955" s="4" t="e">
        <f t="shared" si="73"/>
        <v>#VALUE!</v>
      </c>
    </row>
    <row r="3956" spans="8:31" x14ac:dyDescent="0.2">
      <c r="H3956" s="5"/>
      <c r="I3956" s="5"/>
      <c r="J3956" s="5"/>
      <c r="K3956" s="5"/>
      <c r="L3956" s="5"/>
      <c r="M3956" s="5"/>
      <c r="N3956" s="5"/>
      <c r="O3956" s="5"/>
      <c r="P3956" s="5"/>
      <c r="Q3956" s="5"/>
      <c r="R3956" s="5"/>
      <c r="S3956" s="5"/>
      <c r="T3956" s="5"/>
      <c r="U3956" s="5"/>
      <c r="V3956" s="5"/>
      <c r="W3956" s="5"/>
      <c r="X3956" s="5"/>
      <c r="Y3956" s="5"/>
      <c r="Z3956" s="5"/>
      <c r="AA3956" s="5"/>
      <c r="AC3956" t="e">
        <f ca="1">RANK(AB3956,OFFSET($AB$2,0,0,#REF!,1))</f>
        <v>#REF!</v>
      </c>
      <c r="AD3956" s="4" t="e">
        <f>InsurerSize(#REF!)</f>
        <v>#VALUE!</v>
      </c>
      <c r="AE3956" s="4" t="e">
        <f t="shared" si="73"/>
        <v>#VALUE!</v>
      </c>
    </row>
    <row r="3957" spans="8:31" x14ac:dyDescent="0.2">
      <c r="H3957" s="5"/>
      <c r="I3957" s="5"/>
      <c r="J3957" s="5"/>
      <c r="K3957" s="5"/>
      <c r="L3957" s="5"/>
      <c r="M3957" s="5"/>
      <c r="N3957" s="5"/>
      <c r="O3957" s="5"/>
      <c r="P3957" s="5"/>
      <c r="Q3957" s="5"/>
      <c r="R3957" s="5"/>
      <c r="S3957" s="5"/>
      <c r="T3957" s="5"/>
      <c r="U3957" s="5"/>
      <c r="V3957" s="5"/>
      <c r="W3957" s="5"/>
      <c r="X3957" s="5"/>
      <c r="Y3957" s="5"/>
      <c r="Z3957" s="5"/>
      <c r="AA3957" s="5"/>
      <c r="AC3957" t="e">
        <f ca="1">RANK(AB3957,OFFSET($AB$2,0,0,#REF!,1))</f>
        <v>#REF!</v>
      </c>
      <c r="AD3957" s="4" t="e">
        <f>InsurerSize(#REF!)</f>
        <v>#VALUE!</v>
      </c>
      <c r="AE3957" s="4" t="e">
        <f t="shared" si="73"/>
        <v>#VALUE!</v>
      </c>
    </row>
    <row r="3958" spans="8:31" x14ac:dyDescent="0.2">
      <c r="H3958" s="5"/>
      <c r="I3958" s="5"/>
      <c r="J3958" s="5"/>
      <c r="K3958" s="5"/>
      <c r="L3958" s="5"/>
      <c r="M3958" s="5"/>
      <c r="N3958" s="5"/>
      <c r="O3958" s="5"/>
      <c r="P3958" s="5"/>
      <c r="Q3958" s="5"/>
      <c r="R3958" s="5"/>
      <c r="S3958" s="5"/>
      <c r="T3958" s="5"/>
      <c r="U3958" s="5"/>
      <c r="V3958" s="5"/>
      <c r="W3958" s="5"/>
      <c r="X3958" s="5"/>
      <c r="Y3958" s="5"/>
      <c r="Z3958" s="5"/>
      <c r="AA3958" s="5"/>
      <c r="AC3958" t="e">
        <f ca="1">RANK(AB3958,OFFSET($AB$2,0,0,#REF!,1))</f>
        <v>#REF!</v>
      </c>
      <c r="AD3958" s="4" t="e">
        <f>InsurerSize(#REF!)</f>
        <v>#VALUE!</v>
      </c>
      <c r="AE3958" s="4" t="e">
        <f t="shared" si="73"/>
        <v>#VALUE!</v>
      </c>
    </row>
    <row r="3959" spans="8:31" x14ac:dyDescent="0.2">
      <c r="H3959" s="5"/>
      <c r="I3959" s="5"/>
      <c r="J3959" s="5"/>
      <c r="K3959" s="5"/>
      <c r="L3959" s="5"/>
      <c r="M3959" s="5"/>
      <c r="N3959" s="5"/>
      <c r="O3959" s="5"/>
      <c r="P3959" s="5"/>
      <c r="Q3959" s="5"/>
      <c r="R3959" s="5"/>
      <c r="S3959" s="5"/>
      <c r="T3959" s="5"/>
      <c r="U3959" s="5"/>
      <c r="V3959" s="5"/>
      <c r="W3959" s="5"/>
      <c r="X3959" s="5"/>
      <c r="Y3959" s="5"/>
      <c r="Z3959" s="5"/>
      <c r="AA3959" s="5"/>
      <c r="AC3959" t="e">
        <f ca="1">RANK(AB3959,OFFSET($AB$2,0,0,#REF!,1))</f>
        <v>#REF!</v>
      </c>
      <c r="AD3959" s="4" t="e">
        <f>InsurerSize(#REF!)</f>
        <v>#VALUE!</v>
      </c>
      <c r="AE3959" s="4" t="e">
        <f t="shared" si="73"/>
        <v>#VALUE!</v>
      </c>
    </row>
    <row r="3960" spans="8:31" x14ac:dyDescent="0.2">
      <c r="H3960" s="5"/>
      <c r="I3960" s="5"/>
      <c r="J3960" s="5"/>
      <c r="K3960" s="5"/>
      <c r="L3960" s="5"/>
      <c r="M3960" s="5"/>
      <c r="N3960" s="5"/>
      <c r="O3960" s="5"/>
      <c r="P3960" s="5"/>
      <c r="Q3960" s="5"/>
      <c r="R3960" s="5"/>
      <c r="S3960" s="5"/>
      <c r="T3960" s="5"/>
      <c r="U3960" s="5"/>
      <c r="V3960" s="5"/>
      <c r="W3960" s="5"/>
      <c r="X3960" s="5"/>
      <c r="Y3960" s="5"/>
      <c r="Z3960" s="5"/>
      <c r="AA3960" s="5"/>
      <c r="AC3960" t="e">
        <f ca="1">RANK(AB3960,OFFSET($AB$2,0,0,#REF!,1))</f>
        <v>#REF!</v>
      </c>
      <c r="AD3960" s="4" t="e">
        <f>InsurerSize(#REF!)</f>
        <v>#VALUE!</v>
      </c>
      <c r="AE3960" s="4" t="e">
        <f t="shared" si="73"/>
        <v>#VALUE!</v>
      </c>
    </row>
    <row r="3961" spans="8:31" x14ac:dyDescent="0.2">
      <c r="H3961" s="5"/>
      <c r="I3961" s="5"/>
      <c r="J3961" s="5"/>
      <c r="K3961" s="5"/>
      <c r="L3961" s="5"/>
      <c r="M3961" s="5"/>
      <c r="N3961" s="5"/>
      <c r="O3961" s="5"/>
      <c r="P3961" s="5"/>
      <c r="Q3961" s="5"/>
      <c r="R3961" s="5"/>
      <c r="S3961" s="5"/>
      <c r="T3961" s="5"/>
      <c r="U3961" s="5"/>
      <c r="V3961" s="5"/>
      <c r="W3961" s="5"/>
      <c r="X3961" s="5"/>
      <c r="Y3961" s="5"/>
      <c r="Z3961" s="5"/>
      <c r="AA3961" s="5"/>
      <c r="AC3961" t="e">
        <f ca="1">RANK(AB3961,OFFSET($AB$2,0,0,#REF!,1))</f>
        <v>#REF!</v>
      </c>
      <c r="AD3961" s="4" t="e">
        <f>InsurerSize(#REF!)</f>
        <v>#VALUE!</v>
      </c>
      <c r="AE3961" s="4" t="e">
        <f t="shared" si="73"/>
        <v>#VALUE!</v>
      </c>
    </row>
    <row r="3962" spans="8:31" x14ac:dyDescent="0.2">
      <c r="H3962" s="5"/>
      <c r="I3962" s="5"/>
      <c r="J3962" s="5"/>
      <c r="K3962" s="5"/>
      <c r="L3962" s="5"/>
      <c r="M3962" s="5"/>
      <c r="N3962" s="5"/>
      <c r="O3962" s="5"/>
      <c r="P3962" s="5"/>
      <c r="Q3962" s="5"/>
      <c r="R3962" s="5"/>
      <c r="S3962" s="5"/>
      <c r="T3962" s="5"/>
      <c r="U3962" s="5"/>
      <c r="V3962" s="5"/>
      <c r="W3962" s="5"/>
      <c r="X3962" s="5"/>
      <c r="Y3962" s="5"/>
      <c r="Z3962" s="5"/>
      <c r="AA3962" s="5"/>
      <c r="AC3962" t="e">
        <f ca="1">RANK(AB3962,OFFSET($AB$2,0,0,#REF!,1))</f>
        <v>#REF!</v>
      </c>
      <c r="AD3962" s="4" t="e">
        <f>InsurerSize(#REF!)</f>
        <v>#VALUE!</v>
      </c>
      <c r="AE3962" s="4" t="e">
        <f t="shared" si="73"/>
        <v>#VALUE!</v>
      </c>
    </row>
    <row r="3963" spans="8:31" x14ac:dyDescent="0.2">
      <c r="H3963" s="5"/>
      <c r="I3963" s="5"/>
      <c r="J3963" s="5"/>
      <c r="K3963" s="5"/>
      <c r="L3963" s="5"/>
      <c r="M3963" s="5"/>
      <c r="N3963" s="5"/>
      <c r="O3963" s="5"/>
      <c r="P3963" s="5"/>
      <c r="Q3963" s="5"/>
      <c r="R3963" s="5"/>
      <c r="S3963" s="5"/>
      <c r="T3963" s="5"/>
      <c r="U3963" s="5"/>
      <c r="V3963" s="5"/>
      <c r="W3963" s="5"/>
      <c r="X3963" s="5"/>
      <c r="Y3963" s="5"/>
      <c r="Z3963" s="5"/>
      <c r="AA3963" s="5"/>
      <c r="AC3963" t="e">
        <f ca="1">RANK(AB3963,OFFSET($AB$2,0,0,#REF!,1))</f>
        <v>#REF!</v>
      </c>
      <c r="AD3963" s="4" t="e">
        <f>InsurerSize(#REF!)</f>
        <v>#VALUE!</v>
      </c>
      <c r="AE3963" s="4" t="e">
        <f t="shared" si="73"/>
        <v>#VALUE!</v>
      </c>
    </row>
    <row r="3964" spans="8:31" x14ac:dyDescent="0.2">
      <c r="H3964" s="5"/>
      <c r="I3964" s="5"/>
      <c r="J3964" s="5"/>
      <c r="K3964" s="5"/>
      <c r="L3964" s="5"/>
      <c r="M3964" s="5"/>
      <c r="N3964" s="5"/>
      <c r="O3964" s="5"/>
      <c r="P3964" s="5"/>
      <c r="Q3964" s="5"/>
      <c r="R3964" s="5"/>
      <c r="S3964" s="5"/>
      <c r="T3964" s="5"/>
      <c r="U3964" s="5"/>
      <c r="V3964" s="5"/>
      <c r="W3964" s="5"/>
      <c r="X3964" s="5"/>
      <c r="Y3964" s="5"/>
      <c r="Z3964" s="5"/>
      <c r="AA3964" s="5"/>
      <c r="AC3964" t="e">
        <f ca="1">RANK(AB3964,OFFSET($AB$2,0,0,#REF!,1))</f>
        <v>#REF!</v>
      </c>
      <c r="AD3964" s="4" t="e">
        <f>InsurerSize(#REF!)</f>
        <v>#VALUE!</v>
      </c>
      <c r="AE3964" s="4" t="e">
        <f t="shared" si="73"/>
        <v>#VALUE!</v>
      </c>
    </row>
    <row r="3965" spans="8:31" x14ac:dyDescent="0.2">
      <c r="H3965" s="5"/>
      <c r="I3965" s="5"/>
      <c r="J3965" s="5"/>
      <c r="K3965" s="5"/>
      <c r="L3965" s="5"/>
      <c r="M3965" s="5"/>
      <c r="N3965" s="5"/>
      <c r="O3965" s="5"/>
      <c r="P3965" s="5"/>
      <c r="Q3965" s="5"/>
      <c r="R3965" s="5"/>
      <c r="S3965" s="5"/>
      <c r="T3965" s="5"/>
      <c r="U3965" s="5"/>
      <c r="V3965" s="5"/>
      <c r="W3965" s="5"/>
      <c r="X3965" s="5"/>
      <c r="Y3965" s="5"/>
      <c r="Z3965" s="5"/>
      <c r="AA3965" s="5"/>
      <c r="AC3965" t="e">
        <f ca="1">RANK(AB3965,OFFSET($AB$2,0,0,#REF!,1))</f>
        <v>#REF!</v>
      </c>
      <c r="AD3965" s="4" t="e">
        <f>InsurerSize(#REF!)</f>
        <v>#VALUE!</v>
      </c>
      <c r="AE3965" s="4" t="e">
        <f t="shared" si="73"/>
        <v>#VALUE!</v>
      </c>
    </row>
    <row r="3966" spans="8:31" x14ac:dyDescent="0.2">
      <c r="H3966" s="5"/>
      <c r="I3966" s="5"/>
      <c r="J3966" s="5"/>
      <c r="K3966" s="5"/>
      <c r="L3966" s="5"/>
      <c r="M3966" s="5"/>
      <c r="N3966" s="5"/>
      <c r="O3966" s="5"/>
      <c r="P3966" s="5"/>
      <c r="Q3966" s="5"/>
      <c r="R3966" s="5"/>
      <c r="S3966" s="5"/>
      <c r="T3966" s="5"/>
      <c r="U3966" s="5"/>
      <c r="V3966" s="5"/>
      <c r="W3966" s="5"/>
      <c r="X3966" s="5"/>
      <c r="Y3966" s="5"/>
      <c r="Z3966" s="5"/>
      <c r="AA3966" s="5"/>
      <c r="AC3966" t="e">
        <f ca="1">RANK(AB3966,OFFSET($AB$2,0,0,#REF!,1))</f>
        <v>#REF!</v>
      </c>
      <c r="AD3966" s="4" t="e">
        <f>InsurerSize(#REF!)</f>
        <v>#VALUE!</v>
      </c>
      <c r="AE3966" s="4" t="e">
        <f t="shared" si="73"/>
        <v>#VALUE!</v>
      </c>
    </row>
    <row r="3967" spans="8:31" x14ac:dyDescent="0.2">
      <c r="H3967" s="5"/>
      <c r="I3967" s="5"/>
      <c r="J3967" s="5"/>
      <c r="K3967" s="5"/>
      <c r="L3967" s="5"/>
      <c r="M3967" s="5"/>
      <c r="N3967" s="5"/>
      <c r="O3967" s="5"/>
      <c r="P3967" s="5"/>
      <c r="Q3967" s="5"/>
      <c r="R3967" s="5"/>
      <c r="S3967" s="5"/>
      <c r="T3967" s="5"/>
      <c r="U3967" s="5"/>
      <c r="V3967" s="5"/>
      <c r="W3967" s="5"/>
      <c r="X3967" s="5"/>
      <c r="Y3967" s="5"/>
      <c r="Z3967" s="5"/>
      <c r="AA3967" s="5"/>
      <c r="AC3967" t="e">
        <f ca="1">RANK(AB3967,OFFSET($AB$2,0,0,#REF!,1))</f>
        <v>#REF!</v>
      </c>
      <c r="AD3967" s="4" t="e">
        <f>InsurerSize(#REF!)</f>
        <v>#VALUE!</v>
      </c>
      <c r="AE3967" s="4" t="e">
        <f t="shared" si="73"/>
        <v>#VALUE!</v>
      </c>
    </row>
    <row r="3968" spans="8:31" x14ac:dyDescent="0.2">
      <c r="H3968" s="5"/>
      <c r="I3968" s="5"/>
      <c r="J3968" s="5"/>
      <c r="K3968" s="5"/>
      <c r="L3968" s="5"/>
      <c r="M3968" s="5"/>
      <c r="N3968" s="5"/>
      <c r="O3968" s="5"/>
      <c r="P3968" s="5"/>
      <c r="Q3968" s="5"/>
      <c r="R3968" s="5"/>
      <c r="S3968" s="5"/>
      <c r="T3968" s="5"/>
      <c r="U3968" s="5"/>
      <c r="V3968" s="5"/>
      <c r="W3968" s="5"/>
      <c r="X3968" s="5"/>
      <c r="Y3968" s="5"/>
      <c r="Z3968" s="5"/>
      <c r="AA3968" s="5"/>
      <c r="AC3968" t="e">
        <f ca="1">RANK(AB3968,OFFSET($AB$2,0,0,#REF!,1))</f>
        <v>#REF!</v>
      </c>
      <c r="AD3968" s="4" t="e">
        <f>InsurerSize(#REF!)</f>
        <v>#VALUE!</v>
      </c>
      <c r="AE3968" s="4" t="e">
        <f t="shared" si="73"/>
        <v>#VALUE!</v>
      </c>
    </row>
    <row r="3969" spans="8:31" x14ac:dyDescent="0.2">
      <c r="H3969" s="5"/>
      <c r="I3969" s="5"/>
      <c r="J3969" s="5"/>
      <c r="K3969" s="5"/>
      <c r="L3969" s="5"/>
      <c r="M3969" s="5"/>
      <c r="N3969" s="5"/>
      <c r="O3969" s="5"/>
      <c r="P3969" s="5"/>
      <c r="Q3969" s="5"/>
      <c r="R3969" s="5"/>
      <c r="S3969" s="5"/>
      <c r="T3969" s="5"/>
      <c r="U3969" s="5"/>
      <c r="V3969" s="5"/>
      <c r="W3969" s="5"/>
      <c r="X3969" s="5"/>
      <c r="Y3969" s="5"/>
      <c r="Z3969" s="5"/>
      <c r="AA3969" s="5"/>
      <c r="AC3969" t="e">
        <f ca="1">RANK(AB3969,OFFSET($AB$2,0,0,#REF!,1))</f>
        <v>#REF!</v>
      </c>
      <c r="AD3969" s="4" t="e">
        <f>InsurerSize(#REF!)</f>
        <v>#VALUE!</v>
      </c>
      <c r="AE3969" s="4" t="e">
        <f t="shared" si="73"/>
        <v>#VALUE!</v>
      </c>
    </row>
    <row r="3970" spans="8:31" x14ac:dyDescent="0.2">
      <c r="H3970" s="5"/>
      <c r="I3970" s="5"/>
      <c r="J3970" s="5"/>
      <c r="K3970" s="5"/>
      <c r="L3970" s="5"/>
      <c r="M3970" s="5"/>
      <c r="N3970" s="5"/>
      <c r="O3970" s="5"/>
      <c r="P3970" s="5"/>
      <c r="Q3970" s="5"/>
      <c r="R3970" s="5"/>
      <c r="S3970" s="5"/>
      <c r="T3970" s="5"/>
      <c r="U3970" s="5"/>
      <c r="V3970" s="5"/>
      <c r="W3970" s="5"/>
      <c r="X3970" s="5"/>
      <c r="Y3970" s="5"/>
      <c r="Z3970" s="5"/>
      <c r="AA3970" s="5"/>
      <c r="AC3970" t="e">
        <f ca="1">RANK(AB3970,OFFSET($AB$2,0,0,#REF!,1))</f>
        <v>#REF!</v>
      </c>
      <c r="AD3970" s="4" t="e">
        <f>InsurerSize(#REF!)</f>
        <v>#VALUE!</v>
      </c>
      <c r="AE3970" s="4" t="e">
        <f t="shared" ref="AE3970:AE4033" si="74">A3970&amp;AD3970</f>
        <v>#VALUE!</v>
      </c>
    </row>
    <row r="3971" spans="8:31" x14ac:dyDescent="0.2">
      <c r="H3971" s="5"/>
      <c r="I3971" s="5"/>
      <c r="J3971" s="5"/>
      <c r="K3971" s="5"/>
      <c r="L3971" s="5"/>
      <c r="M3971" s="5"/>
      <c r="N3971" s="5"/>
      <c r="O3971" s="5"/>
      <c r="P3971" s="5"/>
      <c r="Q3971" s="5"/>
      <c r="R3971" s="5"/>
      <c r="S3971" s="5"/>
      <c r="T3971" s="5"/>
      <c r="U3971" s="5"/>
      <c r="V3971" s="5"/>
      <c r="W3971" s="5"/>
      <c r="X3971" s="5"/>
      <c r="Y3971" s="5"/>
      <c r="Z3971" s="5"/>
      <c r="AA3971" s="5"/>
      <c r="AC3971" t="e">
        <f ca="1">RANK(AB3971,OFFSET($AB$2,0,0,#REF!,1))</f>
        <v>#REF!</v>
      </c>
      <c r="AD3971" s="4" t="e">
        <f>InsurerSize(#REF!)</f>
        <v>#VALUE!</v>
      </c>
      <c r="AE3971" s="4" t="e">
        <f t="shared" si="74"/>
        <v>#VALUE!</v>
      </c>
    </row>
    <row r="3972" spans="8:31" x14ac:dyDescent="0.2">
      <c r="H3972" s="5"/>
      <c r="I3972" s="5"/>
      <c r="J3972" s="5"/>
      <c r="K3972" s="5"/>
      <c r="L3972" s="5"/>
      <c r="M3972" s="5"/>
      <c r="N3972" s="5"/>
      <c r="O3972" s="5"/>
      <c r="P3972" s="5"/>
      <c r="Q3972" s="5"/>
      <c r="R3972" s="5"/>
      <c r="S3972" s="5"/>
      <c r="T3972" s="5"/>
      <c r="U3972" s="5"/>
      <c r="V3972" s="5"/>
      <c r="W3972" s="5"/>
      <c r="X3972" s="5"/>
      <c r="Y3972" s="5"/>
      <c r="Z3972" s="5"/>
      <c r="AA3972" s="5"/>
      <c r="AC3972" t="e">
        <f ca="1">RANK(AB3972,OFFSET($AB$2,0,0,#REF!,1))</f>
        <v>#REF!</v>
      </c>
      <c r="AD3972" s="4" t="e">
        <f>InsurerSize(#REF!)</f>
        <v>#VALUE!</v>
      </c>
      <c r="AE3972" s="4" t="e">
        <f t="shared" si="74"/>
        <v>#VALUE!</v>
      </c>
    </row>
    <row r="3973" spans="8:31" x14ac:dyDescent="0.2">
      <c r="H3973" s="5"/>
      <c r="I3973" s="5"/>
      <c r="J3973" s="5"/>
      <c r="K3973" s="5"/>
      <c r="L3973" s="5"/>
      <c r="M3973" s="5"/>
      <c r="N3973" s="5"/>
      <c r="O3973" s="5"/>
      <c r="P3973" s="5"/>
      <c r="Q3973" s="5"/>
      <c r="R3973" s="5"/>
      <c r="S3973" s="5"/>
      <c r="T3973" s="5"/>
      <c r="U3973" s="5"/>
      <c r="V3973" s="5"/>
      <c r="W3973" s="5"/>
      <c r="X3973" s="5"/>
      <c r="Y3973" s="5"/>
      <c r="Z3973" s="5"/>
      <c r="AA3973" s="5"/>
      <c r="AC3973" t="e">
        <f ca="1">RANK(AB3973,OFFSET($AB$2,0,0,#REF!,1))</f>
        <v>#REF!</v>
      </c>
      <c r="AD3973" s="4" t="e">
        <f>InsurerSize(#REF!)</f>
        <v>#VALUE!</v>
      </c>
      <c r="AE3973" s="4" t="e">
        <f t="shared" si="74"/>
        <v>#VALUE!</v>
      </c>
    </row>
    <row r="3974" spans="8:31" x14ac:dyDescent="0.2">
      <c r="H3974" s="5"/>
      <c r="I3974" s="5"/>
      <c r="J3974" s="5"/>
      <c r="K3974" s="5"/>
      <c r="L3974" s="5"/>
      <c r="M3974" s="5"/>
      <c r="N3974" s="5"/>
      <c r="O3974" s="5"/>
      <c r="P3974" s="5"/>
      <c r="Q3974" s="5"/>
      <c r="R3974" s="5"/>
      <c r="S3974" s="5"/>
      <c r="T3974" s="5"/>
      <c r="U3974" s="5"/>
      <c r="V3974" s="5"/>
      <c r="W3974" s="5"/>
      <c r="X3974" s="5"/>
      <c r="Y3974" s="5"/>
      <c r="Z3974" s="5"/>
      <c r="AA3974" s="5"/>
      <c r="AC3974" t="e">
        <f ca="1">RANK(AB3974,OFFSET($AB$2,0,0,#REF!,1))</f>
        <v>#REF!</v>
      </c>
      <c r="AD3974" s="4" t="e">
        <f>InsurerSize(#REF!)</f>
        <v>#VALUE!</v>
      </c>
      <c r="AE3974" s="4" t="e">
        <f t="shared" si="74"/>
        <v>#VALUE!</v>
      </c>
    </row>
    <row r="3975" spans="8:31" x14ac:dyDescent="0.2">
      <c r="H3975" s="5"/>
      <c r="I3975" s="5"/>
      <c r="J3975" s="5"/>
      <c r="K3975" s="5"/>
      <c r="L3975" s="5"/>
      <c r="M3975" s="5"/>
      <c r="N3975" s="5"/>
      <c r="O3975" s="5"/>
      <c r="P3975" s="5"/>
      <c r="Q3975" s="5"/>
      <c r="R3975" s="5"/>
      <c r="S3975" s="5"/>
      <c r="T3975" s="5"/>
      <c r="U3975" s="5"/>
      <c r="V3975" s="5"/>
      <c r="W3975" s="5"/>
      <c r="X3975" s="5"/>
      <c r="Y3975" s="5"/>
      <c r="Z3975" s="5"/>
      <c r="AA3975" s="5"/>
      <c r="AC3975" t="e">
        <f ca="1">RANK(AB3975,OFFSET($AB$2,0,0,#REF!,1))</f>
        <v>#REF!</v>
      </c>
      <c r="AD3975" s="4" t="e">
        <f>InsurerSize(#REF!)</f>
        <v>#VALUE!</v>
      </c>
      <c r="AE3975" s="4" t="e">
        <f t="shared" si="74"/>
        <v>#VALUE!</v>
      </c>
    </row>
    <row r="3976" spans="8:31" x14ac:dyDescent="0.2">
      <c r="H3976" s="5"/>
      <c r="I3976" s="5"/>
      <c r="J3976" s="5"/>
      <c r="K3976" s="5"/>
      <c r="L3976" s="5"/>
      <c r="M3976" s="5"/>
      <c r="N3976" s="5"/>
      <c r="O3976" s="5"/>
      <c r="P3976" s="5"/>
      <c r="Q3976" s="5"/>
      <c r="R3976" s="5"/>
      <c r="S3976" s="5"/>
      <c r="T3976" s="5"/>
      <c r="U3976" s="5"/>
      <c r="V3976" s="5"/>
      <c r="W3976" s="5"/>
      <c r="X3976" s="5"/>
      <c r="Y3976" s="5"/>
      <c r="Z3976" s="5"/>
      <c r="AA3976" s="5"/>
      <c r="AC3976" t="e">
        <f ca="1">RANK(AB3976,OFFSET($AB$2,0,0,#REF!,1))</f>
        <v>#REF!</v>
      </c>
      <c r="AD3976" s="4" t="e">
        <f>InsurerSize(#REF!)</f>
        <v>#VALUE!</v>
      </c>
      <c r="AE3976" s="4" t="e">
        <f t="shared" si="74"/>
        <v>#VALUE!</v>
      </c>
    </row>
    <row r="3977" spans="8:31" x14ac:dyDescent="0.2">
      <c r="H3977" s="5"/>
      <c r="I3977" s="5"/>
      <c r="J3977" s="5"/>
      <c r="K3977" s="5"/>
      <c r="L3977" s="5"/>
      <c r="M3977" s="5"/>
      <c r="N3977" s="5"/>
      <c r="O3977" s="5"/>
      <c r="P3977" s="5"/>
      <c r="Q3977" s="5"/>
      <c r="R3977" s="5"/>
      <c r="S3977" s="5"/>
      <c r="T3977" s="5"/>
      <c r="U3977" s="5"/>
      <c r="V3977" s="5"/>
      <c r="W3977" s="5"/>
      <c r="X3977" s="5"/>
      <c r="Y3977" s="5"/>
      <c r="Z3977" s="5"/>
      <c r="AA3977" s="5"/>
      <c r="AC3977" t="e">
        <f ca="1">RANK(AB3977,OFFSET($AB$2,0,0,#REF!,1))</f>
        <v>#REF!</v>
      </c>
      <c r="AD3977" s="4" t="e">
        <f>InsurerSize(#REF!)</f>
        <v>#VALUE!</v>
      </c>
      <c r="AE3977" s="4" t="e">
        <f t="shared" si="74"/>
        <v>#VALUE!</v>
      </c>
    </row>
    <row r="3978" spans="8:31" x14ac:dyDescent="0.2">
      <c r="H3978" s="5"/>
      <c r="I3978" s="5"/>
      <c r="J3978" s="5"/>
      <c r="K3978" s="5"/>
      <c r="L3978" s="5"/>
      <c r="M3978" s="5"/>
      <c r="N3978" s="5"/>
      <c r="O3978" s="5"/>
      <c r="P3978" s="5"/>
      <c r="Q3978" s="5"/>
      <c r="R3978" s="5"/>
      <c r="S3978" s="5"/>
      <c r="T3978" s="5"/>
      <c r="U3978" s="5"/>
      <c r="V3978" s="5"/>
      <c r="W3978" s="5"/>
      <c r="X3978" s="5"/>
      <c r="Y3978" s="5"/>
      <c r="Z3978" s="5"/>
      <c r="AA3978" s="5"/>
      <c r="AC3978" t="e">
        <f ca="1">RANK(AB3978,OFFSET($AB$2,0,0,#REF!,1))</f>
        <v>#REF!</v>
      </c>
      <c r="AD3978" s="4" t="e">
        <f>InsurerSize(#REF!)</f>
        <v>#VALUE!</v>
      </c>
      <c r="AE3978" s="4" t="e">
        <f t="shared" si="74"/>
        <v>#VALUE!</v>
      </c>
    </row>
    <row r="3979" spans="8:31" x14ac:dyDescent="0.2">
      <c r="H3979" s="5"/>
      <c r="I3979" s="5"/>
      <c r="J3979" s="5"/>
      <c r="K3979" s="5"/>
      <c r="L3979" s="5"/>
      <c r="M3979" s="5"/>
      <c r="N3979" s="5"/>
      <c r="O3979" s="5"/>
      <c r="P3979" s="5"/>
      <c r="Q3979" s="5"/>
      <c r="R3979" s="5"/>
      <c r="S3979" s="5"/>
      <c r="T3979" s="5"/>
      <c r="U3979" s="5"/>
      <c r="V3979" s="5"/>
      <c r="W3979" s="5"/>
      <c r="X3979" s="5"/>
      <c r="Y3979" s="5"/>
      <c r="Z3979" s="5"/>
      <c r="AA3979" s="5"/>
      <c r="AC3979" t="e">
        <f ca="1">RANK(AB3979,OFFSET($AB$2,0,0,#REF!,1))</f>
        <v>#REF!</v>
      </c>
      <c r="AD3979" s="4" t="e">
        <f>InsurerSize(#REF!)</f>
        <v>#VALUE!</v>
      </c>
      <c r="AE3979" s="4" t="e">
        <f t="shared" si="74"/>
        <v>#VALUE!</v>
      </c>
    </row>
    <row r="3980" spans="8:31" x14ac:dyDescent="0.2">
      <c r="H3980" s="5"/>
      <c r="I3980" s="5"/>
      <c r="J3980" s="5"/>
      <c r="K3980" s="5"/>
      <c r="L3980" s="5"/>
      <c r="M3980" s="5"/>
      <c r="N3980" s="5"/>
      <c r="O3980" s="5"/>
      <c r="P3980" s="5"/>
      <c r="Q3980" s="5"/>
      <c r="R3980" s="5"/>
      <c r="S3980" s="5"/>
      <c r="T3980" s="5"/>
      <c r="U3980" s="5"/>
      <c r="V3980" s="5"/>
      <c r="W3980" s="5"/>
      <c r="X3980" s="5"/>
      <c r="Y3980" s="5"/>
      <c r="Z3980" s="5"/>
      <c r="AA3980" s="5"/>
      <c r="AC3980" t="e">
        <f ca="1">RANK(AB3980,OFFSET($AB$2,0,0,#REF!,1))</f>
        <v>#REF!</v>
      </c>
      <c r="AD3980" s="4" t="e">
        <f>InsurerSize(#REF!)</f>
        <v>#VALUE!</v>
      </c>
      <c r="AE3980" s="4" t="e">
        <f t="shared" si="74"/>
        <v>#VALUE!</v>
      </c>
    </row>
    <row r="3981" spans="8:31" x14ac:dyDescent="0.2">
      <c r="H3981" s="5"/>
      <c r="I3981" s="5"/>
      <c r="J3981" s="5"/>
      <c r="K3981" s="5"/>
      <c r="L3981" s="5"/>
      <c r="M3981" s="5"/>
      <c r="N3981" s="5"/>
      <c r="O3981" s="5"/>
      <c r="P3981" s="5"/>
      <c r="Q3981" s="5"/>
      <c r="R3981" s="5"/>
      <c r="S3981" s="5"/>
      <c r="T3981" s="5"/>
      <c r="U3981" s="5"/>
      <c r="V3981" s="5"/>
      <c r="W3981" s="5"/>
      <c r="X3981" s="5"/>
      <c r="Y3981" s="5"/>
      <c r="Z3981" s="5"/>
      <c r="AA3981" s="5"/>
      <c r="AC3981" t="e">
        <f ca="1">RANK(AB3981,OFFSET($AB$2,0,0,#REF!,1))</f>
        <v>#REF!</v>
      </c>
      <c r="AD3981" s="4" t="e">
        <f>InsurerSize(#REF!)</f>
        <v>#VALUE!</v>
      </c>
      <c r="AE3981" s="4" t="e">
        <f t="shared" si="74"/>
        <v>#VALUE!</v>
      </c>
    </row>
    <row r="3982" spans="8:31" x14ac:dyDescent="0.2">
      <c r="H3982" s="5"/>
      <c r="I3982" s="5"/>
      <c r="J3982" s="5"/>
      <c r="K3982" s="5"/>
      <c r="L3982" s="5"/>
      <c r="M3982" s="5"/>
      <c r="N3982" s="5"/>
      <c r="O3982" s="5"/>
      <c r="P3982" s="5"/>
      <c r="Q3982" s="5"/>
      <c r="R3982" s="5"/>
      <c r="S3982" s="5"/>
      <c r="T3982" s="5"/>
      <c r="U3982" s="5"/>
      <c r="V3982" s="5"/>
      <c r="W3982" s="5"/>
      <c r="X3982" s="5"/>
      <c r="Y3982" s="5"/>
      <c r="Z3982" s="5"/>
      <c r="AA3982" s="5"/>
      <c r="AC3982" t="e">
        <f ca="1">RANK(AB3982,OFFSET($AB$2,0,0,#REF!,1))</f>
        <v>#REF!</v>
      </c>
      <c r="AD3982" s="4" t="e">
        <f>InsurerSize(#REF!)</f>
        <v>#VALUE!</v>
      </c>
      <c r="AE3982" s="4" t="e">
        <f t="shared" si="74"/>
        <v>#VALUE!</v>
      </c>
    </row>
    <row r="3983" spans="8:31" x14ac:dyDescent="0.2">
      <c r="H3983" s="5"/>
      <c r="I3983" s="5"/>
      <c r="J3983" s="5"/>
      <c r="K3983" s="5"/>
      <c r="L3983" s="5"/>
      <c r="M3983" s="5"/>
      <c r="N3983" s="5"/>
      <c r="O3983" s="5"/>
      <c r="P3983" s="5"/>
      <c r="Q3983" s="5"/>
      <c r="R3983" s="5"/>
      <c r="S3983" s="5"/>
      <c r="T3983" s="5"/>
      <c r="U3983" s="5"/>
      <c r="V3983" s="5"/>
      <c r="W3983" s="5"/>
      <c r="X3983" s="5"/>
      <c r="Y3983" s="5"/>
      <c r="Z3983" s="5"/>
      <c r="AA3983" s="5"/>
      <c r="AC3983" t="e">
        <f ca="1">RANK(AB3983,OFFSET($AB$2,0,0,#REF!,1))</f>
        <v>#REF!</v>
      </c>
      <c r="AD3983" s="4" t="e">
        <f>InsurerSize(#REF!)</f>
        <v>#VALUE!</v>
      </c>
      <c r="AE3983" s="4" t="e">
        <f t="shared" si="74"/>
        <v>#VALUE!</v>
      </c>
    </row>
    <row r="3984" spans="8:31" x14ac:dyDescent="0.2">
      <c r="H3984" s="5"/>
      <c r="I3984" s="5"/>
      <c r="J3984" s="5"/>
      <c r="K3984" s="5"/>
      <c r="L3984" s="5"/>
      <c r="M3984" s="5"/>
      <c r="N3984" s="5"/>
      <c r="O3984" s="5"/>
      <c r="P3984" s="5"/>
      <c r="Q3984" s="5"/>
      <c r="R3984" s="5"/>
      <c r="S3984" s="5"/>
      <c r="T3984" s="5"/>
      <c r="U3984" s="5"/>
      <c r="V3984" s="5"/>
      <c r="W3984" s="5"/>
      <c r="X3984" s="5"/>
      <c r="Y3984" s="5"/>
      <c r="Z3984" s="5"/>
      <c r="AA3984" s="5"/>
      <c r="AC3984" t="e">
        <f ca="1">RANK(AB3984,OFFSET($AB$2,0,0,#REF!,1))</f>
        <v>#REF!</v>
      </c>
      <c r="AD3984" s="4" t="e">
        <f>InsurerSize(#REF!)</f>
        <v>#VALUE!</v>
      </c>
      <c r="AE3984" s="4" t="e">
        <f t="shared" si="74"/>
        <v>#VALUE!</v>
      </c>
    </row>
    <row r="3985" spans="8:31" x14ac:dyDescent="0.2">
      <c r="H3985" s="5"/>
      <c r="I3985" s="5"/>
      <c r="J3985" s="5"/>
      <c r="K3985" s="5"/>
      <c r="L3985" s="5"/>
      <c r="M3985" s="5"/>
      <c r="N3985" s="5"/>
      <c r="O3985" s="5"/>
      <c r="P3985" s="5"/>
      <c r="Q3985" s="5"/>
      <c r="R3985" s="5"/>
      <c r="S3985" s="5"/>
      <c r="T3985" s="5"/>
      <c r="U3985" s="5"/>
      <c r="V3985" s="5"/>
      <c r="W3985" s="5"/>
      <c r="X3985" s="5"/>
      <c r="Y3985" s="5"/>
      <c r="Z3985" s="5"/>
      <c r="AA3985" s="5"/>
      <c r="AC3985" t="e">
        <f ca="1">RANK(AB3985,OFFSET($AB$2,0,0,#REF!,1))</f>
        <v>#REF!</v>
      </c>
      <c r="AD3985" s="4" t="e">
        <f>InsurerSize(#REF!)</f>
        <v>#VALUE!</v>
      </c>
      <c r="AE3985" s="4" t="e">
        <f t="shared" si="74"/>
        <v>#VALUE!</v>
      </c>
    </row>
    <row r="3986" spans="8:31" x14ac:dyDescent="0.2">
      <c r="H3986" s="5"/>
      <c r="I3986" s="5"/>
      <c r="J3986" s="5"/>
      <c r="K3986" s="5"/>
      <c r="L3986" s="5"/>
      <c r="M3986" s="5"/>
      <c r="N3986" s="5"/>
      <c r="O3986" s="5"/>
      <c r="P3986" s="5"/>
      <c r="Q3986" s="5"/>
      <c r="R3986" s="5"/>
      <c r="S3986" s="5"/>
      <c r="T3986" s="5"/>
      <c r="U3986" s="5"/>
      <c r="V3986" s="5"/>
      <c r="W3986" s="5"/>
      <c r="X3986" s="5"/>
      <c r="Y3986" s="5"/>
      <c r="Z3986" s="5"/>
      <c r="AA3986" s="5"/>
      <c r="AC3986" t="e">
        <f ca="1">RANK(AB3986,OFFSET($AB$2,0,0,#REF!,1))</f>
        <v>#REF!</v>
      </c>
      <c r="AD3986" s="4" t="e">
        <f>InsurerSize(#REF!)</f>
        <v>#VALUE!</v>
      </c>
      <c r="AE3986" s="4" t="e">
        <f t="shared" si="74"/>
        <v>#VALUE!</v>
      </c>
    </row>
    <row r="3987" spans="8:31" x14ac:dyDescent="0.2">
      <c r="H3987" s="5"/>
      <c r="I3987" s="5"/>
      <c r="J3987" s="5"/>
      <c r="K3987" s="5"/>
      <c r="L3987" s="5"/>
      <c r="M3987" s="5"/>
      <c r="N3987" s="5"/>
      <c r="O3987" s="5"/>
      <c r="P3987" s="5"/>
      <c r="Q3987" s="5"/>
      <c r="R3987" s="5"/>
      <c r="S3987" s="5"/>
      <c r="T3987" s="5"/>
      <c r="U3987" s="5"/>
      <c r="V3987" s="5"/>
      <c r="W3987" s="5"/>
      <c r="X3987" s="5"/>
      <c r="Y3987" s="5"/>
      <c r="Z3987" s="5"/>
      <c r="AA3987" s="5"/>
      <c r="AC3987" t="e">
        <f ca="1">RANK(AB3987,OFFSET($AB$2,0,0,#REF!,1))</f>
        <v>#REF!</v>
      </c>
      <c r="AD3987" s="4" t="e">
        <f>InsurerSize(#REF!)</f>
        <v>#VALUE!</v>
      </c>
      <c r="AE3987" s="4" t="e">
        <f t="shared" si="74"/>
        <v>#VALUE!</v>
      </c>
    </row>
    <row r="3988" spans="8:31" x14ac:dyDescent="0.2">
      <c r="H3988" s="5"/>
      <c r="I3988" s="5"/>
      <c r="J3988" s="5"/>
      <c r="K3988" s="5"/>
      <c r="L3988" s="5"/>
      <c r="M3988" s="5"/>
      <c r="N3988" s="5"/>
      <c r="O3988" s="5"/>
      <c r="P3988" s="5"/>
      <c r="Q3988" s="5"/>
      <c r="R3988" s="5"/>
      <c r="S3988" s="5"/>
      <c r="T3988" s="5"/>
      <c r="U3988" s="5"/>
      <c r="V3988" s="5"/>
      <c r="W3988" s="5"/>
      <c r="X3988" s="5"/>
      <c r="Y3988" s="5"/>
      <c r="Z3988" s="5"/>
      <c r="AA3988" s="5"/>
      <c r="AC3988" t="e">
        <f ca="1">RANK(AB3988,OFFSET($AB$2,0,0,#REF!,1))</f>
        <v>#REF!</v>
      </c>
      <c r="AD3988" s="4" t="e">
        <f>InsurerSize(#REF!)</f>
        <v>#VALUE!</v>
      </c>
      <c r="AE3988" s="4" t="e">
        <f t="shared" si="74"/>
        <v>#VALUE!</v>
      </c>
    </row>
    <row r="3989" spans="8:31" x14ac:dyDescent="0.2">
      <c r="H3989" s="5"/>
      <c r="I3989" s="5"/>
      <c r="J3989" s="5"/>
      <c r="K3989" s="5"/>
      <c r="L3989" s="5"/>
      <c r="M3989" s="5"/>
      <c r="N3989" s="5"/>
      <c r="O3989" s="5"/>
      <c r="P3989" s="5"/>
      <c r="Q3989" s="5"/>
      <c r="R3989" s="5"/>
      <c r="S3989" s="5"/>
      <c r="T3989" s="5"/>
      <c r="U3989" s="5"/>
      <c r="V3989" s="5"/>
      <c r="W3989" s="5"/>
      <c r="X3989" s="5"/>
      <c r="Y3989" s="5"/>
      <c r="Z3989" s="5"/>
      <c r="AA3989" s="5"/>
      <c r="AC3989" t="e">
        <f ca="1">RANK(AB3989,OFFSET($AB$2,0,0,#REF!,1))</f>
        <v>#REF!</v>
      </c>
      <c r="AD3989" s="4" t="e">
        <f>InsurerSize(#REF!)</f>
        <v>#VALUE!</v>
      </c>
      <c r="AE3989" s="4" t="e">
        <f t="shared" si="74"/>
        <v>#VALUE!</v>
      </c>
    </row>
    <row r="3990" spans="8:31" x14ac:dyDescent="0.2">
      <c r="H3990" s="5"/>
      <c r="I3990" s="5"/>
      <c r="J3990" s="5"/>
      <c r="K3990" s="5"/>
      <c r="L3990" s="5"/>
      <c r="M3990" s="5"/>
      <c r="N3990" s="5"/>
      <c r="O3990" s="5"/>
      <c r="P3990" s="5"/>
      <c r="Q3990" s="5"/>
      <c r="R3990" s="5"/>
      <c r="S3990" s="5"/>
      <c r="T3990" s="5"/>
      <c r="U3990" s="5"/>
      <c r="V3990" s="5"/>
      <c r="W3990" s="5"/>
      <c r="X3990" s="5"/>
      <c r="Y3990" s="5"/>
      <c r="Z3990" s="5"/>
      <c r="AA3990" s="5"/>
      <c r="AC3990" t="e">
        <f ca="1">RANK(AB3990,OFFSET($AB$2,0,0,#REF!,1))</f>
        <v>#REF!</v>
      </c>
      <c r="AD3990" s="4" t="e">
        <f>InsurerSize(#REF!)</f>
        <v>#VALUE!</v>
      </c>
      <c r="AE3990" s="4" t="e">
        <f t="shared" si="74"/>
        <v>#VALUE!</v>
      </c>
    </row>
    <row r="3991" spans="8:31" x14ac:dyDescent="0.2">
      <c r="H3991" s="5"/>
      <c r="I3991" s="5"/>
      <c r="J3991" s="5"/>
      <c r="K3991" s="5"/>
      <c r="L3991" s="5"/>
      <c r="M3991" s="5"/>
      <c r="N3991" s="5"/>
      <c r="O3991" s="5"/>
      <c r="P3991" s="5"/>
      <c r="Q3991" s="5"/>
      <c r="R3991" s="5"/>
      <c r="S3991" s="5"/>
      <c r="T3991" s="5"/>
      <c r="U3991" s="5"/>
      <c r="V3991" s="5"/>
      <c r="W3991" s="5"/>
      <c r="X3991" s="5"/>
      <c r="Y3991" s="5"/>
      <c r="Z3991" s="5"/>
      <c r="AA3991" s="5"/>
      <c r="AC3991" t="e">
        <f ca="1">RANK(AB3991,OFFSET($AB$2,0,0,#REF!,1))</f>
        <v>#REF!</v>
      </c>
      <c r="AD3991" s="4" t="e">
        <f>InsurerSize(#REF!)</f>
        <v>#VALUE!</v>
      </c>
      <c r="AE3991" s="4" t="e">
        <f t="shared" si="74"/>
        <v>#VALUE!</v>
      </c>
    </row>
    <row r="3992" spans="8:31" x14ac:dyDescent="0.2">
      <c r="H3992" s="5"/>
      <c r="I3992" s="5"/>
      <c r="J3992" s="5"/>
      <c r="K3992" s="5"/>
      <c r="L3992" s="5"/>
      <c r="M3992" s="5"/>
      <c r="N3992" s="5"/>
      <c r="O3992" s="5"/>
      <c r="P3992" s="5"/>
      <c r="Q3992" s="5"/>
      <c r="R3992" s="5"/>
      <c r="S3992" s="5"/>
      <c r="T3992" s="5"/>
      <c r="U3992" s="5"/>
      <c r="V3992" s="5"/>
      <c r="W3992" s="5"/>
      <c r="X3992" s="5"/>
      <c r="Y3992" s="5"/>
      <c r="Z3992" s="5"/>
      <c r="AA3992" s="5"/>
      <c r="AC3992" t="e">
        <f ca="1">RANK(AB3992,OFFSET($AB$2,0,0,#REF!,1))</f>
        <v>#REF!</v>
      </c>
      <c r="AD3992" s="4" t="e">
        <f>InsurerSize(#REF!)</f>
        <v>#VALUE!</v>
      </c>
      <c r="AE3992" s="4" t="e">
        <f t="shared" si="74"/>
        <v>#VALUE!</v>
      </c>
    </row>
    <row r="3993" spans="8:31" x14ac:dyDescent="0.2">
      <c r="H3993" s="5"/>
      <c r="I3993" s="5"/>
      <c r="J3993" s="5"/>
      <c r="K3993" s="5"/>
      <c r="L3993" s="5"/>
      <c r="M3993" s="5"/>
      <c r="N3993" s="5"/>
      <c r="O3993" s="5"/>
      <c r="P3993" s="5"/>
      <c r="Q3993" s="5"/>
      <c r="R3993" s="5"/>
      <c r="S3993" s="5"/>
      <c r="T3993" s="5"/>
      <c r="U3993" s="5"/>
      <c r="V3993" s="5"/>
      <c r="W3993" s="5"/>
      <c r="X3993" s="5"/>
      <c r="Y3993" s="5"/>
      <c r="Z3993" s="5"/>
      <c r="AA3993" s="5"/>
      <c r="AC3993" t="e">
        <f ca="1">RANK(AB3993,OFFSET($AB$2,0,0,#REF!,1))</f>
        <v>#REF!</v>
      </c>
      <c r="AD3993" s="4" t="e">
        <f>InsurerSize(#REF!)</f>
        <v>#VALUE!</v>
      </c>
      <c r="AE3993" s="4" t="e">
        <f t="shared" si="74"/>
        <v>#VALUE!</v>
      </c>
    </row>
    <row r="3994" spans="8:31" x14ac:dyDescent="0.2">
      <c r="H3994" s="5"/>
      <c r="I3994" s="5"/>
      <c r="J3994" s="5"/>
      <c r="K3994" s="5"/>
      <c r="L3994" s="5"/>
      <c r="M3994" s="5"/>
      <c r="N3994" s="5"/>
      <c r="O3994" s="5"/>
      <c r="P3994" s="5"/>
      <c r="Q3994" s="5"/>
      <c r="R3994" s="5"/>
      <c r="S3994" s="5"/>
      <c r="T3994" s="5"/>
      <c r="U3994" s="5"/>
      <c r="V3994" s="5"/>
      <c r="W3994" s="5"/>
      <c r="X3994" s="5"/>
      <c r="Y3994" s="5"/>
      <c r="Z3994" s="5"/>
      <c r="AA3994" s="5"/>
      <c r="AC3994" t="e">
        <f ca="1">RANK(AB3994,OFFSET($AB$2,0,0,#REF!,1))</f>
        <v>#REF!</v>
      </c>
      <c r="AD3994" s="4" t="e">
        <f>InsurerSize(#REF!)</f>
        <v>#VALUE!</v>
      </c>
      <c r="AE3994" s="4" t="e">
        <f t="shared" si="74"/>
        <v>#VALUE!</v>
      </c>
    </row>
    <row r="3995" spans="8:31" x14ac:dyDescent="0.2">
      <c r="H3995" s="5"/>
      <c r="I3995" s="5"/>
      <c r="J3995" s="5"/>
      <c r="K3995" s="5"/>
      <c r="L3995" s="5"/>
      <c r="M3995" s="5"/>
      <c r="N3995" s="5"/>
      <c r="O3995" s="5"/>
      <c r="P3995" s="5"/>
      <c r="Q3995" s="5"/>
      <c r="R3995" s="5"/>
      <c r="S3995" s="5"/>
      <c r="T3995" s="5"/>
      <c r="U3995" s="5"/>
      <c r="V3995" s="5"/>
      <c r="W3995" s="5"/>
      <c r="X3995" s="5"/>
      <c r="Y3995" s="5"/>
      <c r="Z3995" s="5"/>
      <c r="AA3995" s="5"/>
      <c r="AC3995" t="e">
        <f ca="1">RANK(AB3995,OFFSET($AB$2,0,0,#REF!,1))</f>
        <v>#REF!</v>
      </c>
      <c r="AD3995" s="4" t="e">
        <f>InsurerSize(#REF!)</f>
        <v>#VALUE!</v>
      </c>
      <c r="AE3995" s="4" t="e">
        <f t="shared" si="74"/>
        <v>#VALUE!</v>
      </c>
    </row>
    <row r="3996" spans="8:31" x14ac:dyDescent="0.2">
      <c r="H3996" s="5"/>
      <c r="I3996" s="5"/>
      <c r="J3996" s="5"/>
      <c r="K3996" s="5"/>
      <c r="L3996" s="5"/>
      <c r="M3996" s="5"/>
      <c r="N3996" s="5"/>
      <c r="O3996" s="5"/>
      <c r="P3996" s="5"/>
      <c r="Q3996" s="5"/>
      <c r="R3996" s="5"/>
      <c r="S3996" s="5"/>
      <c r="T3996" s="5"/>
      <c r="U3996" s="5"/>
      <c r="V3996" s="5"/>
      <c r="W3996" s="5"/>
      <c r="X3996" s="5"/>
      <c r="Y3996" s="5"/>
      <c r="Z3996" s="5"/>
      <c r="AA3996" s="5"/>
      <c r="AC3996" t="e">
        <f ca="1">RANK(AB3996,OFFSET($AB$2,0,0,#REF!,1))</f>
        <v>#REF!</v>
      </c>
      <c r="AD3996" s="4" t="e">
        <f>InsurerSize(#REF!)</f>
        <v>#VALUE!</v>
      </c>
      <c r="AE3996" s="4" t="e">
        <f t="shared" si="74"/>
        <v>#VALUE!</v>
      </c>
    </row>
    <row r="3997" spans="8:31" x14ac:dyDescent="0.2">
      <c r="H3997" s="5"/>
      <c r="I3997" s="5"/>
      <c r="J3997" s="5"/>
      <c r="K3997" s="5"/>
      <c r="L3997" s="5"/>
      <c r="M3997" s="5"/>
      <c r="N3997" s="5"/>
      <c r="O3997" s="5"/>
      <c r="P3997" s="5"/>
      <c r="Q3997" s="5"/>
      <c r="R3997" s="5"/>
      <c r="S3997" s="5"/>
      <c r="T3997" s="5"/>
      <c r="U3997" s="5"/>
      <c r="V3997" s="5"/>
      <c r="W3997" s="5"/>
      <c r="X3997" s="5"/>
      <c r="Y3997" s="5"/>
      <c r="Z3997" s="5"/>
      <c r="AA3997" s="5"/>
      <c r="AC3997" t="e">
        <f ca="1">RANK(AB3997,OFFSET($AB$2,0,0,#REF!,1))</f>
        <v>#REF!</v>
      </c>
      <c r="AD3997" s="4" t="e">
        <f>InsurerSize(#REF!)</f>
        <v>#VALUE!</v>
      </c>
      <c r="AE3997" s="4" t="e">
        <f t="shared" si="74"/>
        <v>#VALUE!</v>
      </c>
    </row>
    <row r="3998" spans="8:31" x14ac:dyDescent="0.2">
      <c r="H3998" s="5"/>
      <c r="I3998" s="5"/>
      <c r="J3998" s="5"/>
      <c r="K3998" s="5"/>
      <c r="L3998" s="5"/>
      <c r="M3998" s="5"/>
      <c r="N3998" s="5"/>
      <c r="O3998" s="5"/>
      <c r="P3998" s="5"/>
      <c r="Q3998" s="5"/>
      <c r="R3998" s="5"/>
      <c r="S3998" s="5"/>
      <c r="T3998" s="5"/>
      <c r="U3998" s="5"/>
      <c r="V3998" s="5"/>
      <c r="W3998" s="5"/>
      <c r="X3998" s="5"/>
      <c r="Y3998" s="5"/>
      <c r="Z3998" s="5"/>
      <c r="AA3998" s="5"/>
      <c r="AC3998" t="e">
        <f ca="1">RANK(AB3998,OFFSET($AB$2,0,0,#REF!,1))</f>
        <v>#REF!</v>
      </c>
      <c r="AD3998" s="4" t="e">
        <f>InsurerSize(#REF!)</f>
        <v>#VALUE!</v>
      </c>
      <c r="AE3998" s="4" t="e">
        <f t="shared" si="74"/>
        <v>#VALUE!</v>
      </c>
    </row>
    <row r="3999" spans="8:31" x14ac:dyDescent="0.2">
      <c r="H3999" s="5"/>
      <c r="I3999" s="5"/>
      <c r="J3999" s="5"/>
      <c r="K3999" s="5"/>
      <c r="L3999" s="5"/>
      <c r="M3999" s="5"/>
      <c r="N3999" s="5"/>
      <c r="O3999" s="5"/>
      <c r="P3999" s="5"/>
      <c r="Q3999" s="5"/>
      <c r="R3999" s="5"/>
      <c r="S3999" s="5"/>
      <c r="T3999" s="5"/>
      <c r="U3999" s="5"/>
      <c r="V3999" s="5"/>
      <c r="W3999" s="5"/>
      <c r="X3999" s="5"/>
      <c r="Y3999" s="5"/>
      <c r="Z3999" s="5"/>
      <c r="AA3999" s="5"/>
      <c r="AC3999" t="e">
        <f ca="1">RANK(AB3999,OFFSET($AB$2,0,0,#REF!,1))</f>
        <v>#REF!</v>
      </c>
      <c r="AD3999" s="4" t="e">
        <f>InsurerSize(#REF!)</f>
        <v>#VALUE!</v>
      </c>
      <c r="AE3999" s="4" t="e">
        <f t="shared" si="74"/>
        <v>#VALUE!</v>
      </c>
    </row>
    <row r="4000" spans="8:31" x14ac:dyDescent="0.2">
      <c r="H4000" s="5"/>
      <c r="I4000" s="5"/>
      <c r="J4000" s="5"/>
      <c r="K4000" s="5"/>
      <c r="L4000" s="5"/>
      <c r="M4000" s="5"/>
      <c r="N4000" s="5"/>
      <c r="O4000" s="5"/>
      <c r="P4000" s="5"/>
      <c r="Q4000" s="5"/>
      <c r="R4000" s="5"/>
      <c r="S4000" s="5"/>
      <c r="T4000" s="5"/>
      <c r="U4000" s="5"/>
      <c r="V4000" s="5"/>
      <c r="W4000" s="5"/>
      <c r="X4000" s="5"/>
      <c r="Y4000" s="5"/>
      <c r="Z4000" s="5"/>
      <c r="AA4000" s="5"/>
      <c r="AC4000" t="e">
        <f ca="1">RANK(AB4000,OFFSET($AB$2,0,0,#REF!,1))</f>
        <v>#REF!</v>
      </c>
      <c r="AD4000" s="4" t="e">
        <f>InsurerSize(#REF!)</f>
        <v>#VALUE!</v>
      </c>
      <c r="AE4000" s="4" t="e">
        <f t="shared" si="74"/>
        <v>#VALUE!</v>
      </c>
    </row>
    <row r="4001" spans="8:31" x14ac:dyDescent="0.2">
      <c r="H4001" s="5"/>
      <c r="I4001" s="5"/>
      <c r="J4001" s="5"/>
      <c r="K4001" s="5"/>
      <c r="L4001" s="5"/>
      <c r="M4001" s="5"/>
      <c r="N4001" s="5"/>
      <c r="O4001" s="5"/>
      <c r="P4001" s="5"/>
      <c r="Q4001" s="5"/>
      <c r="R4001" s="5"/>
      <c r="S4001" s="5"/>
      <c r="T4001" s="5"/>
      <c r="U4001" s="5"/>
      <c r="V4001" s="5"/>
      <c r="W4001" s="5"/>
      <c r="X4001" s="5"/>
      <c r="Y4001" s="5"/>
      <c r="Z4001" s="5"/>
      <c r="AA4001" s="5"/>
      <c r="AC4001" t="e">
        <f ca="1">RANK(AB4001,OFFSET($AB$2,0,0,#REF!,1))</f>
        <v>#REF!</v>
      </c>
      <c r="AD4001" s="4" t="e">
        <f>InsurerSize(#REF!)</f>
        <v>#VALUE!</v>
      </c>
      <c r="AE4001" s="4" t="e">
        <f t="shared" si="74"/>
        <v>#VALUE!</v>
      </c>
    </row>
    <row r="4002" spans="8:31" x14ac:dyDescent="0.2">
      <c r="H4002" s="5"/>
      <c r="I4002" s="5"/>
      <c r="J4002" s="5"/>
      <c r="K4002" s="5"/>
      <c r="L4002" s="5"/>
      <c r="M4002" s="5"/>
      <c r="N4002" s="5"/>
      <c r="O4002" s="5"/>
      <c r="P4002" s="5"/>
      <c r="Q4002" s="5"/>
      <c r="R4002" s="5"/>
      <c r="S4002" s="5"/>
      <c r="T4002" s="5"/>
      <c r="U4002" s="5"/>
      <c r="V4002" s="5"/>
      <c r="W4002" s="5"/>
      <c r="X4002" s="5"/>
      <c r="Y4002" s="5"/>
      <c r="Z4002" s="5"/>
      <c r="AA4002" s="5"/>
      <c r="AC4002" t="e">
        <f ca="1">RANK(AB4002,OFFSET($AB$2,0,0,#REF!,1))</f>
        <v>#REF!</v>
      </c>
      <c r="AD4002" s="4" t="e">
        <f>InsurerSize(#REF!)</f>
        <v>#VALUE!</v>
      </c>
      <c r="AE4002" s="4" t="e">
        <f t="shared" si="74"/>
        <v>#VALUE!</v>
      </c>
    </row>
    <row r="4003" spans="8:31" x14ac:dyDescent="0.2">
      <c r="H4003" s="5"/>
      <c r="I4003" s="5"/>
      <c r="J4003" s="5"/>
      <c r="K4003" s="5"/>
      <c r="L4003" s="5"/>
      <c r="M4003" s="5"/>
      <c r="N4003" s="5"/>
      <c r="O4003" s="5"/>
      <c r="P4003" s="5"/>
      <c r="Q4003" s="5"/>
      <c r="R4003" s="5"/>
      <c r="S4003" s="5"/>
      <c r="T4003" s="5"/>
      <c r="U4003" s="5"/>
      <c r="V4003" s="5"/>
      <c r="W4003" s="5"/>
      <c r="X4003" s="5"/>
      <c r="Y4003" s="5"/>
      <c r="Z4003" s="5"/>
      <c r="AA4003" s="5"/>
      <c r="AC4003" t="e">
        <f ca="1">RANK(AB4003,OFFSET($AB$2,0,0,#REF!,1))</f>
        <v>#REF!</v>
      </c>
      <c r="AD4003" s="4" t="e">
        <f>InsurerSize(#REF!)</f>
        <v>#VALUE!</v>
      </c>
      <c r="AE4003" s="4" t="e">
        <f t="shared" si="74"/>
        <v>#VALUE!</v>
      </c>
    </row>
    <row r="4004" spans="8:31" x14ac:dyDescent="0.2">
      <c r="H4004" s="5"/>
      <c r="I4004" s="5"/>
      <c r="J4004" s="5"/>
      <c r="K4004" s="5"/>
      <c r="L4004" s="5"/>
      <c r="M4004" s="5"/>
      <c r="N4004" s="5"/>
      <c r="O4004" s="5"/>
      <c r="P4004" s="5"/>
      <c r="Q4004" s="5"/>
      <c r="R4004" s="5"/>
      <c r="S4004" s="5"/>
      <c r="T4004" s="5"/>
      <c r="U4004" s="5"/>
      <c r="V4004" s="5"/>
      <c r="W4004" s="5"/>
      <c r="X4004" s="5"/>
      <c r="Y4004" s="5"/>
      <c r="Z4004" s="5"/>
      <c r="AA4004" s="5"/>
      <c r="AC4004" t="e">
        <f ca="1">RANK(AB4004,OFFSET($AB$2,0,0,#REF!,1))</f>
        <v>#REF!</v>
      </c>
      <c r="AD4004" s="4" t="e">
        <f>InsurerSize(#REF!)</f>
        <v>#VALUE!</v>
      </c>
      <c r="AE4004" s="4" t="e">
        <f t="shared" si="74"/>
        <v>#VALUE!</v>
      </c>
    </row>
    <row r="4005" spans="8:31" x14ac:dyDescent="0.2">
      <c r="H4005" s="5"/>
      <c r="I4005" s="5"/>
      <c r="J4005" s="5"/>
      <c r="K4005" s="5"/>
      <c r="L4005" s="5"/>
      <c r="M4005" s="5"/>
      <c r="N4005" s="5"/>
      <c r="O4005" s="5"/>
      <c r="P4005" s="5"/>
      <c r="Q4005" s="5"/>
      <c r="R4005" s="5"/>
      <c r="S4005" s="5"/>
      <c r="T4005" s="5"/>
      <c r="U4005" s="5"/>
      <c r="V4005" s="5"/>
      <c r="W4005" s="5"/>
      <c r="X4005" s="5"/>
      <c r="Y4005" s="5"/>
      <c r="Z4005" s="5"/>
      <c r="AA4005" s="5"/>
      <c r="AC4005" t="e">
        <f ca="1">RANK(AB4005,OFFSET($AB$2,0,0,#REF!,1))</f>
        <v>#REF!</v>
      </c>
      <c r="AD4005" s="4" t="e">
        <f>InsurerSize(#REF!)</f>
        <v>#VALUE!</v>
      </c>
      <c r="AE4005" s="4" t="e">
        <f t="shared" si="74"/>
        <v>#VALUE!</v>
      </c>
    </row>
    <row r="4006" spans="8:31" x14ac:dyDescent="0.2">
      <c r="H4006" s="5"/>
      <c r="I4006" s="5"/>
      <c r="J4006" s="5"/>
      <c r="K4006" s="5"/>
      <c r="L4006" s="5"/>
      <c r="M4006" s="5"/>
      <c r="N4006" s="5"/>
      <c r="O4006" s="5"/>
      <c r="P4006" s="5"/>
      <c r="Q4006" s="5"/>
      <c r="R4006" s="5"/>
      <c r="S4006" s="5"/>
      <c r="T4006" s="5"/>
      <c r="U4006" s="5"/>
      <c r="V4006" s="5"/>
      <c r="W4006" s="5"/>
      <c r="X4006" s="5"/>
      <c r="Y4006" s="5"/>
      <c r="Z4006" s="5"/>
      <c r="AA4006" s="5"/>
      <c r="AC4006" t="e">
        <f ca="1">RANK(AB4006,OFFSET($AB$2,0,0,#REF!,1))</f>
        <v>#REF!</v>
      </c>
      <c r="AD4006" s="4" t="e">
        <f>InsurerSize(#REF!)</f>
        <v>#VALUE!</v>
      </c>
      <c r="AE4006" s="4" t="e">
        <f t="shared" si="74"/>
        <v>#VALUE!</v>
      </c>
    </row>
    <row r="4007" spans="8:31" x14ac:dyDescent="0.2">
      <c r="H4007" s="5"/>
      <c r="I4007" s="5"/>
      <c r="J4007" s="5"/>
      <c r="K4007" s="5"/>
      <c r="L4007" s="5"/>
      <c r="M4007" s="5"/>
      <c r="N4007" s="5"/>
      <c r="O4007" s="5"/>
      <c r="P4007" s="5"/>
      <c r="Q4007" s="5"/>
      <c r="R4007" s="5"/>
      <c r="S4007" s="5"/>
      <c r="T4007" s="5"/>
      <c r="U4007" s="5"/>
      <c r="V4007" s="5"/>
      <c r="W4007" s="5"/>
      <c r="X4007" s="5"/>
      <c r="Y4007" s="5"/>
      <c r="Z4007" s="5"/>
      <c r="AA4007" s="5"/>
      <c r="AC4007" t="e">
        <f ca="1">RANK(AB4007,OFFSET($AB$2,0,0,#REF!,1))</f>
        <v>#REF!</v>
      </c>
      <c r="AD4007" s="4" t="e">
        <f>InsurerSize(#REF!)</f>
        <v>#VALUE!</v>
      </c>
      <c r="AE4007" s="4" t="e">
        <f t="shared" si="74"/>
        <v>#VALUE!</v>
      </c>
    </row>
    <row r="4008" spans="8:31" x14ac:dyDescent="0.2">
      <c r="H4008" s="5"/>
      <c r="I4008" s="5"/>
      <c r="J4008" s="5"/>
      <c r="K4008" s="5"/>
      <c r="L4008" s="5"/>
      <c r="M4008" s="5"/>
      <c r="N4008" s="5"/>
      <c r="O4008" s="5"/>
      <c r="P4008" s="5"/>
      <c r="Q4008" s="5"/>
      <c r="R4008" s="5"/>
      <c r="S4008" s="5"/>
      <c r="T4008" s="5"/>
      <c r="U4008" s="5"/>
      <c r="V4008" s="5"/>
      <c r="W4008" s="5"/>
      <c r="X4008" s="5"/>
      <c r="Y4008" s="5"/>
      <c r="Z4008" s="5"/>
      <c r="AA4008" s="5"/>
      <c r="AC4008" t="e">
        <f ca="1">RANK(AB4008,OFFSET($AB$2,0,0,#REF!,1))</f>
        <v>#REF!</v>
      </c>
      <c r="AD4008" s="4" t="e">
        <f>InsurerSize(#REF!)</f>
        <v>#VALUE!</v>
      </c>
      <c r="AE4008" s="4" t="e">
        <f t="shared" si="74"/>
        <v>#VALUE!</v>
      </c>
    </row>
    <row r="4009" spans="8:31" x14ac:dyDescent="0.2">
      <c r="H4009" s="5"/>
      <c r="I4009" s="5"/>
      <c r="J4009" s="5"/>
      <c r="K4009" s="5"/>
      <c r="L4009" s="5"/>
      <c r="M4009" s="5"/>
      <c r="N4009" s="5"/>
      <c r="O4009" s="5"/>
      <c r="P4009" s="5"/>
      <c r="Q4009" s="5"/>
      <c r="R4009" s="5"/>
      <c r="S4009" s="5"/>
      <c r="T4009" s="5"/>
      <c r="U4009" s="5"/>
      <c r="V4009" s="5"/>
      <c r="W4009" s="5"/>
      <c r="X4009" s="5"/>
      <c r="Y4009" s="5"/>
      <c r="Z4009" s="5"/>
      <c r="AA4009" s="5"/>
      <c r="AC4009" t="e">
        <f ca="1">RANK(AB4009,OFFSET($AB$2,0,0,#REF!,1))</f>
        <v>#REF!</v>
      </c>
      <c r="AD4009" s="4" t="e">
        <f>InsurerSize(#REF!)</f>
        <v>#VALUE!</v>
      </c>
      <c r="AE4009" s="4" t="e">
        <f t="shared" si="74"/>
        <v>#VALUE!</v>
      </c>
    </row>
    <row r="4010" spans="8:31" x14ac:dyDescent="0.2">
      <c r="H4010" s="5"/>
      <c r="I4010" s="5"/>
      <c r="J4010" s="5"/>
      <c r="K4010" s="5"/>
      <c r="L4010" s="5"/>
      <c r="M4010" s="5"/>
      <c r="N4010" s="5"/>
      <c r="O4010" s="5"/>
      <c r="P4010" s="5"/>
      <c r="Q4010" s="5"/>
      <c r="R4010" s="5"/>
      <c r="S4010" s="5"/>
      <c r="T4010" s="5"/>
      <c r="U4010" s="5"/>
      <c r="V4010" s="5"/>
      <c r="W4010" s="5"/>
      <c r="X4010" s="5"/>
      <c r="Y4010" s="5"/>
      <c r="Z4010" s="5"/>
      <c r="AA4010" s="5"/>
      <c r="AC4010" t="e">
        <f ca="1">RANK(AB4010,OFFSET($AB$2,0,0,#REF!,1))</f>
        <v>#REF!</v>
      </c>
      <c r="AD4010" s="4" t="e">
        <f>InsurerSize(#REF!)</f>
        <v>#VALUE!</v>
      </c>
      <c r="AE4010" s="4" t="e">
        <f t="shared" si="74"/>
        <v>#VALUE!</v>
      </c>
    </row>
    <row r="4011" spans="8:31" x14ac:dyDescent="0.2">
      <c r="H4011" s="5"/>
      <c r="I4011" s="5"/>
      <c r="J4011" s="5"/>
      <c r="K4011" s="5"/>
      <c r="L4011" s="5"/>
      <c r="M4011" s="5"/>
      <c r="N4011" s="5"/>
      <c r="O4011" s="5"/>
      <c r="P4011" s="5"/>
      <c r="Q4011" s="5"/>
      <c r="R4011" s="5"/>
      <c r="S4011" s="5"/>
      <c r="T4011" s="5"/>
      <c r="U4011" s="5"/>
      <c r="V4011" s="5"/>
      <c r="W4011" s="5"/>
      <c r="X4011" s="5"/>
      <c r="Y4011" s="5"/>
      <c r="Z4011" s="5"/>
      <c r="AA4011" s="5"/>
      <c r="AC4011" t="e">
        <f ca="1">RANK(AB4011,OFFSET($AB$2,0,0,#REF!,1))</f>
        <v>#REF!</v>
      </c>
      <c r="AD4011" s="4" t="e">
        <f>InsurerSize(#REF!)</f>
        <v>#VALUE!</v>
      </c>
      <c r="AE4011" s="4" t="e">
        <f t="shared" si="74"/>
        <v>#VALUE!</v>
      </c>
    </row>
    <row r="4012" spans="8:31" x14ac:dyDescent="0.2">
      <c r="H4012" s="5"/>
      <c r="I4012" s="5"/>
      <c r="J4012" s="5"/>
      <c r="K4012" s="5"/>
      <c r="L4012" s="5"/>
      <c r="M4012" s="5"/>
      <c r="N4012" s="5"/>
      <c r="O4012" s="5"/>
      <c r="P4012" s="5"/>
      <c r="Q4012" s="5"/>
      <c r="R4012" s="5"/>
      <c r="S4012" s="5"/>
      <c r="T4012" s="5"/>
      <c r="U4012" s="5"/>
      <c r="V4012" s="5"/>
      <c r="W4012" s="5"/>
      <c r="X4012" s="5"/>
      <c r="Y4012" s="5"/>
      <c r="Z4012" s="5"/>
      <c r="AA4012" s="5"/>
      <c r="AC4012" t="e">
        <f ca="1">RANK(AB4012,OFFSET($AB$2,0,0,#REF!,1))</f>
        <v>#REF!</v>
      </c>
      <c r="AD4012" s="4" t="e">
        <f>InsurerSize(#REF!)</f>
        <v>#VALUE!</v>
      </c>
      <c r="AE4012" s="4" t="e">
        <f t="shared" si="74"/>
        <v>#VALUE!</v>
      </c>
    </row>
    <row r="4013" spans="8:31" x14ac:dyDescent="0.2">
      <c r="H4013" s="5"/>
      <c r="I4013" s="5"/>
      <c r="J4013" s="5"/>
      <c r="K4013" s="5"/>
      <c r="L4013" s="5"/>
      <c r="M4013" s="5"/>
      <c r="N4013" s="5"/>
      <c r="O4013" s="5"/>
      <c r="P4013" s="5"/>
      <c r="Q4013" s="5"/>
      <c r="R4013" s="5"/>
      <c r="S4013" s="5"/>
      <c r="T4013" s="5"/>
      <c r="U4013" s="5"/>
      <c r="V4013" s="5"/>
      <c r="W4013" s="5"/>
      <c r="X4013" s="5"/>
      <c r="Y4013" s="5"/>
      <c r="Z4013" s="5"/>
      <c r="AA4013" s="5"/>
      <c r="AC4013" t="e">
        <f ca="1">RANK(AB4013,OFFSET($AB$2,0,0,#REF!,1))</f>
        <v>#REF!</v>
      </c>
      <c r="AD4013" s="4" t="e">
        <f>InsurerSize(#REF!)</f>
        <v>#VALUE!</v>
      </c>
      <c r="AE4013" s="4" t="e">
        <f t="shared" si="74"/>
        <v>#VALUE!</v>
      </c>
    </row>
    <row r="4014" spans="8:31" x14ac:dyDescent="0.2">
      <c r="H4014" s="5"/>
      <c r="I4014" s="5"/>
      <c r="J4014" s="5"/>
      <c r="K4014" s="5"/>
      <c r="L4014" s="5"/>
      <c r="M4014" s="5"/>
      <c r="N4014" s="5"/>
      <c r="O4014" s="5"/>
      <c r="P4014" s="5"/>
      <c r="Q4014" s="5"/>
      <c r="R4014" s="5"/>
      <c r="S4014" s="5"/>
      <c r="T4014" s="5"/>
      <c r="U4014" s="5"/>
      <c r="V4014" s="5"/>
      <c r="W4014" s="5"/>
      <c r="X4014" s="5"/>
      <c r="Y4014" s="5"/>
      <c r="Z4014" s="5"/>
      <c r="AA4014" s="5"/>
      <c r="AC4014" t="e">
        <f ca="1">RANK(AB4014,OFFSET($AB$2,0,0,#REF!,1))</f>
        <v>#REF!</v>
      </c>
      <c r="AD4014" s="4" t="e">
        <f>InsurerSize(#REF!)</f>
        <v>#VALUE!</v>
      </c>
      <c r="AE4014" s="4" t="e">
        <f t="shared" si="74"/>
        <v>#VALUE!</v>
      </c>
    </row>
    <row r="4015" spans="8:31" x14ac:dyDescent="0.2">
      <c r="H4015" s="5"/>
      <c r="I4015" s="5"/>
      <c r="J4015" s="5"/>
      <c r="K4015" s="5"/>
      <c r="L4015" s="5"/>
      <c r="M4015" s="5"/>
      <c r="N4015" s="5"/>
      <c r="O4015" s="5"/>
      <c r="P4015" s="5"/>
      <c r="Q4015" s="5"/>
      <c r="R4015" s="5"/>
      <c r="S4015" s="5"/>
      <c r="T4015" s="5"/>
      <c r="U4015" s="5"/>
      <c r="V4015" s="5"/>
      <c r="W4015" s="5"/>
      <c r="X4015" s="5"/>
      <c r="Y4015" s="5"/>
      <c r="Z4015" s="5"/>
      <c r="AA4015" s="5"/>
      <c r="AC4015" t="e">
        <f ca="1">RANK(AB4015,OFFSET($AB$2,0,0,#REF!,1))</f>
        <v>#REF!</v>
      </c>
      <c r="AD4015" s="4" t="e">
        <f>InsurerSize(#REF!)</f>
        <v>#VALUE!</v>
      </c>
      <c r="AE4015" s="4" t="e">
        <f t="shared" si="74"/>
        <v>#VALUE!</v>
      </c>
    </row>
    <row r="4016" spans="8:31" x14ac:dyDescent="0.2">
      <c r="H4016" s="5"/>
      <c r="I4016" s="5"/>
      <c r="J4016" s="5"/>
      <c r="K4016" s="5"/>
      <c r="L4016" s="5"/>
      <c r="M4016" s="5"/>
      <c r="N4016" s="5"/>
      <c r="O4016" s="5"/>
      <c r="P4016" s="5"/>
      <c r="Q4016" s="5"/>
      <c r="R4016" s="5"/>
      <c r="S4016" s="5"/>
      <c r="T4016" s="5"/>
      <c r="U4016" s="5"/>
      <c r="V4016" s="5"/>
      <c r="W4016" s="5"/>
      <c r="X4016" s="5"/>
      <c r="Y4016" s="5"/>
      <c r="Z4016" s="5"/>
      <c r="AA4016" s="5"/>
      <c r="AC4016" t="e">
        <f ca="1">RANK(AB4016,OFFSET($AB$2,0,0,#REF!,1))</f>
        <v>#REF!</v>
      </c>
      <c r="AD4016" s="4" t="e">
        <f>InsurerSize(#REF!)</f>
        <v>#VALUE!</v>
      </c>
      <c r="AE4016" s="4" t="e">
        <f t="shared" si="74"/>
        <v>#VALUE!</v>
      </c>
    </row>
    <row r="4017" spans="8:31" x14ac:dyDescent="0.2">
      <c r="H4017" s="5"/>
      <c r="I4017" s="5"/>
      <c r="J4017" s="5"/>
      <c r="K4017" s="5"/>
      <c r="L4017" s="5"/>
      <c r="M4017" s="5"/>
      <c r="N4017" s="5"/>
      <c r="O4017" s="5"/>
      <c r="P4017" s="5"/>
      <c r="Q4017" s="5"/>
      <c r="R4017" s="5"/>
      <c r="S4017" s="5"/>
      <c r="T4017" s="5"/>
      <c r="U4017" s="5"/>
      <c r="V4017" s="5"/>
      <c r="W4017" s="5"/>
      <c r="X4017" s="5"/>
      <c r="Y4017" s="5"/>
      <c r="Z4017" s="5"/>
      <c r="AA4017" s="5"/>
      <c r="AC4017" t="e">
        <f ca="1">RANK(AB4017,OFFSET($AB$2,0,0,#REF!,1))</f>
        <v>#REF!</v>
      </c>
      <c r="AD4017" s="4" t="e">
        <f>InsurerSize(#REF!)</f>
        <v>#VALUE!</v>
      </c>
      <c r="AE4017" s="4" t="e">
        <f t="shared" si="74"/>
        <v>#VALUE!</v>
      </c>
    </row>
    <row r="4018" spans="8:31" x14ac:dyDescent="0.2">
      <c r="H4018" s="5"/>
      <c r="I4018" s="5"/>
      <c r="J4018" s="5"/>
      <c r="K4018" s="5"/>
      <c r="L4018" s="5"/>
      <c r="M4018" s="5"/>
      <c r="N4018" s="5"/>
      <c r="O4018" s="5"/>
      <c r="P4018" s="5"/>
      <c r="Q4018" s="5"/>
      <c r="R4018" s="5"/>
      <c r="S4018" s="5"/>
      <c r="T4018" s="5"/>
      <c r="U4018" s="5"/>
      <c r="V4018" s="5"/>
      <c r="W4018" s="5"/>
      <c r="X4018" s="5"/>
      <c r="Y4018" s="5"/>
      <c r="Z4018" s="5"/>
      <c r="AA4018" s="5"/>
      <c r="AC4018" t="e">
        <f ca="1">RANK(AB4018,OFFSET($AB$2,0,0,#REF!,1))</f>
        <v>#REF!</v>
      </c>
      <c r="AD4018" s="4" t="e">
        <f>InsurerSize(#REF!)</f>
        <v>#VALUE!</v>
      </c>
      <c r="AE4018" s="4" t="e">
        <f t="shared" si="74"/>
        <v>#VALUE!</v>
      </c>
    </row>
    <row r="4019" spans="8:31" x14ac:dyDescent="0.2">
      <c r="H4019" s="5"/>
      <c r="I4019" s="5"/>
      <c r="J4019" s="5"/>
      <c r="K4019" s="5"/>
      <c r="L4019" s="5"/>
      <c r="M4019" s="5"/>
      <c r="N4019" s="5"/>
      <c r="O4019" s="5"/>
      <c r="P4019" s="5"/>
      <c r="Q4019" s="5"/>
      <c r="R4019" s="5"/>
      <c r="S4019" s="5"/>
      <c r="T4019" s="5"/>
      <c r="U4019" s="5"/>
      <c r="V4019" s="5"/>
      <c r="W4019" s="5"/>
      <c r="X4019" s="5"/>
      <c r="Y4019" s="5"/>
      <c r="Z4019" s="5"/>
      <c r="AA4019" s="5"/>
      <c r="AC4019" t="e">
        <f ca="1">RANK(AB4019,OFFSET($AB$2,0,0,#REF!,1))</f>
        <v>#REF!</v>
      </c>
      <c r="AD4019" s="4" t="e">
        <f>InsurerSize(#REF!)</f>
        <v>#VALUE!</v>
      </c>
      <c r="AE4019" s="4" t="e">
        <f t="shared" si="74"/>
        <v>#VALUE!</v>
      </c>
    </row>
    <row r="4020" spans="8:31" x14ac:dyDescent="0.2">
      <c r="H4020" s="5"/>
      <c r="I4020" s="5"/>
      <c r="J4020" s="5"/>
      <c r="K4020" s="5"/>
      <c r="L4020" s="5"/>
      <c r="M4020" s="5"/>
      <c r="N4020" s="5"/>
      <c r="O4020" s="5"/>
      <c r="P4020" s="5"/>
      <c r="Q4020" s="5"/>
      <c r="R4020" s="5"/>
      <c r="S4020" s="5"/>
      <c r="T4020" s="5"/>
      <c r="U4020" s="5"/>
      <c r="V4020" s="5"/>
      <c r="W4020" s="5"/>
      <c r="X4020" s="5"/>
      <c r="Y4020" s="5"/>
      <c r="Z4020" s="5"/>
      <c r="AA4020" s="5"/>
      <c r="AC4020" t="e">
        <f ca="1">RANK(AB4020,OFFSET($AB$2,0,0,#REF!,1))</f>
        <v>#REF!</v>
      </c>
      <c r="AD4020" s="4" t="e">
        <f>InsurerSize(#REF!)</f>
        <v>#VALUE!</v>
      </c>
      <c r="AE4020" s="4" t="e">
        <f t="shared" si="74"/>
        <v>#VALUE!</v>
      </c>
    </row>
    <row r="4021" spans="8:31" x14ac:dyDescent="0.2">
      <c r="H4021" s="5"/>
      <c r="I4021" s="5"/>
      <c r="J4021" s="5"/>
      <c r="K4021" s="5"/>
      <c r="L4021" s="5"/>
      <c r="M4021" s="5"/>
      <c r="N4021" s="5"/>
      <c r="O4021" s="5"/>
      <c r="P4021" s="5"/>
      <c r="Q4021" s="5"/>
      <c r="R4021" s="5"/>
      <c r="S4021" s="5"/>
      <c r="T4021" s="5"/>
      <c r="U4021" s="5"/>
      <c r="V4021" s="5"/>
      <c r="W4021" s="5"/>
      <c r="X4021" s="5"/>
      <c r="Y4021" s="5"/>
      <c r="Z4021" s="5"/>
      <c r="AA4021" s="5"/>
      <c r="AC4021" t="e">
        <f ca="1">RANK(AB4021,OFFSET($AB$2,0,0,#REF!,1))</f>
        <v>#REF!</v>
      </c>
      <c r="AD4021" s="4" t="e">
        <f>InsurerSize(#REF!)</f>
        <v>#VALUE!</v>
      </c>
      <c r="AE4021" s="4" t="e">
        <f t="shared" si="74"/>
        <v>#VALUE!</v>
      </c>
    </row>
    <row r="4022" spans="8:31" x14ac:dyDescent="0.2">
      <c r="H4022" s="5"/>
      <c r="I4022" s="5"/>
      <c r="J4022" s="5"/>
      <c r="K4022" s="5"/>
      <c r="L4022" s="5"/>
      <c r="M4022" s="5"/>
      <c r="N4022" s="5"/>
      <c r="O4022" s="5"/>
      <c r="P4022" s="5"/>
      <c r="Q4022" s="5"/>
      <c r="R4022" s="5"/>
      <c r="S4022" s="5"/>
      <c r="T4022" s="5"/>
      <c r="U4022" s="5"/>
      <c r="V4022" s="5"/>
      <c r="W4022" s="5"/>
      <c r="X4022" s="5"/>
      <c r="Y4022" s="5"/>
      <c r="Z4022" s="5"/>
      <c r="AA4022" s="5"/>
      <c r="AC4022" t="e">
        <f ca="1">RANK(AB4022,OFFSET($AB$2,0,0,#REF!,1))</f>
        <v>#REF!</v>
      </c>
      <c r="AD4022" s="4" t="e">
        <f>InsurerSize(#REF!)</f>
        <v>#VALUE!</v>
      </c>
      <c r="AE4022" s="4" t="e">
        <f t="shared" si="74"/>
        <v>#VALUE!</v>
      </c>
    </row>
    <row r="4023" spans="8:31" x14ac:dyDescent="0.2">
      <c r="H4023" s="5"/>
      <c r="I4023" s="5"/>
      <c r="J4023" s="5"/>
      <c r="K4023" s="5"/>
      <c r="L4023" s="5"/>
      <c r="M4023" s="5"/>
      <c r="N4023" s="5"/>
      <c r="O4023" s="5"/>
      <c r="P4023" s="5"/>
      <c r="Q4023" s="5"/>
      <c r="R4023" s="5"/>
      <c r="S4023" s="5"/>
      <c r="T4023" s="5"/>
      <c r="U4023" s="5"/>
      <c r="V4023" s="5"/>
      <c r="W4023" s="5"/>
      <c r="X4023" s="5"/>
      <c r="Y4023" s="5"/>
      <c r="Z4023" s="5"/>
      <c r="AA4023" s="5"/>
      <c r="AC4023" t="e">
        <f ca="1">RANK(AB4023,OFFSET($AB$2,0,0,#REF!,1))</f>
        <v>#REF!</v>
      </c>
      <c r="AD4023" s="4" t="e">
        <f>InsurerSize(#REF!)</f>
        <v>#VALUE!</v>
      </c>
      <c r="AE4023" s="4" t="e">
        <f t="shared" si="74"/>
        <v>#VALUE!</v>
      </c>
    </row>
    <row r="4024" spans="8:31" x14ac:dyDescent="0.2">
      <c r="H4024" s="5"/>
      <c r="I4024" s="5"/>
      <c r="J4024" s="5"/>
      <c r="K4024" s="5"/>
      <c r="L4024" s="5"/>
      <c r="M4024" s="5"/>
      <c r="N4024" s="5"/>
      <c r="O4024" s="5"/>
      <c r="P4024" s="5"/>
      <c r="Q4024" s="5"/>
      <c r="R4024" s="5"/>
      <c r="S4024" s="5"/>
      <c r="T4024" s="5"/>
      <c r="U4024" s="5"/>
      <c r="V4024" s="5"/>
      <c r="W4024" s="5"/>
      <c r="X4024" s="5"/>
      <c r="Y4024" s="5"/>
      <c r="Z4024" s="5"/>
      <c r="AA4024" s="5"/>
      <c r="AC4024" t="e">
        <f ca="1">RANK(AB4024,OFFSET($AB$2,0,0,#REF!,1))</f>
        <v>#REF!</v>
      </c>
      <c r="AD4024" s="4" t="e">
        <f>InsurerSize(#REF!)</f>
        <v>#VALUE!</v>
      </c>
      <c r="AE4024" s="4" t="e">
        <f t="shared" si="74"/>
        <v>#VALUE!</v>
      </c>
    </row>
    <row r="4025" spans="8:31" x14ac:dyDescent="0.2">
      <c r="H4025" s="5"/>
      <c r="I4025" s="5"/>
      <c r="J4025" s="5"/>
      <c r="K4025" s="5"/>
      <c r="L4025" s="5"/>
      <c r="M4025" s="5"/>
      <c r="N4025" s="5"/>
      <c r="O4025" s="5"/>
      <c r="P4025" s="5"/>
      <c r="Q4025" s="5"/>
      <c r="R4025" s="5"/>
      <c r="S4025" s="5"/>
      <c r="T4025" s="5"/>
      <c r="U4025" s="5"/>
      <c r="V4025" s="5"/>
      <c r="W4025" s="5"/>
      <c r="X4025" s="5"/>
      <c r="Y4025" s="5"/>
      <c r="Z4025" s="5"/>
      <c r="AA4025" s="5"/>
      <c r="AC4025" t="e">
        <f ca="1">RANK(AB4025,OFFSET($AB$2,0,0,#REF!,1))</f>
        <v>#REF!</v>
      </c>
      <c r="AD4025" s="4" t="e">
        <f>InsurerSize(#REF!)</f>
        <v>#VALUE!</v>
      </c>
      <c r="AE4025" s="4" t="e">
        <f t="shared" si="74"/>
        <v>#VALUE!</v>
      </c>
    </row>
    <row r="4026" spans="8:31" x14ac:dyDescent="0.2">
      <c r="H4026" s="5"/>
      <c r="I4026" s="5"/>
      <c r="J4026" s="5"/>
      <c r="K4026" s="5"/>
      <c r="L4026" s="5"/>
      <c r="M4026" s="5"/>
      <c r="N4026" s="5"/>
      <c r="O4026" s="5"/>
      <c r="P4026" s="5"/>
      <c r="Q4026" s="5"/>
      <c r="R4026" s="5"/>
      <c r="S4026" s="5"/>
      <c r="T4026" s="5"/>
      <c r="U4026" s="5"/>
      <c r="V4026" s="5"/>
      <c r="W4026" s="5"/>
      <c r="X4026" s="5"/>
      <c r="Y4026" s="5"/>
      <c r="Z4026" s="5"/>
      <c r="AA4026" s="5"/>
      <c r="AC4026" t="e">
        <f ca="1">RANK(AB4026,OFFSET($AB$2,0,0,#REF!,1))</f>
        <v>#REF!</v>
      </c>
      <c r="AD4026" s="4" t="e">
        <f>InsurerSize(#REF!)</f>
        <v>#VALUE!</v>
      </c>
      <c r="AE4026" s="4" t="e">
        <f t="shared" si="74"/>
        <v>#VALUE!</v>
      </c>
    </row>
    <row r="4027" spans="8:31" x14ac:dyDescent="0.2">
      <c r="H4027" s="5"/>
      <c r="I4027" s="5"/>
      <c r="J4027" s="5"/>
      <c r="K4027" s="5"/>
      <c r="L4027" s="5"/>
      <c r="M4027" s="5"/>
      <c r="N4027" s="5"/>
      <c r="O4027" s="5"/>
      <c r="P4027" s="5"/>
      <c r="Q4027" s="5"/>
      <c r="R4027" s="5"/>
      <c r="S4027" s="5"/>
      <c r="T4027" s="5"/>
      <c r="U4027" s="5"/>
      <c r="V4027" s="5"/>
      <c r="W4027" s="5"/>
      <c r="X4027" s="5"/>
      <c r="Y4027" s="5"/>
      <c r="Z4027" s="5"/>
      <c r="AA4027" s="5"/>
      <c r="AC4027" t="e">
        <f ca="1">RANK(AB4027,OFFSET($AB$2,0,0,#REF!,1))</f>
        <v>#REF!</v>
      </c>
      <c r="AD4027" s="4" t="e">
        <f>InsurerSize(#REF!)</f>
        <v>#VALUE!</v>
      </c>
      <c r="AE4027" s="4" t="e">
        <f t="shared" si="74"/>
        <v>#VALUE!</v>
      </c>
    </row>
    <row r="4028" spans="8:31" x14ac:dyDescent="0.2">
      <c r="H4028" s="5"/>
      <c r="I4028" s="5"/>
      <c r="J4028" s="5"/>
      <c r="K4028" s="5"/>
      <c r="L4028" s="5"/>
      <c r="M4028" s="5"/>
      <c r="N4028" s="5"/>
      <c r="O4028" s="5"/>
      <c r="P4028" s="5"/>
      <c r="Q4028" s="5"/>
      <c r="R4028" s="5"/>
      <c r="S4028" s="5"/>
      <c r="T4028" s="5"/>
      <c r="U4028" s="5"/>
      <c r="V4028" s="5"/>
      <c r="W4028" s="5"/>
      <c r="X4028" s="5"/>
      <c r="Y4028" s="5"/>
      <c r="Z4028" s="5"/>
      <c r="AA4028" s="5"/>
      <c r="AC4028" t="e">
        <f ca="1">RANK(AB4028,OFFSET($AB$2,0,0,#REF!,1))</f>
        <v>#REF!</v>
      </c>
      <c r="AD4028" s="4" t="e">
        <f>InsurerSize(#REF!)</f>
        <v>#VALUE!</v>
      </c>
      <c r="AE4028" s="4" t="e">
        <f t="shared" si="74"/>
        <v>#VALUE!</v>
      </c>
    </row>
    <row r="4029" spans="8:31" x14ac:dyDescent="0.2">
      <c r="H4029" s="5"/>
      <c r="I4029" s="5"/>
      <c r="J4029" s="5"/>
      <c r="K4029" s="5"/>
      <c r="L4029" s="5"/>
      <c r="M4029" s="5"/>
      <c r="N4029" s="5"/>
      <c r="O4029" s="5"/>
      <c r="P4029" s="5"/>
      <c r="Q4029" s="5"/>
      <c r="R4029" s="5"/>
      <c r="S4029" s="5"/>
      <c r="T4029" s="5"/>
      <c r="U4029" s="5"/>
      <c r="V4029" s="5"/>
      <c r="W4029" s="5"/>
      <c r="X4029" s="5"/>
      <c r="Y4029" s="5"/>
      <c r="Z4029" s="5"/>
      <c r="AA4029" s="5"/>
      <c r="AC4029" t="e">
        <f ca="1">RANK(AB4029,OFFSET($AB$2,0,0,#REF!,1))</f>
        <v>#REF!</v>
      </c>
      <c r="AD4029" s="4" t="e">
        <f>InsurerSize(#REF!)</f>
        <v>#VALUE!</v>
      </c>
      <c r="AE4029" s="4" t="e">
        <f t="shared" si="74"/>
        <v>#VALUE!</v>
      </c>
    </row>
    <row r="4030" spans="8:31" x14ac:dyDescent="0.2">
      <c r="H4030" s="5"/>
      <c r="I4030" s="5"/>
      <c r="J4030" s="5"/>
      <c r="K4030" s="5"/>
      <c r="L4030" s="5"/>
      <c r="M4030" s="5"/>
      <c r="N4030" s="5"/>
      <c r="O4030" s="5"/>
      <c r="P4030" s="5"/>
      <c r="Q4030" s="5"/>
      <c r="R4030" s="5"/>
      <c r="S4030" s="5"/>
      <c r="T4030" s="5"/>
      <c r="U4030" s="5"/>
      <c r="V4030" s="5"/>
      <c r="W4030" s="5"/>
      <c r="X4030" s="5"/>
      <c r="Y4030" s="5"/>
      <c r="Z4030" s="5"/>
      <c r="AA4030" s="5"/>
      <c r="AC4030" t="e">
        <f ca="1">RANK(AB4030,OFFSET($AB$2,0,0,#REF!,1))</f>
        <v>#REF!</v>
      </c>
      <c r="AD4030" s="4" t="e">
        <f>InsurerSize(#REF!)</f>
        <v>#VALUE!</v>
      </c>
      <c r="AE4030" s="4" t="e">
        <f t="shared" si="74"/>
        <v>#VALUE!</v>
      </c>
    </row>
    <row r="4031" spans="8:31" x14ac:dyDescent="0.2">
      <c r="H4031" s="5"/>
      <c r="I4031" s="5"/>
      <c r="J4031" s="5"/>
      <c r="K4031" s="5"/>
      <c r="L4031" s="5"/>
      <c r="M4031" s="5"/>
      <c r="N4031" s="5"/>
      <c r="O4031" s="5"/>
      <c r="P4031" s="5"/>
      <c r="Q4031" s="5"/>
      <c r="R4031" s="5"/>
      <c r="S4031" s="5"/>
      <c r="T4031" s="5"/>
      <c r="U4031" s="5"/>
      <c r="V4031" s="5"/>
      <c r="W4031" s="5"/>
      <c r="X4031" s="5"/>
      <c r="Y4031" s="5"/>
      <c r="Z4031" s="5"/>
      <c r="AA4031" s="5"/>
      <c r="AC4031" t="e">
        <f ca="1">RANK(AB4031,OFFSET($AB$2,0,0,#REF!,1))</f>
        <v>#REF!</v>
      </c>
      <c r="AD4031" s="4" t="e">
        <f>InsurerSize(#REF!)</f>
        <v>#VALUE!</v>
      </c>
      <c r="AE4031" s="4" t="e">
        <f t="shared" si="74"/>
        <v>#VALUE!</v>
      </c>
    </row>
    <row r="4032" spans="8:31" x14ac:dyDescent="0.2">
      <c r="H4032" s="5"/>
      <c r="I4032" s="5"/>
      <c r="J4032" s="5"/>
      <c r="K4032" s="5"/>
      <c r="L4032" s="5"/>
      <c r="M4032" s="5"/>
      <c r="N4032" s="5"/>
      <c r="O4032" s="5"/>
      <c r="P4032" s="5"/>
      <c r="Q4032" s="5"/>
      <c r="R4032" s="5"/>
      <c r="S4032" s="5"/>
      <c r="T4032" s="5"/>
      <c r="U4032" s="5"/>
      <c r="V4032" s="5"/>
      <c r="W4032" s="5"/>
      <c r="X4032" s="5"/>
      <c r="Y4032" s="5"/>
      <c r="Z4032" s="5"/>
      <c r="AA4032" s="5"/>
      <c r="AC4032" t="e">
        <f ca="1">RANK(AB4032,OFFSET($AB$2,0,0,#REF!,1))</f>
        <v>#REF!</v>
      </c>
      <c r="AD4032" s="4" t="e">
        <f>InsurerSize(#REF!)</f>
        <v>#VALUE!</v>
      </c>
      <c r="AE4032" s="4" t="e">
        <f t="shared" si="74"/>
        <v>#VALUE!</v>
      </c>
    </row>
    <row r="4033" spans="8:31" x14ac:dyDescent="0.2">
      <c r="H4033" s="5"/>
      <c r="I4033" s="5"/>
      <c r="J4033" s="5"/>
      <c r="K4033" s="5"/>
      <c r="L4033" s="5"/>
      <c r="M4033" s="5"/>
      <c r="N4033" s="5"/>
      <c r="O4033" s="5"/>
      <c r="P4033" s="5"/>
      <c r="Q4033" s="5"/>
      <c r="R4033" s="5"/>
      <c r="S4033" s="5"/>
      <c r="T4033" s="5"/>
      <c r="U4033" s="5"/>
      <c r="V4033" s="5"/>
      <c r="W4033" s="5"/>
      <c r="X4033" s="5"/>
      <c r="Y4033" s="5"/>
      <c r="Z4033" s="5"/>
      <c r="AA4033" s="5"/>
      <c r="AC4033" t="e">
        <f ca="1">RANK(AB4033,OFFSET($AB$2,0,0,#REF!,1))</f>
        <v>#REF!</v>
      </c>
      <c r="AD4033" s="4" t="e">
        <f>InsurerSize(#REF!)</f>
        <v>#VALUE!</v>
      </c>
      <c r="AE4033" s="4" t="e">
        <f t="shared" si="74"/>
        <v>#VALUE!</v>
      </c>
    </row>
    <row r="4034" spans="8:31" x14ac:dyDescent="0.2">
      <c r="H4034" s="5"/>
      <c r="I4034" s="5"/>
      <c r="J4034" s="5"/>
      <c r="K4034" s="5"/>
      <c r="L4034" s="5"/>
      <c r="M4034" s="5"/>
      <c r="N4034" s="5"/>
      <c r="O4034" s="5"/>
      <c r="P4034" s="5"/>
      <c r="Q4034" s="5"/>
      <c r="R4034" s="5"/>
      <c r="S4034" s="5"/>
      <c r="T4034" s="5"/>
      <c r="U4034" s="5"/>
      <c r="V4034" s="5"/>
      <c r="W4034" s="5"/>
      <c r="X4034" s="5"/>
      <c r="Y4034" s="5"/>
      <c r="Z4034" s="5"/>
      <c r="AA4034" s="5"/>
      <c r="AC4034" t="e">
        <f ca="1">RANK(AB4034,OFFSET($AB$2,0,0,#REF!,1))</f>
        <v>#REF!</v>
      </c>
      <c r="AD4034" s="4" t="e">
        <f>InsurerSize(#REF!)</f>
        <v>#VALUE!</v>
      </c>
      <c r="AE4034" s="4" t="e">
        <f t="shared" ref="AE4034:AE4097" si="75">A4034&amp;AD4034</f>
        <v>#VALUE!</v>
      </c>
    </row>
    <row r="4035" spans="8:31" x14ac:dyDescent="0.2">
      <c r="H4035" s="5"/>
      <c r="I4035" s="5"/>
      <c r="J4035" s="5"/>
      <c r="K4035" s="5"/>
      <c r="L4035" s="5"/>
      <c r="M4035" s="5"/>
      <c r="N4035" s="5"/>
      <c r="O4035" s="5"/>
      <c r="P4035" s="5"/>
      <c r="Q4035" s="5"/>
      <c r="R4035" s="5"/>
      <c r="S4035" s="5"/>
      <c r="T4035" s="5"/>
      <c r="U4035" s="5"/>
      <c r="V4035" s="5"/>
      <c r="W4035" s="5"/>
      <c r="X4035" s="5"/>
      <c r="Y4035" s="5"/>
      <c r="Z4035" s="5"/>
      <c r="AA4035" s="5"/>
      <c r="AC4035" t="e">
        <f ca="1">RANK(AB4035,OFFSET($AB$2,0,0,#REF!,1))</f>
        <v>#REF!</v>
      </c>
      <c r="AD4035" s="4" t="e">
        <f>InsurerSize(#REF!)</f>
        <v>#VALUE!</v>
      </c>
      <c r="AE4035" s="4" t="e">
        <f t="shared" si="75"/>
        <v>#VALUE!</v>
      </c>
    </row>
    <row r="4036" spans="8:31" x14ac:dyDescent="0.2">
      <c r="H4036" s="5"/>
      <c r="I4036" s="5"/>
      <c r="J4036" s="5"/>
      <c r="K4036" s="5"/>
      <c r="L4036" s="5"/>
      <c r="M4036" s="5"/>
      <c r="N4036" s="5"/>
      <c r="O4036" s="5"/>
      <c r="P4036" s="5"/>
      <c r="Q4036" s="5"/>
      <c r="R4036" s="5"/>
      <c r="S4036" s="5"/>
      <c r="T4036" s="5"/>
      <c r="U4036" s="5"/>
      <c r="V4036" s="5"/>
      <c r="W4036" s="5"/>
      <c r="X4036" s="5"/>
      <c r="Y4036" s="5"/>
      <c r="Z4036" s="5"/>
      <c r="AA4036" s="5"/>
      <c r="AC4036" t="e">
        <f ca="1">RANK(AB4036,OFFSET($AB$2,0,0,#REF!,1))</f>
        <v>#REF!</v>
      </c>
      <c r="AD4036" s="4" t="e">
        <f>InsurerSize(#REF!)</f>
        <v>#VALUE!</v>
      </c>
      <c r="AE4036" s="4" t="e">
        <f t="shared" si="75"/>
        <v>#VALUE!</v>
      </c>
    </row>
    <row r="4037" spans="8:31" x14ac:dyDescent="0.2">
      <c r="H4037" s="5"/>
      <c r="I4037" s="5"/>
      <c r="J4037" s="5"/>
      <c r="K4037" s="5"/>
      <c r="L4037" s="5"/>
      <c r="M4037" s="5"/>
      <c r="N4037" s="5"/>
      <c r="O4037" s="5"/>
      <c r="P4037" s="5"/>
      <c r="Q4037" s="5"/>
      <c r="R4037" s="5"/>
      <c r="S4037" s="5"/>
      <c r="T4037" s="5"/>
      <c r="U4037" s="5"/>
      <c r="V4037" s="5"/>
      <c r="W4037" s="5"/>
      <c r="X4037" s="5"/>
      <c r="Y4037" s="5"/>
      <c r="Z4037" s="5"/>
      <c r="AA4037" s="5"/>
      <c r="AC4037" t="e">
        <f ca="1">RANK(AB4037,OFFSET($AB$2,0,0,#REF!,1))</f>
        <v>#REF!</v>
      </c>
      <c r="AD4037" s="4" t="e">
        <f>InsurerSize(#REF!)</f>
        <v>#VALUE!</v>
      </c>
      <c r="AE4037" s="4" t="e">
        <f t="shared" si="75"/>
        <v>#VALUE!</v>
      </c>
    </row>
    <row r="4038" spans="8:31" x14ac:dyDescent="0.2">
      <c r="H4038" s="5"/>
      <c r="I4038" s="5"/>
      <c r="J4038" s="5"/>
      <c r="K4038" s="5"/>
      <c r="L4038" s="5"/>
      <c r="M4038" s="5"/>
      <c r="N4038" s="5"/>
      <c r="O4038" s="5"/>
      <c r="P4038" s="5"/>
      <c r="Q4038" s="5"/>
      <c r="R4038" s="5"/>
      <c r="S4038" s="5"/>
      <c r="T4038" s="5"/>
      <c r="U4038" s="5"/>
      <c r="V4038" s="5"/>
      <c r="W4038" s="5"/>
      <c r="X4038" s="5"/>
      <c r="Y4038" s="5"/>
      <c r="Z4038" s="5"/>
      <c r="AA4038" s="5"/>
      <c r="AC4038" t="e">
        <f ca="1">RANK(AB4038,OFFSET($AB$2,0,0,#REF!,1))</f>
        <v>#REF!</v>
      </c>
      <c r="AD4038" s="4" t="e">
        <f>InsurerSize(#REF!)</f>
        <v>#VALUE!</v>
      </c>
      <c r="AE4038" s="4" t="e">
        <f t="shared" si="75"/>
        <v>#VALUE!</v>
      </c>
    </row>
    <row r="4039" spans="8:31" x14ac:dyDescent="0.2">
      <c r="H4039" s="5"/>
      <c r="I4039" s="5"/>
      <c r="J4039" s="5"/>
      <c r="K4039" s="5"/>
      <c r="L4039" s="5"/>
      <c r="M4039" s="5"/>
      <c r="N4039" s="5"/>
      <c r="O4039" s="5"/>
      <c r="P4039" s="5"/>
      <c r="Q4039" s="5"/>
      <c r="R4039" s="5"/>
      <c r="S4039" s="5"/>
      <c r="T4039" s="5"/>
      <c r="U4039" s="5"/>
      <c r="V4039" s="5"/>
      <c r="W4039" s="5"/>
      <c r="X4039" s="5"/>
      <c r="Y4039" s="5"/>
      <c r="Z4039" s="5"/>
      <c r="AA4039" s="5"/>
      <c r="AC4039" t="e">
        <f ca="1">RANK(AB4039,OFFSET($AB$2,0,0,#REF!,1))</f>
        <v>#REF!</v>
      </c>
      <c r="AD4039" s="4" t="e">
        <f>InsurerSize(#REF!)</f>
        <v>#VALUE!</v>
      </c>
      <c r="AE4039" s="4" t="e">
        <f t="shared" si="75"/>
        <v>#VALUE!</v>
      </c>
    </row>
    <row r="4040" spans="8:31" x14ac:dyDescent="0.2">
      <c r="H4040" s="5"/>
      <c r="I4040" s="5"/>
      <c r="J4040" s="5"/>
      <c r="K4040" s="5"/>
      <c r="L4040" s="5"/>
      <c r="M4040" s="5"/>
      <c r="N4040" s="5"/>
      <c r="O4040" s="5"/>
      <c r="P4040" s="5"/>
      <c r="Q4040" s="5"/>
      <c r="R4040" s="5"/>
      <c r="S4040" s="5"/>
      <c r="T4040" s="5"/>
      <c r="U4040" s="5"/>
      <c r="V4040" s="5"/>
      <c r="W4040" s="5"/>
      <c r="X4040" s="5"/>
      <c r="Y4040" s="5"/>
      <c r="Z4040" s="5"/>
      <c r="AA4040" s="5"/>
      <c r="AC4040" t="e">
        <f ca="1">RANK(AB4040,OFFSET($AB$2,0,0,#REF!,1))</f>
        <v>#REF!</v>
      </c>
      <c r="AD4040" s="4" t="e">
        <f>InsurerSize(#REF!)</f>
        <v>#VALUE!</v>
      </c>
      <c r="AE4040" s="4" t="e">
        <f t="shared" si="75"/>
        <v>#VALUE!</v>
      </c>
    </row>
    <row r="4041" spans="8:31" x14ac:dyDescent="0.2">
      <c r="H4041" s="5"/>
      <c r="I4041" s="5"/>
      <c r="J4041" s="5"/>
      <c r="K4041" s="5"/>
      <c r="L4041" s="5"/>
      <c r="M4041" s="5"/>
      <c r="N4041" s="5"/>
      <c r="O4041" s="5"/>
      <c r="P4041" s="5"/>
      <c r="Q4041" s="5"/>
      <c r="R4041" s="5"/>
      <c r="S4041" s="5"/>
      <c r="T4041" s="5"/>
      <c r="U4041" s="5"/>
      <c r="V4041" s="5"/>
      <c r="W4041" s="5"/>
      <c r="X4041" s="5"/>
      <c r="Y4041" s="5"/>
      <c r="Z4041" s="5"/>
      <c r="AA4041" s="5"/>
      <c r="AC4041" t="e">
        <f ca="1">RANK(AB4041,OFFSET($AB$2,0,0,#REF!,1))</f>
        <v>#REF!</v>
      </c>
      <c r="AD4041" s="4" t="e">
        <f>InsurerSize(#REF!)</f>
        <v>#VALUE!</v>
      </c>
      <c r="AE4041" s="4" t="e">
        <f t="shared" si="75"/>
        <v>#VALUE!</v>
      </c>
    </row>
    <row r="4042" spans="8:31" x14ac:dyDescent="0.2">
      <c r="H4042" s="5"/>
      <c r="I4042" s="5"/>
      <c r="J4042" s="5"/>
      <c r="K4042" s="5"/>
      <c r="L4042" s="5"/>
      <c r="M4042" s="5"/>
      <c r="N4042" s="5"/>
      <c r="O4042" s="5"/>
      <c r="P4042" s="5"/>
      <c r="Q4042" s="5"/>
      <c r="R4042" s="5"/>
      <c r="S4042" s="5"/>
      <c r="T4042" s="5"/>
      <c r="U4042" s="5"/>
      <c r="V4042" s="5"/>
      <c r="W4042" s="5"/>
      <c r="X4042" s="5"/>
      <c r="Y4042" s="5"/>
      <c r="Z4042" s="5"/>
      <c r="AA4042" s="5"/>
      <c r="AC4042" t="e">
        <f ca="1">RANK(AB4042,OFFSET($AB$2,0,0,#REF!,1))</f>
        <v>#REF!</v>
      </c>
      <c r="AD4042" s="4" t="e">
        <f>InsurerSize(#REF!)</f>
        <v>#VALUE!</v>
      </c>
      <c r="AE4042" s="4" t="e">
        <f t="shared" si="75"/>
        <v>#VALUE!</v>
      </c>
    </row>
    <row r="4043" spans="8:31" x14ac:dyDescent="0.2">
      <c r="H4043" s="5"/>
      <c r="I4043" s="5"/>
      <c r="J4043" s="5"/>
      <c r="K4043" s="5"/>
      <c r="L4043" s="5"/>
      <c r="M4043" s="5"/>
      <c r="N4043" s="5"/>
      <c r="O4043" s="5"/>
      <c r="P4043" s="5"/>
      <c r="Q4043" s="5"/>
      <c r="R4043" s="5"/>
      <c r="S4043" s="5"/>
      <c r="T4043" s="5"/>
      <c r="U4043" s="5"/>
      <c r="V4043" s="5"/>
      <c r="W4043" s="5"/>
      <c r="X4043" s="5"/>
      <c r="Y4043" s="5"/>
      <c r="Z4043" s="5"/>
      <c r="AA4043" s="5"/>
      <c r="AC4043" t="e">
        <f ca="1">RANK(AB4043,OFFSET($AB$2,0,0,#REF!,1))</f>
        <v>#REF!</v>
      </c>
      <c r="AD4043" s="4" t="e">
        <f>InsurerSize(#REF!)</f>
        <v>#VALUE!</v>
      </c>
      <c r="AE4043" s="4" t="e">
        <f t="shared" si="75"/>
        <v>#VALUE!</v>
      </c>
    </row>
    <row r="4044" spans="8:31" x14ac:dyDescent="0.2">
      <c r="H4044" s="5"/>
      <c r="I4044" s="5"/>
      <c r="J4044" s="5"/>
      <c r="K4044" s="5"/>
      <c r="L4044" s="5"/>
      <c r="M4044" s="5"/>
      <c r="N4044" s="5"/>
      <c r="O4044" s="5"/>
      <c r="P4044" s="5"/>
      <c r="Q4044" s="5"/>
      <c r="R4044" s="5"/>
      <c r="S4044" s="5"/>
      <c r="T4044" s="5"/>
      <c r="U4044" s="5"/>
      <c r="V4044" s="5"/>
      <c r="W4044" s="5"/>
      <c r="X4044" s="5"/>
      <c r="Y4044" s="5"/>
      <c r="Z4044" s="5"/>
      <c r="AA4044" s="5"/>
      <c r="AC4044" t="e">
        <f ca="1">RANK(AB4044,OFFSET($AB$2,0,0,#REF!,1))</f>
        <v>#REF!</v>
      </c>
      <c r="AD4044" s="4" t="e">
        <f>InsurerSize(#REF!)</f>
        <v>#VALUE!</v>
      </c>
      <c r="AE4044" s="4" t="e">
        <f t="shared" si="75"/>
        <v>#VALUE!</v>
      </c>
    </row>
    <row r="4045" spans="8:31" x14ac:dyDescent="0.2">
      <c r="H4045" s="5"/>
      <c r="I4045" s="5"/>
      <c r="J4045" s="5"/>
      <c r="K4045" s="5"/>
      <c r="L4045" s="5"/>
      <c r="M4045" s="5"/>
      <c r="N4045" s="5"/>
      <c r="O4045" s="5"/>
      <c r="P4045" s="5"/>
      <c r="Q4045" s="5"/>
      <c r="R4045" s="5"/>
      <c r="S4045" s="5"/>
      <c r="T4045" s="5"/>
      <c r="U4045" s="5"/>
      <c r="V4045" s="5"/>
      <c r="W4045" s="5"/>
      <c r="X4045" s="5"/>
      <c r="Y4045" s="5"/>
      <c r="Z4045" s="5"/>
      <c r="AA4045" s="5"/>
      <c r="AC4045" t="e">
        <f ca="1">RANK(AB4045,OFFSET($AB$2,0,0,#REF!,1))</f>
        <v>#REF!</v>
      </c>
      <c r="AD4045" s="4" t="e">
        <f>InsurerSize(#REF!)</f>
        <v>#VALUE!</v>
      </c>
      <c r="AE4045" s="4" t="e">
        <f t="shared" si="75"/>
        <v>#VALUE!</v>
      </c>
    </row>
    <row r="4046" spans="8:31" x14ac:dyDescent="0.2">
      <c r="H4046" s="5"/>
      <c r="I4046" s="5"/>
      <c r="J4046" s="5"/>
      <c r="K4046" s="5"/>
      <c r="L4046" s="5"/>
      <c r="M4046" s="5"/>
      <c r="N4046" s="5"/>
      <c r="O4046" s="5"/>
      <c r="P4046" s="5"/>
      <c r="Q4046" s="5"/>
      <c r="R4046" s="5"/>
      <c r="S4046" s="5"/>
      <c r="T4046" s="5"/>
      <c r="U4046" s="5"/>
      <c r="V4046" s="5"/>
      <c r="W4046" s="5"/>
      <c r="X4046" s="5"/>
      <c r="Y4046" s="5"/>
      <c r="Z4046" s="5"/>
      <c r="AA4046" s="5"/>
      <c r="AC4046" t="e">
        <f ca="1">RANK(AB4046,OFFSET($AB$2,0,0,#REF!,1))</f>
        <v>#REF!</v>
      </c>
      <c r="AD4046" s="4" t="e">
        <f>InsurerSize(#REF!)</f>
        <v>#VALUE!</v>
      </c>
      <c r="AE4046" s="4" t="e">
        <f t="shared" si="75"/>
        <v>#VALUE!</v>
      </c>
    </row>
    <row r="4047" spans="8:31" x14ac:dyDescent="0.2">
      <c r="H4047" s="5"/>
      <c r="I4047" s="5"/>
      <c r="J4047" s="5"/>
      <c r="K4047" s="5"/>
      <c r="L4047" s="5"/>
      <c r="M4047" s="5"/>
      <c r="N4047" s="5"/>
      <c r="O4047" s="5"/>
      <c r="P4047" s="5"/>
      <c r="Q4047" s="5"/>
      <c r="R4047" s="5"/>
      <c r="S4047" s="5"/>
      <c r="T4047" s="5"/>
      <c r="U4047" s="5"/>
      <c r="V4047" s="5"/>
      <c r="W4047" s="5"/>
      <c r="X4047" s="5"/>
      <c r="Y4047" s="5"/>
      <c r="Z4047" s="5"/>
      <c r="AA4047" s="5"/>
      <c r="AC4047" t="e">
        <f ca="1">RANK(AB4047,OFFSET($AB$2,0,0,#REF!,1))</f>
        <v>#REF!</v>
      </c>
      <c r="AD4047" s="4" t="e">
        <f>InsurerSize(#REF!)</f>
        <v>#VALUE!</v>
      </c>
      <c r="AE4047" s="4" t="e">
        <f t="shared" si="75"/>
        <v>#VALUE!</v>
      </c>
    </row>
    <row r="4048" spans="8:31" x14ac:dyDescent="0.2">
      <c r="H4048" s="5"/>
      <c r="I4048" s="5"/>
      <c r="J4048" s="5"/>
      <c r="K4048" s="5"/>
      <c r="L4048" s="5"/>
      <c r="M4048" s="5"/>
      <c r="N4048" s="5"/>
      <c r="O4048" s="5"/>
      <c r="P4048" s="5"/>
      <c r="Q4048" s="5"/>
      <c r="R4048" s="5"/>
      <c r="S4048" s="5"/>
      <c r="T4048" s="5"/>
      <c r="U4048" s="5"/>
      <c r="V4048" s="5"/>
      <c r="W4048" s="5"/>
      <c r="X4048" s="5"/>
      <c r="Y4048" s="5"/>
      <c r="Z4048" s="5"/>
      <c r="AA4048" s="5"/>
      <c r="AC4048" t="e">
        <f ca="1">RANK(AB4048,OFFSET($AB$2,0,0,#REF!,1))</f>
        <v>#REF!</v>
      </c>
      <c r="AD4048" s="4" t="e">
        <f>InsurerSize(#REF!)</f>
        <v>#VALUE!</v>
      </c>
      <c r="AE4048" s="4" t="e">
        <f t="shared" si="75"/>
        <v>#VALUE!</v>
      </c>
    </row>
    <row r="4049" spans="8:31" x14ac:dyDescent="0.2">
      <c r="H4049" s="5"/>
      <c r="I4049" s="5"/>
      <c r="J4049" s="5"/>
      <c r="K4049" s="5"/>
      <c r="L4049" s="5"/>
      <c r="M4049" s="5"/>
      <c r="N4049" s="5"/>
      <c r="O4049" s="5"/>
      <c r="P4049" s="5"/>
      <c r="Q4049" s="5"/>
      <c r="R4049" s="5"/>
      <c r="S4049" s="5"/>
      <c r="T4049" s="5"/>
      <c r="U4049" s="5"/>
      <c r="V4049" s="5"/>
      <c r="W4049" s="5"/>
      <c r="X4049" s="5"/>
      <c r="Y4049" s="5"/>
      <c r="Z4049" s="5"/>
      <c r="AA4049" s="5"/>
      <c r="AC4049" t="e">
        <f ca="1">RANK(AB4049,OFFSET($AB$2,0,0,#REF!,1))</f>
        <v>#REF!</v>
      </c>
      <c r="AD4049" s="4" t="e">
        <f>InsurerSize(#REF!)</f>
        <v>#VALUE!</v>
      </c>
      <c r="AE4049" s="4" t="e">
        <f t="shared" si="75"/>
        <v>#VALUE!</v>
      </c>
    </row>
    <row r="4050" spans="8:31" x14ac:dyDescent="0.2">
      <c r="H4050" s="5"/>
      <c r="I4050" s="5"/>
      <c r="J4050" s="5"/>
      <c r="K4050" s="5"/>
      <c r="L4050" s="5"/>
      <c r="M4050" s="5"/>
      <c r="N4050" s="5"/>
      <c r="O4050" s="5"/>
      <c r="P4050" s="5"/>
      <c r="Q4050" s="5"/>
      <c r="R4050" s="5"/>
      <c r="S4050" s="5"/>
      <c r="T4050" s="5"/>
      <c r="U4050" s="5"/>
      <c r="V4050" s="5"/>
      <c r="W4050" s="5"/>
      <c r="X4050" s="5"/>
      <c r="Y4050" s="5"/>
      <c r="Z4050" s="5"/>
      <c r="AA4050" s="5"/>
      <c r="AC4050" t="e">
        <f ca="1">RANK(AB4050,OFFSET($AB$2,0,0,#REF!,1))</f>
        <v>#REF!</v>
      </c>
      <c r="AD4050" s="4" t="e">
        <f>InsurerSize(#REF!)</f>
        <v>#VALUE!</v>
      </c>
      <c r="AE4050" s="4" t="e">
        <f t="shared" si="75"/>
        <v>#VALUE!</v>
      </c>
    </row>
    <row r="4051" spans="8:31" x14ac:dyDescent="0.2">
      <c r="H4051" s="5"/>
      <c r="I4051" s="5"/>
      <c r="J4051" s="5"/>
      <c r="K4051" s="5"/>
      <c r="L4051" s="5"/>
      <c r="M4051" s="5"/>
      <c r="N4051" s="5"/>
      <c r="O4051" s="5"/>
      <c r="P4051" s="5"/>
      <c r="Q4051" s="5"/>
      <c r="R4051" s="5"/>
      <c r="S4051" s="5"/>
      <c r="T4051" s="5"/>
      <c r="U4051" s="5"/>
      <c r="V4051" s="5"/>
      <c r="W4051" s="5"/>
      <c r="X4051" s="5"/>
      <c r="Y4051" s="5"/>
      <c r="Z4051" s="5"/>
      <c r="AA4051" s="5"/>
      <c r="AC4051" t="e">
        <f ca="1">RANK(AB4051,OFFSET($AB$2,0,0,#REF!,1))</f>
        <v>#REF!</v>
      </c>
      <c r="AD4051" s="4" t="e">
        <f>InsurerSize(#REF!)</f>
        <v>#VALUE!</v>
      </c>
      <c r="AE4051" s="4" t="e">
        <f t="shared" si="75"/>
        <v>#VALUE!</v>
      </c>
    </row>
    <row r="4052" spans="8:31" x14ac:dyDescent="0.2">
      <c r="H4052" s="5"/>
      <c r="I4052" s="5"/>
      <c r="J4052" s="5"/>
      <c r="K4052" s="5"/>
      <c r="L4052" s="5"/>
      <c r="M4052" s="5"/>
      <c r="N4052" s="5"/>
      <c r="O4052" s="5"/>
      <c r="P4052" s="5"/>
      <c r="Q4052" s="5"/>
      <c r="R4052" s="5"/>
      <c r="S4052" s="5"/>
      <c r="T4052" s="5"/>
      <c r="U4052" s="5"/>
      <c r="V4052" s="5"/>
      <c r="W4052" s="5"/>
      <c r="X4052" s="5"/>
      <c r="Y4052" s="5"/>
      <c r="Z4052" s="5"/>
      <c r="AA4052" s="5"/>
      <c r="AC4052" t="e">
        <f ca="1">RANK(AB4052,OFFSET($AB$2,0,0,#REF!,1))</f>
        <v>#REF!</v>
      </c>
      <c r="AD4052" s="4" t="e">
        <f>InsurerSize(#REF!)</f>
        <v>#VALUE!</v>
      </c>
      <c r="AE4052" s="4" t="e">
        <f t="shared" si="75"/>
        <v>#VALUE!</v>
      </c>
    </row>
    <row r="4053" spans="8:31" x14ac:dyDescent="0.2">
      <c r="H4053" s="5"/>
      <c r="I4053" s="5"/>
      <c r="J4053" s="5"/>
      <c r="K4053" s="5"/>
      <c r="L4053" s="5"/>
      <c r="M4053" s="5"/>
      <c r="N4053" s="5"/>
      <c r="O4053" s="5"/>
      <c r="P4053" s="5"/>
      <c r="Q4053" s="5"/>
      <c r="R4053" s="5"/>
      <c r="S4053" s="5"/>
      <c r="T4053" s="5"/>
      <c r="U4053" s="5"/>
      <c r="V4053" s="5"/>
      <c r="W4053" s="5"/>
      <c r="X4053" s="5"/>
      <c r="Y4053" s="5"/>
      <c r="Z4053" s="5"/>
      <c r="AA4053" s="5"/>
      <c r="AC4053" t="e">
        <f ca="1">RANK(AB4053,OFFSET($AB$2,0,0,#REF!,1))</f>
        <v>#REF!</v>
      </c>
      <c r="AD4053" s="4" t="e">
        <f>InsurerSize(#REF!)</f>
        <v>#VALUE!</v>
      </c>
      <c r="AE4053" s="4" t="e">
        <f t="shared" si="75"/>
        <v>#VALUE!</v>
      </c>
    </row>
    <row r="4054" spans="8:31" x14ac:dyDescent="0.2">
      <c r="H4054" s="5"/>
      <c r="I4054" s="5"/>
      <c r="J4054" s="5"/>
      <c r="K4054" s="5"/>
      <c r="L4054" s="5"/>
      <c r="M4054" s="5"/>
      <c r="N4054" s="5"/>
      <c r="O4054" s="5"/>
      <c r="P4054" s="5"/>
      <c r="Q4054" s="5"/>
      <c r="R4054" s="5"/>
      <c r="S4054" s="5"/>
      <c r="T4054" s="5"/>
      <c r="U4054" s="5"/>
      <c r="V4054" s="5"/>
      <c r="W4054" s="5"/>
      <c r="X4054" s="5"/>
      <c r="Y4054" s="5"/>
      <c r="Z4054" s="5"/>
      <c r="AA4054" s="5"/>
      <c r="AC4054" t="e">
        <f ca="1">RANK(AB4054,OFFSET($AB$2,0,0,#REF!,1))</f>
        <v>#REF!</v>
      </c>
      <c r="AD4054" s="4" t="e">
        <f>InsurerSize(#REF!)</f>
        <v>#VALUE!</v>
      </c>
      <c r="AE4054" s="4" t="e">
        <f t="shared" si="75"/>
        <v>#VALUE!</v>
      </c>
    </row>
    <row r="4055" spans="8:31" x14ac:dyDescent="0.2">
      <c r="H4055" s="5"/>
      <c r="I4055" s="5"/>
      <c r="J4055" s="5"/>
      <c r="K4055" s="5"/>
      <c r="L4055" s="5"/>
      <c r="M4055" s="5"/>
      <c r="N4055" s="5"/>
      <c r="O4055" s="5"/>
      <c r="P4055" s="5"/>
      <c r="Q4055" s="5"/>
      <c r="R4055" s="5"/>
      <c r="S4055" s="5"/>
      <c r="T4055" s="5"/>
      <c r="U4055" s="5"/>
      <c r="V4055" s="5"/>
      <c r="W4055" s="5"/>
      <c r="X4055" s="5"/>
      <c r="Y4055" s="5"/>
      <c r="Z4055" s="5"/>
      <c r="AA4055" s="5"/>
      <c r="AC4055" t="e">
        <f ca="1">RANK(AB4055,OFFSET($AB$2,0,0,#REF!,1))</f>
        <v>#REF!</v>
      </c>
      <c r="AD4055" s="4" t="e">
        <f>InsurerSize(#REF!)</f>
        <v>#VALUE!</v>
      </c>
      <c r="AE4055" s="4" t="e">
        <f t="shared" si="75"/>
        <v>#VALUE!</v>
      </c>
    </row>
    <row r="4056" spans="8:31" x14ac:dyDescent="0.2">
      <c r="H4056" s="5"/>
      <c r="I4056" s="5"/>
      <c r="J4056" s="5"/>
      <c r="K4056" s="5"/>
      <c r="L4056" s="5"/>
      <c r="M4056" s="5"/>
      <c r="N4056" s="5"/>
      <c r="O4056" s="5"/>
      <c r="P4056" s="5"/>
      <c r="Q4056" s="5"/>
      <c r="R4056" s="5"/>
      <c r="S4056" s="5"/>
      <c r="T4056" s="5"/>
      <c r="U4056" s="5"/>
      <c r="V4056" s="5"/>
      <c r="W4056" s="5"/>
      <c r="X4056" s="5"/>
      <c r="Y4056" s="5"/>
      <c r="Z4056" s="5"/>
      <c r="AA4056" s="5"/>
      <c r="AC4056" t="e">
        <f ca="1">RANK(AB4056,OFFSET($AB$2,0,0,#REF!,1))</f>
        <v>#REF!</v>
      </c>
      <c r="AD4056" s="4" t="e">
        <f>InsurerSize(#REF!)</f>
        <v>#VALUE!</v>
      </c>
      <c r="AE4056" s="4" t="e">
        <f t="shared" si="75"/>
        <v>#VALUE!</v>
      </c>
    </row>
    <row r="4057" spans="8:31" x14ac:dyDescent="0.2">
      <c r="H4057" s="5"/>
      <c r="I4057" s="5"/>
      <c r="J4057" s="5"/>
      <c r="K4057" s="5"/>
      <c r="L4057" s="5"/>
      <c r="M4057" s="5"/>
      <c r="N4057" s="5"/>
      <c r="O4057" s="5"/>
      <c r="P4057" s="5"/>
      <c r="Q4057" s="5"/>
      <c r="R4057" s="5"/>
      <c r="S4057" s="5"/>
      <c r="T4057" s="5"/>
      <c r="U4057" s="5"/>
      <c r="V4057" s="5"/>
      <c r="W4057" s="5"/>
      <c r="X4057" s="5"/>
      <c r="Y4057" s="5"/>
      <c r="Z4057" s="5"/>
      <c r="AA4057" s="5"/>
      <c r="AC4057" t="e">
        <f ca="1">RANK(AB4057,OFFSET($AB$2,0,0,#REF!,1))</f>
        <v>#REF!</v>
      </c>
      <c r="AD4057" s="4" t="e">
        <f>InsurerSize(#REF!)</f>
        <v>#VALUE!</v>
      </c>
      <c r="AE4057" s="4" t="e">
        <f t="shared" si="75"/>
        <v>#VALUE!</v>
      </c>
    </row>
    <row r="4058" spans="8:31" x14ac:dyDescent="0.2">
      <c r="H4058" s="5"/>
      <c r="I4058" s="5"/>
      <c r="J4058" s="5"/>
      <c r="K4058" s="5"/>
      <c r="L4058" s="5"/>
      <c r="M4058" s="5"/>
      <c r="N4058" s="5"/>
      <c r="O4058" s="5"/>
      <c r="P4058" s="5"/>
      <c r="Q4058" s="5"/>
      <c r="R4058" s="5"/>
      <c r="S4058" s="5"/>
      <c r="T4058" s="5"/>
      <c r="U4058" s="5"/>
      <c r="V4058" s="5"/>
      <c r="W4058" s="5"/>
      <c r="X4058" s="5"/>
      <c r="Y4058" s="5"/>
      <c r="Z4058" s="5"/>
      <c r="AA4058" s="5"/>
      <c r="AC4058" t="e">
        <f ca="1">RANK(AB4058,OFFSET($AB$2,0,0,#REF!,1))</f>
        <v>#REF!</v>
      </c>
      <c r="AD4058" s="4" t="e">
        <f>InsurerSize(#REF!)</f>
        <v>#VALUE!</v>
      </c>
      <c r="AE4058" s="4" t="e">
        <f t="shared" si="75"/>
        <v>#VALUE!</v>
      </c>
    </row>
    <row r="4059" spans="8:31" x14ac:dyDescent="0.2">
      <c r="H4059" s="5"/>
      <c r="I4059" s="5"/>
      <c r="J4059" s="5"/>
      <c r="K4059" s="5"/>
      <c r="L4059" s="5"/>
      <c r="M4059" s="5"/>
      <c r="N4059" s="5"/>
      <c r="O4059" s="5"/>
      <c r="P4059" s="5"/>
      <c r="Q4059" s="5"/>
      <c r="R4059" s="5"/>
      <c r="S4059" s="5"/>
      <c r="T4059" s="5"/>
      <c r="U4059" s="5"/>
      <c r="V4059" s="5"/>
      <c r="W4059" s="5"/>
      <c r="X4059" s="5"/>
      <c r="Y4059" s="5"/>
      <c r="Z4059" s="5"/>
      <c r="AA4059" s="5"/>
      <c r="AC4059" t="e">
        <f ca="1">RANK(AB4059,OFFSET($AB$2,0,0,#REF!,1))</f>
        <v>#REF!</v>
      </c>
      <c r="AD4059" s="4" t="e">
        <f>InsurerSize(#REF!)</f>
        <v>#VALUE!</v>
      </c>
      <c r="AE4059" s="4" t="e">
        <f t="shared" si="75"/>
        <v>#VALUE!</v>
      </c>
    </row>
    <row r="4060" spans="8:31" x14ac:dyDescent="0.2">
      <c r="H4060" s="5"/>
      <c r="I4060" s="5"/>
      <c r="J4060" s="5"/>
      <c r="K4060" s="5"/>
      <c r="L4060" s="5"/>
      <c r="M4060" s="5"/>
      <c r="N4060" s="5"/>
      <c r="O4060" s="5"/>
      <c r="P4060" s="5"/>
      <c r="Q4060" s="5"/>
      <c r="R4060" s="5"/>
      <c r="S4060" s="5"/>
      <c r="T4060" s="5"/>
      <c r="U4060" s="5"/>
      <c r="V4060" s="5"/>
      <c r="W4060" s="5"/>
      <c r="X4060" s="5"/>
      <c r="Y4060" s="5"/>
      <c r="Z4060" s="5"/>
      <c r="AA4060" s="5"/>
      <c r="AC4060" t="e">
        <f ca="1">RANK(AB4060,OFFSET($AB$2,0,0,#REF!,1))</f>
        <v>#REF!</v>
      </c>
      <c r="AD4060" s="4" t="e">
        <f>InsurerSize(#REF!)</f>
        <v>#VALUE!</v>
      </c>
      <c r="AE4060" s="4" t="e">
        <f t="shared" si="75"/>
        <v>#VALUE!</v>
      </c>
    </row>
    <row r="4061" spans="8:31" x14ac:dyDescent="0.2">
      <c r="H4061" s="5"/>
      <c r="I4061" s="5"/>
      <c r="J4061" s="5"/>
      <c r="K4061" s="5"/>
      <c r="L4061" s="5"/>
      <c r="M4061" s="5"/>
      <c r="N4061" s="5"/>
      <c r="O4061" s="5"/>
      <c r="P4061" s="5"/>
      <c r="Q4061" s="5"/>
      <c r="R4061" s="5"/>
      <c r="S4061" s="5"/>
      <c r="T4061" s="5"/>
      <c r="U4061" s="5"/>
      <c r="V4061" s="5"/>
      <c r="W4061" s="5"/>
      <c r="X4061" s="5"/>
      <c r="Y4061" s="5"/>
      <c r="Z4061" s="5"/>
      <c r="AA4061" s="5"/>
      <c r="AC4061" t="e">
        <f ca="1">RANK(AB4061,OFFSET($AB$2,0,0,#REF!,1))</f>
        <v>#REF!</v>
      </c>
      <c r="AD4061" s="4" t="e">
        <f>InsurerSize(#REF!)</f>
        <v>#VALUE!</v>
      </c>
      <c r="AE4061" s="4" t="e">
        <f t="shared" si="75"/>
        <v>#VALUE!</v>
      </c>
    </row>
    <row r="4062" spans="8:31" x14ac:dyDescent="0.2">
      <c r="H4062" s="5"/>
      <c r="I4062" s="5"/>
      <c r="J4062" s="5"/>
      <c r="K4062" s="5"/>
      <c r="L4062" s="5"/>
      <c r="M4062" s="5"/>
      <c r="N4062" s="5"/>
      <c r="O4062" s="5"/>
      <c r="P4062" s="5"/>
      <c r="Q4062" s="5"/>
      <c r="R4062" s="5"/>
      <c r="S4062" s="5"/>
      <c r="T4062" s="5"/>
      <c r="U4062" s="5"/>
      <c r="V4062" s="5"/>
      <c r="W4062" s="5"/>
      <c r="X4062" s="5"/>
      <c r="Y4062" s="5"/>
      <c r="Z4062" s="5"/>
      <c r="AA4062" s="5"/>
      <c r="AC4062" t="e">
        <f ca="1">RANK(AB4062,OFFSET($AB$2,0,0,#REF!,1))</f>
        <v>#REF!</v>
      </c>
      <c r="AD4062" s="4" t="e">
        <f>InsurerSize(#REF!)</f>
        <v>#VALUE!</v>
      </c>
      <c r="AE4062" s="4" t="e">
        <f t="shared" si="75"/>
        <v>#VALUE!</v>
      </c>
    </row>
    <row r="4063" spans="8:31" x14ac:dyDescent="0.2">
      <c r="H4063" s="5"/>
      <c r="I4063" s="5"/>
      <c r="J4063" s="5"/>
      <c r="K4063" s="5"/>
      <c r="L4063" s="5"/>
      <c r="M4063" s="5"/>
      <c r="N4063" s="5"/>
      <c r="O4063" s="5"/>
      <c r="P4063" s="5"/>
      <c r="Q4063" s="5"/>
      <c r="R4063" s="5"/>
      <c r="S4063" s="5"/>
      <c r="T4063" s="5"/>
      <c r="U4063" s="5"/>
      <c r="V4063" s="5"/>
      <c r="W4063" s="5"/>
      <c r="X4063" s="5"/>
      <c r="Y4063" s="5"/>
      <c r="Z4063" s="5"/>
      <c r="AA4063" s="5"/>
      <c r="AC4063" t="e">
        <f ca="1">RANK(AB4063,OFFSET($AB$2,0,0,#REF!,1))</f>
        <v>#REF!</v>
      </c>
      <c r="AD4063" s="4" t="e">
        <f>InsurerSize(#REF!)</f>
        <v>#VALUE!</v>
      </c>
      <c r="AE4063" s="4" t="e">
        <f t="shared" si="75"/>
        <v>#VALUE!</v>
      </c>
    </row>
    <row r="4064" spans="8:31" x14ac:dyDescent="0.2">
      <c r="H4064" s="5"/>
      <c r="I4064" s="5"/>
      <c r="J4064" s="5"/>
      <c r="K4064" s="5"/>
      <c r="L4064" s="5"/>
      <c r="M4064" s="5"/>
      <c r="N4064" s="5"/>
      <c r="O4064" s="5"/>
      <c r="P4064" s="5"/>
      <c r="Q4064" s="5"/>
      <c r="R4064" s="5"/>
      <c r="S4064" s="5"/>
      <c r="T4064" s="5"/>
      <c r="U4064" s="5"/>
      <c r="V4064" s="5"/>
      <c r="W4064" s="5"/>
      <c r="X4064" s="5"/>
      <c r="Y4064" s="5"/>
      <c r="Z4064" s="5"/>
      <c r="AA4064" s="5"/>
      <c r="AC4064" t="e">
        <f ca="1">RANK(AB4064,OFFSET($AB$2,0,0,#REF!,1))</f>
        <v>#REF!</v>
      </c>
      <c r="AD4064" s="4" t="e">
        <f>InsurerSize(#REF!)</f>
        <v>#VALUE!</v>
      </c>
      <c r="AE4064" s="4" t="e">
        <f t="shared" si="75"/>
        <v>#VALUE!</v>
      </c>
    </row>
    <row r="4065" spans="8:31" x14ac:dyDescent="0.2">
      <c r="H4065" s="5"/>
      <c r="I4065" s="5"/>
      <c r="J4065" s="5"/>
      <c r="K4065" s="5"/>
      <c r="L4065" s="5"/>
      <c r="M4065" s="5"/>
      <c r="N4065" s="5"/>
      <c r="O4065" s="5"/>
      <c r="P4065" s="5"/>
      <c r="Q4065" s="5"/>
      <c r="R4065" s="5"/>
      <c r="S4065" s="5"/>
      <c r="T4065" s="5"/>
      <c r="U4065" s="5"/>
      <c r="V4065" s="5"/>
      <c r="W4065" s="5"/>
      <c r="X4065" s="5"/>
      <c r="Y4065" s="5"/>
      <c r="Z4065" s="5"/>
      <c r="AA4065" s="5"/>
      <c r="AC4065" t="e">
        <f ca="1">RANK(AB4065,OFFSET($AB$2,0,0,#REF!,1))</f>
        <v>#REF!</v>
      </c>
      <c r="AD4065" s="4" t="e">
        <f>InsurerSize(#REF!)</f>
        <v>#VALUE!</v>
      </c>
      <c r="AE4065" s="4" t="e">
        <f t="shared" si="75"/>
        <v>#VALUE!</v>
      </c>
    </row>
    <row r="4066" spans="8:31" x14ac:dyDescent="0.2">
      <c r="H4066" s="5"/>
      <c r="I4066" s="5"/>
      <c r="J4066" s="5"/>
      <c r="K4066" s="5"/>
      <c r="L4066" s="5"/>
      <c r="M4066" s="5"/>
      <c r="N4066" s="5"/>
      <c r="O4066" s="5"/>
      <c r="P4066" s="5"/>
      <c r="Q4066" s="5"/>
      <c r="R4066" s="5"/>
      <c r="S4066" s="5"/>
      <c r="T4066" s="5"/>
      <c r="U4066" s="5"/>
      <c r="V4066" s="5"/>
      <c r="W4066" s="5"/>
      <c r="X4066" s="5"/>
      <c r="Y4066" s="5"/>
      <c r="Z4066" s="5"/>
      <c r="AA4066" s="5"/>
      <c r="AC4066" t="e">
        <f ca="1">RANK(AB4066,OFFSET($AB$2,0,0,#REF!,1))</f>
        <v>#REF!</v>
      </c>
      <c r="AD4066" s="4" t="e">
        <f>InsurerSize(#REF!)</f>
        <v>#VALUE!</v>
      </c>
      <c r="AE4066" s="4" t="e">
        <f t="shared" si="75"/>
        <v>#VALUE!</v>
      </c>
    </row>
    <row r="4067" spans="8:31" x14ac:dyDescent="0.2">
      <c r="H4067" s="5"/>
      <c r="I4067" s="5"/>
      <c r="J4067" s="5"/>
      <c r="K4067" s="5"/>
      <c r="L4067" s="5"/>
      <c r="M4067" s="5"/>
      <c r="N4067" s="5"/>
      <c r="O4067" s="5"/>
      <c r="P4067" s="5"/>
      <c r="Q4067" s="5"/>
      <c r="R4067" s="5"/>
      <c r="S4067" s="5"/>
      <c r="T4067" s="5"/>
      <c r="U4067" s="5"/>
      <c r="V4067" s="5"/>
      <c r="W4067" s="5"/>
      <c r="X4067" s="5"/>
      <c r="Y4067" s="5"/>
      <c r="Z4067" s="5"/>
      <c r="AA4067" s="5"/>
      <c r="AC4067" t="e">
        <f ca="1">RANK(AB4067,OFFSET($AB$2,0,0,#REF!,1))</f>
        <v>#REF!</v>
      </c>
      <c r="AD4067" s="4" t="e">
        <f>InsurerSize(#REF!)</f>
        <v>#VALUE!</v>
      </c>
      <c r="AE4067" s="4" t="e">
        <f t="shared" si="75"/>
        <v>#VALUE!</v>
      </c>
    </row>
    <row r="4068" spans="8:31" x14ac:dyDescent="0.2">
      <c r="H4068" s="5"/>
      <c r="I4068" s="5"/>
      <c r="J4068" s="5"/>
      <c r="K4068" s="5"/>
      <c r="L4068" s="5"/>
      <c r="M4068" s="5"/>
      <c r="N4068" s="5"/>
      <c r="O4068" s="5"/>
      <c r="P4068" s="5"/>
      <c r="Q4068" s="5"/>
      <c r="R4068" s="5"/>
      <c r="S4068" s="5"/>
      <c r="T4068" s="5"/>
      <c r="U4068" s="5"/>
      <c r="V4068" s="5"/>
      <c r="W4068" s="5"/>
      <c r="X4068" s="5"/>
      <c r="Y4068" s="5"/>
      <c r="Z4068" s="5"/>
      <c r="AA4068" s="5"/>
      <c r="AC4068" t="e">
        <f ca="1">RANK(AB4068,OFFSET($AB$2,0,0,#REF!,1))</f>
        <v>#REF!</v>
      </c>
      <c r="AD4068" s="4" t="e">
        <f>InsurerSize(#REF!)</f>
        <v>#VALUE!</v>
      </c>
      <c r="AE4068" s="4" t="e">
        <f t="shared" si="75"/>
        <v>#VALUE!</v>
      </c>
    </row>
    <row r="4069" spans="8:31" x14ac:dyDescent="0.2">
      <c r="H4069" s="5"/>
      <c r="I4069" s="5"/>
      <c r="J4069" s="5"/>
      <c r="K4069" s="5"/>
      <c r="L4069" s="5"/>
      <c r="M4069" s="5"/>
      <c r="N4069" s="5"/>
      <c r="O4069" s="5"/>
      <c r="P4069" s="5"/>
      <c r="Q4069" s="5"/>
      <c r="R4069" s="5"/>
      <c r="S4069" s="5"/>
      <c r="T4069" s="5"/>
      <c r="U4069" s="5"/>
      <c r="V4069" s="5"/>
      <c r="W4069" s="5"/>
      <c r="X4069" s="5"/>
      <c r="Y4069" s="5"/>
      <c r="Z4069" s="5"/>
      <c r="AA4069" s="5"/>
      <c r="AC4069" t="e">
        <f ca="1">RANK(AB4069,OFFSET($AB$2,0,0,#REF!,1))</f>
        <v>#REF!</v>
      </c>
      <c r="AD4069" s="4" t="e">
        <f>InsurerSize(#REF!)</f>
        <v>#VALUE!</v>
      </c>
      <c r="AE4069" s="4" t="e">
        <f t="shared" si="75"/>
        <v>#VALUE!</v>
      </c>
    </row>
    <row r="4070" spans="8:31" x14ac:dyDescent="0.2">
      <c r="H4070" s="5"/>
      <c r="I4070" s="5"/>
      <c r="J4070" s="5"/>
      <c r="K4070" s="5"/>
      <c r="L4070" s="5"/>
      <c r="M4070" s="5"/>
      <c r="N4070" s="5"/>
      <c r="O4070" s="5"/>
      <c r="P4070" s="5"/>
      <c r="Q4070" s="5"/>
      <c r="R4070" s="5"/>
      <c r="S4070" s="5"/>
      <c r="T4070" s="5"/>
      <c r="U4070" s="5"/>
      <c r="V4070" s="5"/>
      <c r="W4070" s="5"/>
      <c r="X4070" s="5"/>
      <c r="Y4070" s="5"/>
      <c r="Z4070" s="5"/>
      <c r="AA4070" s="5"/>
      <c r="AC4070" t="e">
        <f ca="1">RANK(AB4070,OFFSET($AB$2,0,0,#REF!,1))</f>
        <v>#REF!</v>
      </c>
      <c r="AD4070" s="4" t="e">
        <f>InsurerSize(#REF!)</f>
        <v>#VALUE!</v>
      </c>
      <c r="AE4070" s="4" t="e">
        <f t="shared" si="75"/>
        <v>#VALUE!</v>
      </c>
    </row>
    <row r="4071" spans="8:31" x14ac:dyDescent="0.2">
      <c r="H4071" s="5"/>
      <c r="I4071" s="5"/>
      <c r="J4071" s="5"/>
      <c r="K4071" s="5"/>
      <c r="L4071" s="5"/>
      <c r="M4071" s="5"/>
      <c r="N4071" s="5"/>
      <c r="O4071" s="5"/>
      <c r="P4071" s="5"/>
      <c r="Q4071" s="5"/>
      <c r="R4071" s="5"/>
      <c r="S4071" s="5"/>
      <c r="T4071" s="5"/>
      <c r="U4071" s="5"/>
      <c r="V4071" s="5"/>
      <c r="W4071" s="5"/>
      <c r="X4071" s="5"/>
      <c r="Y4071" s="5"/>
      <c r="Z4071" s="5"/>
      <c r="AA4071" s="5"/>
      <c r="AC4071" t="e">
        <f ca="1">RANK(AB4071,OFFSET($AB$2,0,0,#REF!,1))</f>
        <v>#REF!</v>
      </c>
      <c r="AD4071" s="4" t="e">
        <f>InsurerSize(#REF!)</f>
        <v>#VALUE!</v>
      </c>
      <c r="AE4071" s="4" t="e">
        <f t="shared" si="75"/>
        <v>#VALUE!</v>
      </c>
    </row>
    <row r="4072" spans="8:31" x14ac:dyDescent="0.2">
      <c r="H4072" s="5"/>
      <c r="I4072" s="5"/>
      <c r="J4072" s="5"/>
      <c r="K4072" s="5"/>
      <c r="L4072" s="5"/>
      <c r="M4072" s="5"/>
      <c r="N4072" s="5"/>
      <c r="O4072" s="5"/>
      <c r="P4072" s="5"/>
      <c r="Q4072" s="5"/>
      <c r="R4072" s="5"/>
      <c r="S4072" s="5"/>
      <c r="T4072" s="5"/>
      <c r="U4072" s="5"/>
      <c r="V4072" s="5"/>
      <c r="W4072" s="5"/>
      <c r="X4072" s="5"/>
      <c r="Y4072" s="5"/>
      <c r="Z4072" s="5"/>
      <c r="AA4072" s="5"/>
      <c r="AC4072" t="e">
        <f ca="1">RANK(AB4072,OFFSET($AB$2,0,0,#REF!,1))</f>
        <v>#REF!</v>
      </c>
      <c r="AD4072" s="4" t="e">
        <f>InsurerSize(#REF!)</f>
        <v>#VALUE!</v>
      </c>
      <c r="AE4072" s="4" t="e">
        <f t="shared" si="75"/>
        <v>#VALUE!</v>
      </c>
    </row>
    <row r="4073" spans="8:31" x14ac:dyDescent="0.2">
      <c r="H4073" s="5"/>
      <c r="I4073" s="5"/>
      <c r="J4073" s="5"/>
      <c r="K4073" s="5"/>
      <c r="L4073" s="5"/>
      <c r="M4073" s="5"/>
      <c r="N4073" s="5"/>
      <c r="O4073" s="5"/>
      <c r="P4073" s="5"/>
      <c r="Q4073" s="5"/>
      <c r="R4073" s="5"/>
      <c r="S4073" s="5"/>
      <c r="T4073" s="5"/>
      <c r="U4073" s="5"/>
      <c r="V4073" s="5"/>
      <c r="W4073" s="5"/>
      <c r="X4073" s="5"/>
      <c r="Y4073" s="5"/>
      <c r="Z4073" s="5"/>
      <c r="AA4073" s="5"/>
      <c r="AC4073" t="e">
        <f ca="1">RANK(AB4073,OFFSET($AB$2,0,0,#REF!,1))</f>
        <v>#REF!</v>
      </c>
      <c r="AD4073" s="4" t="e">
        <f>InsurerSize(#REF!)</f>
        <v>#VALUE!</v>
      </c>
      <c r="AE4073" s="4" t="e">
        <f t="shared" si="75"/>
        <v>#VALUE!</v>
      </c>
    </row>
    <row r="4074" spans="8:31" x14ac:dyDescent="0.2">
      <c r="H4074" s="5"/>
      <c r="I4074" s="5"/>
      <c r="J4074" s="5"/>
      <c r="K4074" s="5"/>
      <c r="L4074" s="5"/>
      <c r="M4074" s="5"/>
      <c r="N4074" s="5"/>
      <c r="O4074" s="5"/>
      <c r="P4074" s="5"/>
      <c r="Q4074" s="5"/>
      <c r="R4074" s="5"/>
      <c r="S4074" s="5"/>
      <c r="T4074" s="5"/>
      <c r="U4074" s="5"/>
      <c r="V4074" s="5"/>
      <c r="W4074" s="5"/>
      <c r="X4074" s="5"/>
      <c r="Y4074" s="5"/>
      <c r="Z4074" s="5"/>
      <c r="AA4074" s="5"/>
      <c r="AC4074" t="e">
        <f ca="1">RANK(AB4074,OFFSET($AB$2,0,0,#REF!,1))</f>
        <v>#REF!</v>
      </c>
      <c r="AD4074" s="4" t="e">
        <f>InsurerSize(#REF!)</f>
        <v>#VALUE!</v>
      </c>
      <c r="AE4074" s="4" t="e">
        <f t="shared" si="75"/>
        <v>#VALUE!</v>
      </c>
    </row>
    <row r="4075" spans="8:31" x14ac:dyDescent="0.2">
      <c r="H4075" s="5"/>
      <c r="I4075" s="5"/>
      <c r="J4075" s="5"/>
      <c r="K4075" s="5"/>
      <c r="L4075" s="5"/>
      <c r="M4075" s="5"/>
      <c r="N4075" s="5"/>
      <c r="O4075" s="5"/>
      <c r="P4075" s="5"/>
      <c r="Q4075" s="5"/>
      <c r="R4075" s="5"/>
      <c r="S4075" s="5"/>
      <c r="T4075" s="5"/>
      <c r="U4075" s="5"/>
      <c r="V4075" s="5"/>
      <c r="W4075" s="5"/>
      <c r="X4075" s="5"/>
      <c r="Y4075" s="5"/>
      <c r="Z4075" s="5"/>
      <c r="AA4075" s="5"/>
      <c r="AC4075" t="e">
        <f ca="1">RANK(AB4075,OFFSET($AB$2,0,0,#REF!,1))</f>
        <v>#REF!</v>
      </c>
      <c r="AD4075" s="4" t="e">
        <f>InsurerSize(#REF!)</f>
        <v>#VALUE!</v>
      </c>
      <c r="AE4075" s="4" t="e">
        <f t="shared" si="75"/>
        <v>#VALUE!</v>
      </c>
    </row>
    <row r="4076" spans="8:31" x14ac:dyDescent="0.2">
      <c r="H4076" s="5"/>
      <c r="I4076" s="5"/>
      <c r="J4076" s="5"/>
      <c r="K4076" s="5"/>
      <c r="L4076" s="5"/>
      <c r="M4076" s="5"/>
      <c r="N4076" s="5"/>
      <c r="O4076" s="5"/>
      <c r="P4076" s="5"/>
      <c r="Q4076" s="5"/>
      <c r="R4076" s="5"/>
      <c r="S4076" s="5"/>
      <c r="T4076" s="5"/>
      <c r="U4076" s="5"/>
      <c r="V4076" s="5"/>
      <c r="W4076" s="5"/>
      <c r="X4076" s="5"/>
      <c r="Y4076" s="5"/>
      <c r="Z4076" s="5"/>
      <c r="AA4076" s="5"/>
      <c r="AC4076" t="e">
        <f ca="1">RANK(AB4076,OFFSET($AB$2,0,0,#REF!,1))</f>
        <v>#REF!</v>
      </c>
      <c r="AD4076" s="4" t="e">
        <f>InsurerSize(#REF!)</f>
        <v>#VALUE!</v>
      </c>
      <c r="AE4076" s="4" t="e">
        <f t="shared" si="75"/>
        <v>#VALUE!</v>
      </c>
    </row>
    <row r="4077" spans="8:31" x14ac:dyDescent="0.2">
      <c r="H4077" s="5"/>
      <c r="I4077" s="5"/>
      <c r="J4077" s="5"/>
      <c r="K4077" s="5"/>
      <c r="L4077" s="5"/>
      <c r="M4077" s="5"/>
      <c r="N4077" s="5"/>
      <c r="O4077" s="5"/>
      <c r="P4077" s="5"/>
      <c r="Q4077" s="5"/>
      <c r="R4077" s="5"/>
      <c r="S4077" s="5"/>
      <c r="T4077" s="5"/>
      <c r="U4077" s="5"/>
      <c r="V4077" s="5"/>
      <c r="W4077" s="5"/>
      <c r="X4077" s="5"/>
      <c r="Y4077" s="5"/>
      <c r="Z4077" s="5"/>
      <c r="AA4077" s="5"/>
      <c r="AC4077" t="e">
        <f ca="1">RANK(AB4077,OFFSET($AB$2,0,0,#REF!,1))</f>
        <v>#REF!</v>
      </c>
      <c r="AD4077" s="4" t="e">
        <f>InsurerSize(#REF!)</f>
        <v>#VALUE!</v>
      </c>
      <c r="AE4077" s="4" t="e">
        <f t="shared" si="75"/>
        <v>#VALUE!</v>
      </c>
    </row>
    <row r="4078" spans="8:31" x14ac:dyDescent="0.2">
      <c r="H4078" s="5"/>
      <c r="I4078" s="5"/>
      <c r="J4078" s="5"/>
      <c r="K4078" s="5"/>
      <c r="L4078" s="5"/>
      <c r="M4078" s="5"/>
      <c r="N4078" s="5"/>
      <c r="O4078" s="5"/>
      <c r="P4078" s="5"/>
      <c r="Q4078" s="5"/>
      <c r="R4078" s="5"/>
      <c r="S4078" s="5"/>
      <c r="T4078" s="5"/>
      <c r="U4078" s="5"/>
      <c r="V4078" s="5"/>
      <c r="W4078" s="5"/>
      <c r="X4078" s="5"/>
      <c r="Y4078" s="5"/>
      <c r="Z4078" s="5"/>
      <c r="AA4078" s="5"/>
      <c r="AC4078" t="e">
        <f ca="1">RANK(AB4078,OFFSET($AB$2,0,0,#REF!,1))</f>
        <v>#REF!</v>
      </c>
      <c r="AD4078" s="4" t="e">
        <f>InsurerSize(#REF!)</f>
        <v>#VALUE!</v>
      </c>
      <c r="AE4078" s="4" t="e">
        <f t="shared" si="75"/>
        <v>#VALUE!</v>
      </c>
    </row>
    <row r="4079" spans="8:31" x14ac:dyDescent="0.2">
      <c r="H4079" s="5"/>
      <c r="I4079" s="5"/>
      <c r="J4079" s="5"/>
      <c r="K4079" s="5"/>
      <c r="L4079" s="5"/>
      <c r="M4079" s="5"/>
      <c r="N4079" s="5"/>
      <c r="O4079" s="5"/>
      <c r="P4079" s="5"/>
      <c r="Q4079" s="5"/>
      <c r="R4079" s="5"/>
      <c r="S4079" s="5"/>
      <c r="T4079" s="5"/>
      <c r="U4079" s="5"/>
      <c r="V4079" s="5"/>
      <c r="W4079" s="5"/>
      <c r="X4079" s="5"/>
      <c r="Y4079" s="5"/>
      <c r="Z4079" s="5"/>
      <c r="AA4079" s="5"/>
      <c r="AC4079" t="e">
        <f ca="1">RANK(AB4079,OFFSET($AB$2,0,0,#REF!,1))</f>
        <v>#REF!</v>
      </c>
      <c r="AD4079" s="4" t="e">
        <f>InsurerSize(#REF!)</f>
        <v>#VALUE!</v>
      </c>
      <c r="AE4079" s="4" t="e">
        <f t="shared" si="75"/>
        <v>#VALUE!</v>
      </c>
    </row>
    <row r="4080" spans="8:31" x14ac:dyDescent="0.2">
      <c r="H4080" s="5"/>
      <c r="I4080" s="5"/>
      <c r="J4080" s="5"/>
      <c r="K4080" s="5"/>
      <c r="L4080" s="5"/>
      <c r="M4080" s="5"/>
      <c r="N4080" s="5"/>
      <c r="O4080" s="5"/>
      <c r="P4080" s="5"/>
      <c r="Q4080" s="5"/>
      <c r="R4080" s="5"/>
      <c r="S4080" s="5"/>
      <c r="T4080" s="5"/>
      <c r="U4080" s="5"/>
      <c r="V4080" s="5"/>
      <c r="W4080" s="5"/>
      <c r="X4080" s="5"/>
      <c r="Y4080" s="5"/>
      <c r="Z4080" s="5"/>
      <c r="AA4080" s="5"/>
      <c r="AC4080" t="e">
        <f ca="1">RANK(AB4080,OFFSET($AB$2,0,0,#REF!,1))</f>
        <v>#REF!</v>
      </c>
      <c r="AD4080" s="4" t="e">
        <f>InsurerSize(#REF!)</f>
        <v>#VALUE!</v>
      </c>
      <c r="AE4080" s="4" t="e">
        <f t="shared" si="75"/>
        <v>#VALUE!</v>
      </c>
    </row>
    <row r="4081" spans="8:31" x14ac:dyDescent="0.2">
      <c r="H4081" s="5"/>
      <c r="I4081" s="5"/>
      <c r="J4081" s="5"/>
      <c r="K4081" s="5"/>
      <c r="L4081" s="5"/>
      <c r="M4081" s="5"/>
      <c r="N4081" s="5"/>
      <c r="O4081" s="5"/>
      <c r="P4081" s="5"/>
      <c r="Q4081" s="5"/>
      <c r="R4081" s="5"/>
      <c r="S4081" s="5"/>
      <c r="T4081" s="5"/>
      <c r="U4081" s="5"/>
      <c r="V4081" s="5"/>
      <c r="W4081" s="5"/>
      <c r="X4081" s="5"/>
      <c r="Y4081" s="5"/>
      <c r="Z4081" s="5"/>
      <c r="AA4081" s="5"/>
      <c r="AC4081" t="e">
        <f ca="1">RANK(AB4081,OFFSET($AB$2,0,0,#REF!,1))</f>
        <v>#REF!</v>
      </c>
      <c r="AD4081" s="4" t="e">
        <f>InsurerSize(#REF!)</f>
        <v>#VALUE!</v>
      </c>
      <c r="AE4081" s="4" t="e">
        <f t="shared" si="75"/>
        <v>#VALUE!</v>
      </c>
    </row>
    <row r="4082" spans="8:31" x14ac:dyDescent="0.2">
      <c r="H4082" s="5"/>
      <c r="I4082" s="5"/>
      <c r="J4082" s="5"/>
      <c r="K4082" s="5"/>
      <c r="L4082" s="5"/>
      <c r="M4082" s="5"/>
      <c r="N4082" s="5"/>
      <c r="O4082" s="5"/>
      <c r="P4082" s="5"/>
      <c r="Q4082" s="5"/>
      <c r="R4082" s="5"/>
      <c r="S4082" s="5"/>
      <c r="T4082" s="5"/>
      <c r="U4082" s="5"/>
      <c r="V4082" s="5"/>
      <c r="W4082" s="5"/>
      <c r="X4082" s="5"/>
      <c r="Y4082" s="5"/>
      <c r="Z4082" s="5"/>
      <c r="AA4082" s="5"/>
      <c r="AC4082" t="e">
        <f ca="1">RANK(AB4082,OFFSET($AB$2,0,0,#REF!,1))</f>
        <v>#REF!</v>
      </c>
      <c r="AD4082" s="4" t="e">
        <f>InsurerSize(#REF!)</f>
        <v>#VALUE!</v>
      </c>
      <c r="AE4082" s="4" t="e">
        <f t="shared" si="75"/>
        <v>#VALUE!</v>
      </c>
    </row>
    <row r="4083" spans="8:31" x14ac:dyDescent="0.2">
      <c r="H4083" s="5"/>
      <c r="I4083" s="5"/>
      <c r="J4083" s="5"/>
      <c r="K4083" s="5"/>
      <c r="L4083" s="5"/>
      <c r="M4083" s="5"/>
      <c r="N4083" s="5"/>
      <c r="O4083" s="5"/>
      <c r="P4083" s="5"/>
      <c r="Q4083" s="5"/>
      <c r="R4083" s="5"/>
      <c r="S4083" s="5"/>
      <c r="T4083" s="5"/>
      <c r="U4083" s="5"/>
      <c r="V4083" s="5"/>
      <c r="W4083" s="5"/>
      <c r="X4083" s="5"/>
      <c r="Y4083" s="5"/>
      <c r="Z4083" s="5"/>
      <c r="AA4083" s="5"/>
      <c r="AC4083" t="e">
        <f ca="1">RANK(AB4083,OFFSET($AB$2,0,0,#REF!,1))</f>
        <v>#REF!</v>
      </c>
      <c r="AD4083" s="4" t="e">
        <f>InsurerSize(#REF!)</f>
        <v>#VALUE!</v>
      </c>
      <c r="AE4083" s="4" t="e">
        <f t="shared" si="75"/>
        <v>#VALUE!</v>
      </c>
    </row>
    <row r="4084" spans="8:31" x14ac:dyDescent="0.2">
      <c r="H4084" s="5"/>
      <c r="I4084" s="5"/>
      <c r="J4084" s="5"/>
      <c r="K4084" s="5"/>
      <c r="L4084" s="5"/>
      <c r="M4084" s="5"/>
      <c r="N4084" s="5"/>
      <c r="O4084" s="5"/>
      <c r="P4084" s="5"/>
      <c r="Q4084" s="5"/>
      <c r="R4084" s="5"/>
      <c r="S4084" s="5"/>
      <c r="T4084" s="5"/>
      <c r="U4084" s="5"/>
      <c r="V4084" s="5"/>
      <c r="W4084" s="5"/>
      <c r="X4084" s="5"/>
      <c r="Y4084" s="5"/>
      <c r="Z4084" s="5"/>
      <c r="AA4084" s="5"/>
      <c r="AC4084" t="e">
        <f ca="1">RANK(AB4084,OFFSET($AB$2,0,0,#REF!,1))</f>
        <v>#REF!</v>
      </c>
      <c r="AD4084" s="4" t="e">
        <f>InsurerSize(#REF!)</f>
        <v>#VALUE!</v>
      </c>
      <c r="AE4084" s="4" t="e">
        <f t="shared" si="75"/>
        <v>#VALUE!</v>
      </c>
    </row>
    <row r="4085" spans="8:31" x14ac:dyDescent="0.2">
      <c r="H4085" s="5"/>
      <c r="I4085" s="5"/>
      <c r="J4085" s="5"/>
      <c r="K4085" s="5"/>
      <c r="L4085" s="5"/>
      <c r="M4085" s="5"/>
      <c r="N4085" s="5"/>
      <c r="O4085" s="5"/>
      <c r="P4085" s="5"/>
      <c r="Q4085" s="5"/>
      <c r="R4085" s="5"/>
      <c r="S4085" s="5"/>
      <c r="T4085" s="5"/>
      <c r="U4085" s="5"/>
      <c r="V4085" s="5"/>
      <c r="W4085" s="5"/>
      <c r="X4085" s="5"/>
      <c r="Y4085" s="5"/>
      <c r="Z4085" s="5"/>
      <c r="AA4085" s="5"/>
      <c r="AC4085" t="e">
        <f ca="1">RANK(AB4085,OFFSET($AB$2,0,0,#REF!,1))</f>
        <v>#REF!</v>
      </c>
      <c r="AD4085" s="4" t="e">
        <f>InsurerSize(#REF!)</f>
        <v>#VALUE!</v>
      </c>
      <c r="AE4085" s="4" t="e">
        <f t="shared" si="75"/>
        <v>#VALUE!</v>
      </c>
    </row>
    <row r="4086" spans="8:31" x14ac:dyDescent="0.2">
      <c r="H4086" s="5"/>
      <c r="I4086" s="5"/>
      <c r="J4086" s="5"/>
      <c r="K4086" s="5"/>
      <c r="L4086" s="5"/>
      <c r="M4086" s="5"/>
      <c r="N4086" s="5"/>
      <c r="O4086" s="5"/>
      <c r="P4086" s="5"/>
      <c r="Q4086" s="5"/>
      <c r="R4086" s="5"/>
      <c r="S4086" s="5"/>
      <c r="T4086" s="5"/>
      <c r="U4086" s="5"/>
      <c r="V4086" s="5"/>
      <c r="W4086" s="5"/>
      <c r="X4086" s="5"/>
      <c r="Y4086" s="5"/>
      <c r="Z4086" s="5"/>
      <c r="AA4086" s="5"/>
      <c r="AC4086" t="e">
        <f ca="1">RANK(AB4086,OFFSET($AB$2,0,0,#REF!,1))</f>
        <v>#REF!</v>
      </c>
      <c r="AD4086" s="4" t="e">
        <f>InsurerSize(#REF!)</f>
        <v>#VALUE!</v>
      </c>
      <c r="AE4086" s="4" t="e">
        <f t="shared" si="75"/>
        <v>#VALUE!</v>
      </c>
    </row>
    <row r="4087" spans="8:31" x14ac:dyDescent="0.2">
      <c r="H4087" s="5"/>
      <c r="I4087" s="5"/>
      <c r="J4087" s="5"/>
      <c r="K4087" s="5"/>
      <c r="L4087" s="5"/>
      <c r="M4087" s="5"/>
      <c r="N4087" s="5"/>
      <c r="O4087" s="5"/>
      <c r="P4087" s="5"/>
      <c r="Q4087" s="5"/>
      <c r="R4087" s="5"/>
      <c r="S4087" s="5"/>
      <c r="T4087" s="5"/>
      <c r="U4087" s="5"/>
      <c r="V4087" s="5"/>
      <c r="W4087" s="5"/>
      <c r="X4087" s="5"/>
      <c r="Y4087" s="5"/>
      <c r="Z4087" s="5"/>
      <c r="AA4087" s="5"/>
      <c r="AC4087" t="e">
        <f ca="1">RANK(AB4087,OFFSET($AB$2,0,0,#REF!,1))</f>
        <v>#REF!</v>
      </c>
      <c r="AD4087" s="4" t="e">
        <f>InsurerSize(#REF!)</f>
        <v>#VALUE!</v>
      </c>
      <c r="AE4087" s="4" t="e">
        <f t="shared" si="75"/>
        <v>#VALUE!</v>
      </c>
    </row>
    <row r="4088" spans="8:31" x14ac:dyDescent="0.2">
      <c r="H4088" s="5"/>
      <c r="I4088" s="5"/>
      <c r="J4088" s="5"/>
      <c r="K4088" s="5"/>
      <c r="L4088" s="5"/>
      <c r="M4088" s="5"/>
      <c r="N4088" s="5"/>
      <c r="O4088" s="5"/>
      <c r="P4088" s="5"/>
      <c r="Q4088" s="5"/>
      <c r="R4088" s="5"/>
      <c r="S4088" s="5"/>
      <c r="T4088" s="5"/>
      <c r="U4088" s="5"/>
      <c r="V4088" s="5"/>
      <c r="W4088" s="5"/>
      <c r="X4088" s="5"/>
      <c r="Y4088" s="5"/>
      <c r="Z4088" s="5"/>
      <c r="AA4088" s="5"/>
      <c r="AC4088" t="e">
        <f ca="1">RANK(AB4088,OFFSET($AB$2,0,0,#REF!,1))</f>
        <v>#REF!</v>
      </c>
      <c r="AD4088" s="4" t="e">
        <f>InsurerSize(#REF!)</f>
        <v>#VALUE!</v>
      </c>
      <c r="AE4088" s="4" t="e">
        <f t="shared" si="75"/>
        <v>#VALUE!</v>
      </c>
    </row>
    <row r="4089" spans="8:31" x14ac:dyDescent="0.2">
      <c r="H4089" s="5"/>
      <c r="I4089" s="5"/>
      <c r="J4089" s="5"/>
      <c r="K4089" s="5"/>
      <c r="L4089" s="5"/>
      <c r="M4089" s="5"/>
      <c r="N4089" s="5"/>
      <c r="O4089" s="5"/>
      <c r="P4089" s="5"/>
      <c r="Q4089" s="5"/>
      <c r="R4089" s="5"/>
      <c r="S4089" s="5"/>
      <c r="T4089" s="5"/>
      <c r="U4089" s="5"/>
      <c r="V4089" s="5"/>
      <c r="W4089" s="5"/>
      <c r="X4089" s="5"/>
      <c r="Y4089" s="5"/>
      <c r="Z4089" s="5"/>
      <c r="AA4089" s="5"/>
      <c r="AC4089" t="e">
        <f ca="1">RANK(AB4089,OFFSET($AB$2,0,0,#REF!,1))</f>
        <v>#REF!</v>
      </c>
      <c r="AD4089" s="4" t="e">
        <f>InsurerSize(#REF!)</f>
        <v>#VALUE!</v>
      </c>
      <c r="AE4089" s="4" t="e">
        <f t="shared" si="75"/>
        <v>#VALUE!</v>
      </c>
    </row>
    <row r="4090" spans="8:31" x14ac:dyDescent="0.2">
      <c r="H4090" s="5"/>
      <c r="I4090" s="5"/>
      <c r="J4090" s="5"/>
      <c r="K4090" s="5"/>
      <c r="L4090" s="5"/>
      <c r="M4090" s="5"/>
      <c r="N4090" s="5"/>
      <c r="O4090" s="5"/>
      <c r="P4090" s="5"/>
      <c r="Q4090" s="5"/>
      <c r="R4090" s="5"/>
      <c r="S4090" s="5"/>
      <c r="T4090" s="5"/>
      <c r="U4090" s="5"/>
      <c r="V4090" s="5"/>
      <c r="W4090" s="5"/>
      <c r="X4090" s="5"/>
      <c r="Y4090" s="5"/>
      <c r="Z4090" s="5"/>
      <c r="AA4090" s="5"/>
      <c r="AC4090" t="e">
        <f ca="1">RANK(AB4090,OFFSET($AB$2,0,0,#REF!,1))</f>
        <v>#REF!</v>
      </c>
      <c r="AD4090" s="4" t="e">
        <f>InsurerSize(#REF!)</f>
        <v>#VALUE!</v>
      </c>
      <c r="AE4090" s="4" t="e">
        <f t="shared" si="75"/>
        <v>#VALUE!</v>
      </c>
    </row>
    <row r="4091" spans="8:31" x14ac:dyDescent="0.2">
      <c r="H4091" s="5"/>
      <c r="I4091" s="5"/>
      <c r="J4091" s="5"/>
      <c r="K4091" s="5"/>
      <c r="L4091" s="5"/>
      <c r="M4091" s="5"/>
      <c r="N4091" s="5"/>
      <c r="O4091" s="5"/>
      <c r="P4091" s="5"/>
      <c r="Q4091" s="5"/>
      <c r="R4091" s="5"/>
      <c r="S4091" s="5"/>
      <c r="T4091" s="5"/>
      <c r="U4091" s="5"/>
      <c r="V4091" s="5"/>
      <c r="W4091" s="5"/>
      <c r="X4091" s="5"/>
      <c r="Y4091" s="5"/>
      <c r="Z4091" s="5"/>
      <c r="AA4091" s="5"/>
      <c r="AC4091" t="e">
        <f ca="1">RANK(AB4091,OFFSET($AB$2,0,0,#REF!,1))</f>
        <v>#REF!</v>
      </c>
      <c r="AD4091" s="4" t="e">
        <f>InsurerSize(#REF!)</f>
        <v>#VALUE!</v>
      </c>
      <c r="AE4091" s="4" t="e">
        <f t="shared" si="75"/>
        <v>#VALUE!</v>
      </c>
    </row>
    <row r="4092" spans="8:31" x14ac:dyDescent="0.2">
      <c r="H4092" s="5"/>
      <c r="I4092" s="5"/>
      <c r="J4092" s="5"/>
      <c r="K4092" s="5"/>
      <c r="L4092" s="5"/>
      <c r="M4092" s="5"/>
      <c r="N4092" s="5"/>
      <c r="O4092" s="5"/>
      <c r="P4092" s="5"/>
      <c r="Q4092" s="5"/>
      <c r="R4092" s="5"/>
      <c r="S4092" s="5"/>
      <c r="T4092" s="5"/>
      <c r="U4092" s="5"/>
      <c r="V4092" s="5"/>
      <c r="W4092" s="5"/>
      <c r="X4092" s="5"/>
      <c r="Y4092" s="5"/>
      <c r="Z4092" s="5"/>
      <c r="AA4092" s="5"/>
      <c r="AC4092" t="e">
        <f ca="1">RANK(AB4092,OFFSET($AB$2,0,0,#REF!,1))</f>
        <v>#REF!</v>
      </c>
      <c r="AD4092" s="4" t="e">
        <f>InsurerSize(#REF!)</f>
        <v>#VALUE!</v>
      </c>
      <c r="AE4092" s="4" t="e">
        <f t="shared" si="75"/>
        <v>#VALUE!</v>
      </c>
    </row>
    <row r="4093" spans="8:31" x14ac:dyDescent="0.2">
      <c r="H4093" s="5"/>
      <c r="I4093" s="5"/>
      <c r="J4093" s="5"/>
      <c r="K4093" s="5"/>
      <c r="L4093" s="5"/>
      <c r="M4093" s="5"/>
      <c r="N4093" s="5"/>
      <c r="O4093" s="5"/>
      <c r="P4093" s="5"/>
      <c r="Q4093" s="5"/>
      <c r="R4093" s="5"/>
      <c r="S4093" s="5"/>
      <c r="T4093" s="5"/>
      <c r="U4093" s="5"/>
      <c r="V4093" s="5"/>
      <c r="W4093" s="5"/>
      <c r="X4093" s="5"/>
      <c r="Y4093" s="5"/>
      <c r="Z4093" s="5"/>
      <c r="AA4093" s="5"/>
      <c r="AC4093" t="e">
        <f ca="1">RANK(AB4093,OFFSET($AB$2,0,0,#REF!,1))</f>
        <v>#REF!</v>
      </c>
      <c r="AD4093" s="4" t="e">
        <f>InsurerSize(#REF!)</f>
        <v>#VALUE!</v>
      </c>
      <c r="AE4093" s="4" t="e">
        <f t="shared" si="75"/>
        <v>#VALUE!</v>
      </c>
    </row>
    <row r="4094" spans="8:31" x14ac:dyDescent="0.2">
      <c r="H4094" s="5"/>
      <c r="I4094" s="5"/>
      <c r="J4094" s="5"/>
      <c r="K4094" s="5"/>
      <c r="L4094" s="5"/>
      <c r="M4094" s="5"/>
      <c r="N4094" s="5"/>
      <c r="O4094" s="5"/>
      <c r="P4094" s="5"/>
      <c r="Q4094" s="5"/>
      <c r="R4094" s="5"/>
      <c r="S4094" s="5"/>
      <c r="T4094" s="5"/>
      <c r="U4094" s="5"/>
      <c r="V4094" s="5"/>
      <c r="W4094" s="5"/>
      <c r="X4094" s="5"/>
      <c r="Y4094" s="5"/>
      <c r="Z4094" s="5"/>
      <c r="AA4094" s="5"/>
      <c r="AC4094" t="e">
        <f ca="1">RANK(AB4094,OFFSET($AB$2,0,0,#REF!,1))</f>
        <v>#REF!</v>
      </c>
      <c r="AD4094" s="4" t="e">
        <f>InsurerSize(#REF!)</f>
        <v>#VALUE!</v>
      </c>
      <c r="AE4094" s="4" t="e">
        <f t="shared" si="75"/>
        <v>#VALUE!</v>
      </c>
    </row>
    <row r="4095" spans="8:31" x14ac:dyDescent="0.2">
      <c r="H4095" s="5"/>
      <c r="I4095" s="5"/>
      <c r="J4095" s="5"/>
      <c r="K4095" s="5"/>
      <c r="L4095" s="5"/>
      <c r="M4095" s="5"/>
      <c r="N4095" s="5"/>
      <c r="O4095" s="5"/>
      <c r="P4095" s="5"/>
      <c r="Q4095" s="5"/>
      <c r="R4095" s="5"/>
      <c r="S4095" s="5"/>
      <c r="T4095" s="5"/>
      <c r="U4095" s="5"/>
      <c r="V4095" s="5"/>
      <c r="W4095" s="5"/>
      <c r="X4095" s="5"/>
      <c r="Y4095" s="5"/>
      <c r="Z4095" s="5"/>
      <c r="AA4095" s="5"/>
      <c r="AC4095" t="e">
        <f ca="1">RANK(AB4095,OFFSET($AB$2,0,0,#REF!,1))</f>
        <v>#REF!</v>
      </c>
      <c r="AD4095" s="4" t="e">
        <f>InsurerSize(#REF!)</f>
        <v>#VALUE!</v>
      </c>
      <c r="AE4095" s="4" t="e">
        <f t="shared" si="75"/>
        <v>#VALUE!</v>
      </c>
    </row>
    <row r="4096" spans="8:31" x14ac:dyDescent="0.2">
      <c r="H4096" s="5"/>
      <c r="I4096" s="5"/>
      <c r="J4096" s="5"/>
      <c r="K4096" s="5"/>
      <c r="L4096" s="5"/>
      <c r="M4096" s="5"/>
      <c r="N4096" s="5"/>
      <c r="O4096" s="5"/>
      <c r="P4096" s="5"/>
      <c r="Q4096" s="5"/>
      <c r="R4096" s="5"/>
      <c r="S4096" s="5"/>
      <c r="T4096" s="5"/>
      <c r="U4096" s="5"/>
      <c r="V4096" s="5"/>
      <c r="W4096" s="5"/>
      <c r="X4096" s="5"/>
      <c r="Y4096" s="5"/>
      <c r="Z4096" s="5"/>
      <c r="AA4096" s="5"/>
      <c r="AC4096" t="e">
        <f ca="1">RANK(AB4096,OFFSET($AB$2,0,0,#REF!,1))</f>
        <v>#REF!</v>
      </c>
      <c r="AD4096" s="4" t="e">
        <f>InsurerSize(#REF!)</f>
        <v>#VALUE!</v>
      </c>
      <c r="AE4096" s="4" t="e">
        <f t="shared" si="75"/>
        <v>#VALUE!</v>
      </c>
    </row>
    <row r="4097" spans="8:31" x14ac:dyDescent="0.2">
      <c r="H4097" s="5"/>
      <c r="I4097" s="5"/>
      <c r="J4097" s="5"/>
      <c r="K4097" s="5"/>
      <c r="L4097" s="5"/>
      <c r="M4097" s="5"/>
      <c r="N4097" s="5"/>
      <c r="O4097" s="5"/>
      <c r="P4097" s="5"/>
      <c r="Q4097" s="5"/>
      <c r="R4097" s="5"/>
      <c r="S4097" s="5"/>
      <c r="T4097" s="5"/>
      <c r="U4097" s="5"/>
      <c r="V4097" s="5"/>
      <c r="W4097" s="5"/>
      <c r="X4097" s="5"/>
      <c r="Y4097" s="5"/>
      <c r="Z4097" s="5"/>
      <c r="AA4097" s="5"/>
      <c r="AC4097" t="e">
        <f ca="1">RANK(AB4097,OFFSET($AB$2,0,0,#REF!,1))</f>
        <v>#REF!</v>
      </c>
      <c r="AD4097" s="4" t="e">
        <f>InsurerSize(#REF!)</f>
        <v>#VALUE!</v>
      </c>
      <c r="AE4097" s="4" t="e">
        <f t="shared" si="75"/>
        <v>#VALUE!</v>
      </c>
    </row>
    <row r="4098" spans="8:31" x14ac:dyDescent="0.2">
      <c r="H4098" s="5"/>
      <c r="I4098" s="5"/>
      <c r="J4098" s="5"/>
      <c r="K4098" s="5"/>
      <c r="L4098" s="5"/>
      <c r="M4098" s="5"/>
      <c r="N4098" s="5"/>
      <c r="O4098" s="5"/>
      <c r="P4098" s="5"/>
      <c r="Q4098" s="5"/>
      <c r="R4098" s="5"/>
      <c r="S4098" s="5"/>
      <c r="T4098" s="5"/>
      <c r="U4098" s="5"/>
      <c r="V4098" s="5"/>
      <c r="W4098" s="5"/>
      <c r="X4098" s="5"/>
      <c r="Y4098" s="5"/>
      <c r="Z4098" s="5"/>
      <c r="AA4098" s="5"/>
      <c r="AC4098" t="e">
        <f ca="1">RANK(AB4098,OFFSET($AB$2,0,0,#REF!,1))</f>
        <v>#REF!</v>
      </c>
      <c r="AD4098" s="4" t="e">
        <f>InsurerSize(#REF!)</f>
        <v>#VALUE!</v>
      </c>
      <c r="AE4098" s="4" t="e">
        <f t="shared" ref="AE4098:AE4161" si="76">A4098&amp;AD4098</f>
        <v>#VALUE!</v>
      </c>
    </row>
    <row r="4099" spans="8:31" x14ac:dyDescent="0.2">
      <c r="H4099" s="5"/>
      <c r="I4099" s="5"/>
      <c r="J4099" s="5"/>
      <c r="K4099" s="5"/>
      <c r="L4099" s="5"/>
      <c r="M4099" s="5"/>
      <c r="N4099" s="5"/>
      <c r="O4099" s="5"/>
      <c r="P4099" s="5"/>
      <c r="Q4099" s="5"/>
      <c r="R4099" s="5"/>
      <c r="S4099" s="5"/>
      <c r="T4099" s="5"/>
      <c r="U4099" s="5"/>
      <c r="V4099" s="5"/>
      <c r="W4099" s="5"/>
      <c r="X4099" s="5"/>
      <c r="Y4099" s="5"/>
      <c r="Z4099" s="5"/>
      <c r="AA4099" s="5"/>
      <c r="AC4099" t="e">
        <f ca="1">RANK(AB4099,OFFSET($AB$2,0,0,#REF!,1))</f>
        <v>#REF!</v>
      </c>
      <c r="AD4099" s="4" t="e">
        <f>InsurerSize(#REF!)</f>
        <v>#VALUE!</v>
      </c>
      <c r="AE4099" s="4" t="e">
        <f t="shared" si="76"/>
        <v>#VALUE!</v>
      </c>
    </row>
    <row r="4100" spans="8:31" x14ac:dyDescent="0.2">
      <c r="H4100" s="5"/>
      <c r="I4100" s="5"/>
      <c r="J4100" s="5"/>
      <c r="K4100" s="5"/>
      <c r="L4100" s="5"/>
      <c r="M4100" s="5"/>
      <c r="N4100" s="5"/>
      <c r="O4100" s="5"/>
      <c r="P4100" s="5"/>
      <c r="Q4100" s="5"/>
      <c r="R4100" s="5"/>
      <c r="S4100" s="5"/>
      <c r="T4100" s="5"/>
      <c r="U4100" s="5"/>
      <c r="V4100" s="5"/>
      <c r="W4100" s="5"/>
      <c r="X4100" s="5"/>
      <c r="Y4100" s="5"/>
      <c r="Z4100" s="5"/>
      <c r="AA4100" s="5"/>
      <c r="AC4100" t="e">
        <f ca="1">RANK(AB4100,OFFSET($AB$2,0,0,#REF!,1))</f>
        <v>#REF!</v>
      </c>
      <c r="AD4100" s="4" t="e">
        <f>InsurerSize(#REF!)</f>
        <v>#VALUE!</v>
      </c>
      <c r="AE4100" s="4" t="e">
        <f t="shared" si="76"/>
        <v>#VALUE!</v>
      </c>
    </row>
    <row r="4101" spans="8:31" x14ac:dyDescent="0.2">
      <c r="H4101" s="5"/>
      <c r="I4101" s="5"/>
      <c r="J4101" s="5"/>
      <c r="K4101" s="5"/>
      <c r="L4101" s="5"/>
      <c r="M4101" s="5"/>
      <c r="N4101" s="5"/>
      <c r="O4101" s="5"/>
      <c r="P4101" s="5"/>
      <c r="Q4101" s="5"/>
      <c r="R4101" s="5"/>
      <c r="S4101" s="5"/>
      <c r="T4101" s="5"/>
      <c r="U4101" s="5"/>
      <c r="V4101" s="5"/>
      <c r="W4101" s="5"/>
      <c r="X4101" s="5"/>
      <c r="Y4101" s="5"/>
      <c r="Z4101" s="5"/>
      <c r="AA4101" s="5"/>
      <c r="AC4101" t="e">
        <f ca="1">RANK(AB4101,OFFSET($AB$2,0,0,#REF!,1))</f>
        <v>#REF!</v>
      </c>
      <c r="AD4101" s="4" t="e">
        <f>InsurerSize(#REF!)</f>
        <v>#VALUE!</v>
      </c>
      <c r="AE4101" s="4" t="e">
        <f t="shared" si="76"/>
        <v>#VALUE!</v>
      </c>
    </row>
    <row r="4102" spans="8:31" x14ac:dyDescent="0.2">
      <c r="H4102" s="5"/>
      <c r="I4102" s="5"/>
      <c r="J4102" s="5"/>
      <c r="K4102" s="5"/>
      <c r="L4102" s="5"/>
      <c r="M4102" s="5"/>
      <c r="N4102" s="5"/>
      <c r="O4102" s="5"/>
      <c r="P4102" s="5"/>
      <c r="Q4102" s="5"/>
      <c r="R4102" s="5"/>
      <c r="S4102" s="5"/>
      <c r="T4102" s="5"/>
      <c r="U4102" s="5"/>
      <c r="V4102" s="5"/>
      <c r="W4102" s="5"/>
      <c r="X4102" s="5"/>
      <c r="Y4102" s="5"/>
      <c r="Z4102" s="5"/>
      <c r="AA4102" s="5"/>
      <c r="AC4102" t="e">
        <f ca="1">RANK(AB4102,OFFSET($AB$2,0,0,#REF!,1))</f>
        <v>#REF!</v>
      </c>
      <c r="AD4102" s="4" t="e">
        <f>InsurerSize(#REF!)</f>
        <v>#VALUE!</v>
      </c>
      <c r="AE4102" s="4" t="e">
        <f t="shared" si="76"/>
        <v>#VALUE!</v>
      </c>
    </row>
    <row r="4103" spans="8:31" x14ac:dyDescent="0.2">
      <c r="H4103" s="5"/>
      <c r="I4103" s="5"/>
      <c r="J4103" s="5"/>
      <c r="K4103" s="5"/>
      <c r="L4103" s="5"/>
      <c r="M4103" s="5"/>
      <c r="N4103" s="5"/>
      <c r="O4103" s="5"/>
      <c r="P4103" s="5"/>
      <c r="Q4103" s="5"/>
      <c r="R4103" s="5"/>
      <c r="S4103" s="5"/>
      <c r="T4103" s="5"/>
      <c r="U4103" s="5"/>
      <c r="V4103" s="5"/>
      <c r="W4103" s="5"/>
      <c r="X4103" s="5"/>
      <c r="Y4103" s="5"/>
      <c r="Z4103" s="5"/>
      <c r="AA4103" s="5"/>
      <c r="AC4103" t="e">
        <f ca="1">RANK(AB4103,OFFSET($AB$2,0,0,#REF!,1))</f>
        <v>#REF!</v>
      </c>
      <c r="AD4103" s="4" t="e">
        <f>InsurerSize(#REF!)</f>
        <v>#VALUE!</v>
      </c>
      <c r="AE4103" s="4" t="e">
        <f t="shared" si="76"/>
        <v>#VALUE!</v>
      </c>
    </row>
    <row r="4104" spans="8:31" x14ac:dyDescent="0.2">
      <c r="H4104" s="5"/>
      <c r="I4104" s="5"/>
      <c r="J4104" s="5"/>
      <c r="K4104" s="5"/>
      <c r="L4104" s="5"/>
      <c r="M4104" s="5"/>
      <c r="N4104" s="5"/>
      <c r="O4104" s="5"/>
      <c r="P4104" s="5"/>
      <c r="Q4104" s="5"/>
      <c r="R4104" s="5"/>
      <c r="S4104" s="5"/>
      <c r="T4104" s="5"/>
      <c r="U4104" s="5"/>
      <c r="V4104" s="5"/>
      <c r="W4104" s="5"/>
      <c r="X4104" s="5"/>
      <c r="Y4104" s="5"/>
      <c r="Z4104" s="5"/>
      <c r="AA4104" s="5"/>
      <c r="AC4104" t="e">
        <f ca="1">RANK(AB4104,OFFSET($AB$2,0,0,#REF!,1))</f>
        <v>#REF!</v>
      </c>
      <c r="AD4104" s="4" t="e">
        <f>InsurerSize(#REF!)</f>
        <v>#VALUE!</v>
      </c>
      <c r="AE4104" s="4" t="e">
        <f t="shared" si="76"/>
        <v>#VALUE!</v>
      </c>
    </row>
    <row r="4105" spans="8:31" x14ac:dyDescent="0.2">
      <c r="H4105" s="5"/>
      <c r="I4105" s="5"/>
      <c r="J4105" s="5"/>
      <c r="K4105" s="5"/>
      <c r="L4105" s="5"/>
      <c r="M4105" s="5"/>
      <c r="N4105" s="5"/>
      <c r="O4105" s="5"/>
      <c r="P4105" s="5"/>
      <c r="Q4105" s="5"/>
      <c r="R4105" s="5"/>
      <c r="S4105" s="5"/>
      <c r="T4105" s="5"/>
      <c r="U4105" s="5"/>
      <c r="V4105" s="5"/>
      <c r="W4105" s="5"/>
      <c r="X4105" s="5"/>
      <c r="Y4105" s="5"/>
      <c r="Z4105" s="5"/>
      <c r="AA4105" s="5"/>
      <c r="AC4105" t="e">
        <f ca="1">RANK(AB4105,OFFSET($AB$2,0,0,#REF!,1))</f>
        <v>#REF!</v>
      </c>
      <c r="AD4105" s="4" t="e">
        <f>InsurerSize(#REF!)</f>
        <v>#VALUE!</v>
      </c>
      <c r="AE4105" s="4" t="e">
        <f t="shared" si="76"/>
        <v>#VALUE!</v>
      </c>
    </row>
    <row r="4106" spans="8:31" x14ac:dyDescent="0.2">
      <c r="H4106" s="5"/>
      <c r="I4106" s="5"/>
      <c r="J4106" s="5"/>
      <c r="K4106" s="5"/>
      <c r="L4106" s="5"/>
      <c r="M4106" s="5"/>
      <c r="N4106" s="5"/>
      <c r="O4106" s="5"/>
      <c r="P4106" s="5"/>
      <c r="Q4106" s="5"/>
      <c r="R4106" s="5"/>
      <c r="S4106" s="5"/>
      <c r="T4106" s="5"/>
      <c r="U4106" s="5"/>
      <c r="V4106" s="5"/>
      <c r="W4106" s="5"/>
      <c r="X4106" s="5"/>
      <c r="Y4106" s="5"/>
      <c r="Z4106" s="5"/>
      <c r="AA4106" s="5"/>
      <c r="AC4106" t="e">
        <f ca="1">RANK(AB4106,OFFSET($AB$2,0,0,#REF!,1))</f>
        <v>#REF!</v>
      </c>
      <c r="AD4106" s="4" t="e">
        <f>InsurerSize(#REF!)</f>
        <v>#VALUE!</v>
      </c>
      <c r="AE4106" s="4" t="e">
        <f t="shared" si="76"/>
        <v>#VALUE!</v>
      </c>
    </row>
    <row r="4107" spans="8:31" x14ac:dyDescent="0.2">
      <c r="H4107" s="5"/>
      <c r="I4107" s="5"/>
      <c r="J4107" s="5"/>
      <c r="K4107" s="5"/>
      <c r="L4107" s="5"/>
      <c r="M4107" s="5"/>
      <c r="N4107" s="5"/>
      <c r="O4107" s="5"/>
      <c r="P4107" s="5"/>
      <c r="Q4107" s="5"/>
      <c r="R4107" s="5"/>
      <c r="S4107" s="5"/>
      <c r="T4107" s="5"/>
      <c r="U4107" s="5"/>
      <c r="V4107" s="5"/>
      <c r="W4107" s="5"/>
      <c r="X4107" s="5"/>
      <c r="Y4107" s="5"/>
      <c r="Z4107" s="5"/>
      <c r="AA4107" s="5"/>
      <c r="AC4107" t="e">
        <f ca="1">RANK(AB4107,OFFSET($AB$2,0,0,#REF!,1))</f>
        <v>#REF!</v>
      </c>
      <c r="AD4107" s="4" t="e">
        <f>InsurerSize(#REF!)</f>
        <v>#VALUE!</v>
      </c>
      <c r="AE4107" s="4" t="e">
        <f t="shared" si="76"/>
        <v>#VALUE!</v>
      </c>
    </row>
    <row r="4108" spans="8:31" x14ac:dyDescent="0.2">
      <c r="H4108" s="5"/>
      <c r="I4108" s="5"/>
      <c r="J4108" s="5"/>
      <c r="K4108" s="5"/>
      <c r="L4108" s="5"/>
      <c r="M4108" s="5"/>
      <c r="N4108" s="5"/>
      <c r="O4108" s="5"/>
      <c r="P4108" s="5"/>
      <c r="Q4108" s="5"/>
      <c r="R4108" s="5"/>
      <c r="S4108" s="5"/>
      <c r="T4108" s="5"/>
      <c r="U4108" s="5"/>
      <c r="V4108" s="5"/>
      <c r="W4108" s="5"/>
      <c r="X4108" s="5"/>
      <c r="Y4108" s="5"/>
      <c r="Z4108" s="5"/>
      <c r="AA4108" s="5"/>
      <c r="AC4108" t="e">
        <f ca="1">RANK(AB4108,OFFSET($AB$2,0,0,#REF!,1))</f>
        <v>#REF!</v>
      </c>
      <c r="AD4108" s="4" t="e">
        <f>InsurerSize(#REF!)</f>
        <v>#VALUE!</v>
      </c>
      <c r="AE4108" s="4" t="e">
        <f t="shared" si="76"/>
        <v>#VALUE!</v>
      </c>
    </row>
    <row r="4109" spans="8:31" x14ac:dyDescent="0.2">
      <c r="H4109" s="5"/>
      <c r="I4109" s="5"/>
      <c r="J4109" s="5"/>
      <c r="K4109" s="5"/>
      <c r="L4109" s="5"/>
      <c r="M4109" s="5"/>
      <c r="N4109" s="5"/>
      <c r="O4109" s="5"/>
      <c r="P4109" s="5"/>
      <c r="Q4109" s="5"/>
      <c r="R4109" s="5"/>
      <c r="S4109" s="5"/>
      <c r="T4109" s="5"/>
      <c r="U4109" s="5"/>
      <c r="V4109" s="5"/>
      <c r="W4109" s="5"/>
      <c r="X4109" s="5"/>
      <c r="Y4109" s="5"/>
      <c r="Z4109" s="5"/>
      <c r="AA4109" s="5"/>
      <c r="AC4109" t="e">
        <f ca="1">RANK(AB4109,OFFSET($AB$2,0,0,#REF!,1))</f>
        <v>#REF!</v>
      </c>
      <c r="AD4109" s="4" t="e">
        <f>InsurerSize(#REF!)</f>
        <v>#VALUE!</v>
      </c>
      <c r="AE4109" s="4" t="e">
        <f t="shared" si="76"/>
        <v>#VALUE!</v>
      </c>
    </row>
    <row r="4110" spans="8:31" x14ac:dyDescent="0.2">
      <c r="H4110" s="5"/>
      <c r="I4110" s="5"/>
      <c r="J4110" s="5"/>
      <c r="K4110" s="5"/>
      <c r="L4110" s="5"/>
      <c r="M4110" s="5"/>
      <c r="N4110" s="5"/>
      <c r="O4110" s="5"/>
      <c r="P4110" s="5"/>
      <c r="Q4110" s="5"/>
      <c r="R4110" s="5"/>
      <c r="S4110" s="5"/>
      <c r="T4110" s="5"/>
      <c r="U4110" s="5"/>
      <c r="V4110" s="5"/>
      <c r="W4110" s="5"/>
      <c r="X4110" s="5"/>
      <c r="Y4110" s="5"/>
      <c r="Z4110" s="5"/>
      <c r="AA4110" s="5"/>
      <c r="AC4110" t="e">
        <f ca="1">RANK(AB4110,OFFSET($AB$2,0,0,#REF!,1))</f>
        <v>#REF!</v>
      </c>
      <c r="AD4110" s="4" t="e">
        <f>InsurerSize(#REF!)</f>
        <v>#VALUE!</v>
      </c>
      <c r="AE4110" s="4" t="e">
        <f t="shared" si="76"/>
        <v>#VALUE!</v>
      </c>
    </row>
    <row r="4111" spans="8:31" x14ac:dyDescent="0.2">
      <c r="H4111" s="5"/>
      <c r="I4111" s="5"/>
      <c r="J4111" s="5"/>
      <c r="K4111" s="5"/>
      <c r="L4111" s="5"/>
      <c r="M4111" s="5"/>
      <c r="N4111" s="5"/>
      <c r="O4111" s="5"/>
      <c r="P4111" s="5"/>
      <c r="Q4111" s="5"/>
      <c r="R4111" s="5"/>
      <c r="S4111" s="5"/>
      <c r="T4111" s="5"/>
      <c r="U4111" s="5"/>
      <c r="V4111" s="5"/>
      <c r="W4111" s="5"/>
      <c r="X4111" s="5"/>
      <c r="Y4111" s="5"/>
      <c r="Z4111" s="5"/>
      <c r="AA4111" s="5"/>
      <c r="AC4111" t="e">
        <f ca="1">RANK(AB4111,OFFSET($AB$2,0,0,#REF!,1))</f>
        <v>#REF!</v>
      </c>
      <c r="AD4111" s="4" t="e">
        <f>InsurerSize(#REF!)</f>
        <v>#VALUE!</v>
      </c>
      <c r="AE4111" s="4" t="e">
        <f t="shared" si="76"/>
        <v>#VALUE!</v>
      </c>
    </row>
    <row r="4112" spans="8:31" x14ac:dyDescent="0.2">
      <c r="H4112" s="5"/>
      <c r="I4112" s="5"/>
      <c r="J4112" s="5"/>
      <c r="K4112" s="5"/>
      <c r="L4112" s="5"/>
      <c r="M4112" s="5"/>
      <c r="N4112" s="5"/>
      <c r="O4112" s="5"/>
      <c r="P4112" s="5"/>
      <c r="Q4112" s="5"/>
      <c r="R4112" s="5"/>
      <c r="S4112" s="5"/>
      <c r="T4112" s="5"/>
      <c r="U4112" s="5"/>
      <c r="V4112" s="5"/>
      <c r="W4112" s="5"/>
      <c r="X4112" s="5"/>
      <c r="Y4112" s="5"/>
      <c r="Z4112" s="5"/>
      <c r="AA4112" s="5"/>
      <c r="AC4112" t="e">
        <f ca="1">RANK(AB4112,OFFSET($AB$2,0,0,#REF!,1))</f>
        <v>#REF!</v>
      </c>
      <c r="AD4112" s="4" t="e">
        <f>InsurerSize(#REF!)</f>
        <v>#VALUE!</v>
      </c>
      <c r="AE4112" s="4" t="e">
        <f t="shared" si="76"/>
        <v>#VALUE!</v>
      </c>
    </row>
    <row r="4113" spans="8:31" x14ac:dyDescent="0.2">
      <c r="H4113" s="5"/>
      <c r="I4113" s="5"/>
      <c r="J4113" s="5"/>
      <c r="K4113" s="5"/>
      <c r="L4113" s="5"/>
      <c r="M4113" s="5"/>
      <c r="N4113" s="5"/>
      <c r="O4113" s="5"/>
      <c r="P4113" s="5"/>
      <c r="Q4113" s="5"/>
      <c r="R4113" s="5"/>
      <c r="S4113" s="5"/>
      <c r="T4113" s="5"/>
      <c r="U4113" s="5"/>
      <c r="V4113" s="5"/>
      <c r="W4113" s="5"/>
      <c r="X4113" s="5"/>
      <c r="Y4113" s="5"/>
      <c r="Z4113" s="5"/>
      <c r="AA4113" s="5"/>
      <c r="AC4113" t="e">
        <f ca="1">RANK(AB4113,OFFSET($AB$2,0,0,#REF!,1))</f>
        <v>#REF!</v>
      </c>
      <c r="AD4113" s="4" t="e">
        <f>InsurerSize(#REF!)</f>
        <v>#VALUE!</v>
      </c>
      <c r="AE4113" s="4" t="e">
        <f t="shared" si="76"/>
        <v>#VALUE!</v>
      </c>
    </row>
    <row r="4114" spans="8:31" x14ac:dyDescent="0.2">
      <c r="H4114" s="5"/>
      <c r="I4114" s="5"/>
      <c r="J4114" s="5"/>
      <c r="K4114" s="5"/>
      <c r="L4114" s="5"/>
      <c r="M4114" s="5"/>
      <c r="N4114" s="5"/>
      <c r="O4114" s="5"/>
      <c r="P4114" s="5"/>
      <c r="Q4114" s="5"/>
      <c r="R4114" s="5"/>
      <c r="S4114" s="5"/>
      <c r="T4114" s="5"/>
      <c r="U4114" s="5"/>
      <c r="V4114" s="5"/>
      <c r="W4114" s="5"/>
      <c r="X4114" s="5"/>
      <c r="Y4114" s="5"/>
      <c r="Z4114" s="5"/>
      <c r="AA4114" s="5"/>
      <c r="AC4114" t="e">
        <f ca="1">RANK(AB4114,OFFSET($AB$2,0,0,#REF!,1))</f>
        <v>#REF!</v>
      </c>
      <c r="AD4114" s="4" t="e">
        <f>InsurerSize(#REF!)</f>
        <v>#VALUE!</v>
      </c>
      <c r="AE4114" s="4" t="e">
        <f t="shared" si="76"/>
        <v>#VALUE!</v>
      </c>
    </row>
    <row r="4115" spans="8:31" x14ac:dyDescent="0.2">
      <c r="H4115" s="5"/>
      <c r="I4115" s="5"/>
      <c r="J4115" s="5"/>
      <c r="K4115" s="5"/>
      <c r="L4115" s="5"/>
      <c r="M4115" s="5"/>
      <c r="N4115" s="5"/>
      <c r="O4115" s="5"/>
      <c r="P4115" s="5"/>
      <c r="Q4115" s="5"/>
      <c r="R4115" s="5"/>
      <c r="S4115" s="5"/>
      <c r="T4115" s="5"/>
      <c r="U4115" s="5"/>
      <c r="V4115" s="5"/>
      <c r="W4115" s="5"/>
      <c r="X4115" s="5"/>
      <c r="Y4115" s="5"/>
      <c r="Z4115" s="5"/>
      <c r="AA4115" s="5"/>
      <c r="AC4115" t="e">
        <f ca="1">RANK(AB4115,OFFSET($AB$2,0,0,#REF!,1))</f>
        <v>#REF!</v>
      </c>
      <c r="AD4115" s="4" t="e">
        <f>InsurerSize(#REF!)</f>
        <v>#VALUE!</v>
      </c>
      <c r="AE4115" s="4" t="e">
        <f t="shared" si="76"/>
        <v>#VALUE!</v>
      </c>
    </row>
    <row r="4116" spans="8:31" x14ac:dyDescent="0.2">
      <c r="H4116" s="5"/>
      <c r="I4116" s="5"/>
      <c r="J4116" s="5"/>
      <c r="K4116" s="5"/>
      <c r="L4116" s="5"/>
      <c r="M4116" s="5"/>
      <c r="N4116" s="5"/>
      <c r="O4116" s="5"/>
      <c r="P4116" s="5"/>
      <c r="Q4116" s="5"/>
      <c r="R4116" s="5"/>
      <c r="S4116" s="5"/>
      <c r="T4116" s="5"/>
      <c r="U4116" s="5"/>
      <c r="V4116" s="5"/>
      <c r="W4116" s="5"/>
      <c r="X4116" s="5"/>
      <c r="Y4116" s="5"/>
      <c r="Z4116" s="5"/>
      <c r="AA4116" s="5"/>
      <c r="AC4116" t="e">
        <f ca="1">RANK(AB4116,OFFSET($AB$2,0,0,#REF!,1))</f>
        <v>#REF!</v>
      </c>
      <c r="AD4116" s="4" t="e">
        <f>InsurerSize(#REF!)</f>
        <v>#VALUE!</v>
      </c>
      <c r="AE4116" s="4" t="e">
        <f t="shared" si="76"/>
        <v>#VALUE!</v>
      </c>
    </row>
    <row r="4117" spans="8:31" x14ac:dyDescent="0.2">
      <c r="H4117" s="5"/>
      <c r="I4117" s="5"/>
      <c r="J4117" s="5"/>
      <c r="K4117" s="5"/>
      <c r="L4117" s="5"/>
      <c r="M4117" s="5"/>
      <c r="N4117" s="5"/>
      <c r="O4117" s="5"/>
      <c r="P4117" s="5"/>
      <c r="Q4117" s="5"/>
      <c r="R4117" s="5"/>
      <c r="S4117" s="5"/>
      <c r="T4117" s="5"/>
      <c r="U4117" s="5"/>
      <c r="V4117" s="5"/>
      <c r="W4117" s="5"/>
      <c r="X4117" s="5"/>
      <c r="Y4117" s="5"/>
      <c r="Z4117" s="5"/>
      <c r="AA4117" s="5"/>
      <c r="AC4117" t="e">
        <f ca="1">RANK(AB4117,OFFSET($AB$2,0,0,#REF!,1))</f>
        <v>#REF!</v>
      </c>
      <c r="AD4117" s="4" t="e">
        <f>InsurerSize(#REF!)</f>
        <v>#VALUE!</v>
      </c>
      <c r="AE4117" s="4" t="e">
        <f t="shared" si="76"/>
        <v>#VALUE!</v>
      </c>
    </row>
    <row r="4118" spans="8:31" x14ac:dyDescent="0.2">
      <c r="H4118" s="5"/>
      <c r="I4118" s="5"/>
      <c r="J4118" s="5"/>
      <c r="K4118" s="5"/>
      <c r="L4118" s="5"/>
      <c r="M4118" s="5"/>
      <c r="N4118" s="5"/>
      <c r="O4118" s="5"/>
      <c r="P4118" s="5"/>
      <c r="Q4118" s="5"/>
      <c r="R4118" s="5"/>
      <c r="S4118" s="5"/>
      <c r="T4118" s="5"/>
      <c r="U4118" s="5"/>
      <c r="V4118" s="5"/>
      <c r="W4118" s="5"/>
      <c r="X4118" s="5"/>
      <c r="Y4118" s="5"/>
      <c r="Z4118" s="5"/>
      <c r="AA4118" s="5"/>
      <c r="AC4118" t="e">
        <f ca="1">RANK(AB4118,OFFSET($AB$2,0,0,#REF!,1))</f>
        <v>#REF!</v>
      </c>
      <c r="AD4118" s="4" t="e">
        <f>InsurerSize(#REF!)</f>
        <v>#VALUE!</v>
      </c>
      <c r="AE4118" s="4" t="e">
        <f t="shared" si="76"/>
        <v>#VALUE!</v>
      </c>
    </row>
    <row r="4119" spans="8:31" x14ac:dyDescent="0.2">
      <c r="H4119" s="5"/>
      <c r="I4119" s="5"/>
      <c r="J4119" s="5"/>
      <c r="K4119" s="5"/>
      <c r="L4119" s="5"/>
      <c r="M4119" s="5"/>
      <c r="N4119" s="5"/>
      <c r="O4119" s="5"/>
      <c r="P4119" s="5"/>
      <c r="Q4119" s="5"/>
      <c r="R4119" s="5"/>
      <c r="S4119" s="5"/>
      <c r="T4119" s="5"/>
      <c r="U4119" s="5"/>
      <c r="V4119" s="5"/>
      <c r="W4119" s="5"/>
      <c r="X4119" s="5"/>
      <c r="Y4119" s="5"/>
      <c r="Z4119" s="5"/>
      <c r="AA4119" s="5"/>
      <c r="AC4119" t="e">
        <f ca="1">RANK(AB4119,OFFSET($AB$2,0,0,#REF!,1))</f>
        <v>#REF!</v>
      </c>
      <c r="AD4119" s="4" t="e">
        <f>InsurerSize(#REF!)</f>
        <v>#VALUE!</v>
      </c>
      <c r="AE4119" s="4" t="e">
        <f t="shared" si="76"/>
        <v>#VALUE!</v>
      </c>
    </row>
    <row r="4120" spans="8:31" x14ac:dyDescent="0.2">
      <c r="H4120" s="5"/>
      <c r="I4120" s="5"/>
      <c r="J4120" s="5"/>
      <c r="K4120" s="5"/>
      <c r="L4120" s="5"/>
      <c r="M4120" s="5"/>
      <c r="N4120" s="5"/>
      <c r="O4120" s="5"/>
      <c r="P4120" s="5"/>
      <c r="Q4120" s="5"/>
      <c r="R4120" s="5"/>
      <c r="S4120" s="5"/>
      <c r="T4120" s="5"/>
      <c r="U4120" s="5"/>
      <c r="V4120" s="5"/>
      <c r="W4120" s="5"/>
      <c r="X4120" s="5"/>
      <c r="Y4120" s="5"/>
      <c r="Z4120" s="5"/>
      <c r="AA4120" s="5"/>
      <c r="AC4120" t="e">
        <f ca="1">RANK(AB4120,OFFSET($AB$2,0,0,#REF!,1))</f>
        <v>#REF!</v>
      </c>
      <c r="AD4120" s="4" t="e">
        <f>InsurerSize(#REF!)</f>
        <v>#VALUE!</v>
      </c>
      <c r="AE4120" s="4" t="e">
        <f t="shared" si="76"/>
        <v>#VALUE!</v>
      </c>
    </row>
    <row r="4121" spans="8:31" x14ac:dyDescent="0.2">
      <c r="H4121" s="5"/>
      <c r="I4121" s="5"/>
      <c r="J4121" s="5"/>
      <c r="K4121" s="5"/>
      <c r="L4121" s="5"/>
      <c r="M4121" s="5"/>
      <c r="N4121" s="5"/>
      <c r="O4121" s="5"/>
      <c r="P4121" s="5"/>
      <c r="Q4121" s="5"/>
      <c r="R4121" s="5"/>
      <c r="S4121" s="5"/>
      <c r="T4121" s="5"/>
      <c r="U4121" s="5"/>
      <c r="V4121" s="5"/>
      <c r="W4121" s="5"/>
      <c r="X4121" s="5"/>
      <c r="Y4121" s="5"/>
      <c r="Z4121" s="5"/>
      <c r="AA4121" s="5"/>
      <c r="AC4121" t="e">
        <f ca="1">RANK(AB4121,OFFSET($AB$2,0,0,#REF!,1))</f>
        <v>#REF!</v>
      </c>
      <c r="AD4121" s="4" t="e">
        <f>InsurerSize(#REF!)</f>
        <v>#VALUE!</v>
      </c>
      <c r="AE4121" s="4" t="e">
        <f t="shared" si="76"/>
        <v>#VALUE!</v>
      </c>
    </row>
    <row r="4122" spans="8:31" x14ac:dyDescent="0.2">
      <c r="H4122" s="5"/>
      <c r="I4122" s="5"/>
      <c r="J4122" s="5"/>
      <c r="K4122" s="5"/>
      <c r="L4122" s="5"/>
      <c r="M4122" s="5"/>
      <c r="N4122" s="5"/>
      <c r="O4122" s="5"/>
      <c r="P4122" s="5"/>
      <c r="Q4122" s="5"/>
      <c r="R4122" s="5"/>
      <c r="S4122" s="5"/>
      <c r="T4122" s="5"/>
      <c r="U4122" s="5"/>
      <c r="V4122" s="5"/>
      <c r="W4122" s="5"/>
      <c r="X4122" s="5"/>
      <c r="Y4122" s="5"/>
      <c r="Z4122" s="5"/>
      <c r="AA4122" s="5"/>
      <c r="AC4122" t="e">
        <f ca="1">RANK(AB4122,OFFSET($AB$2,0,0,#REF!,1))</f>
        <v>#REF!</v>
      </c>
      <c r="AD4122" s="4" t="e">
        <f>InsurerSize(#REF!)</f>
        <v>#VALUE!</v>
      </c>
      <c r="AE4122" s="4" t="e">
        <f t="shared" si="76"/>
        <v>#VALUE!</v>
      </c>
    </row>
    <row r="4123" spans="8:31" x14ac:dyDescent="0.2">
      <c r="H4123" s="5"/>
      <c r="I4123" s="5"/>
      <c r="J4123" s="5"/>
      <c r="K4123" s="5"/>
      <c r="L4123" s="5"/>
      <c r="M4123" s="5"/>
      <c r="N4123" s="5"/>
      <c r="O4123" s="5"/>
      <c r="P4123" s="5"/>
      <c r="Q4123" s="5"/>
      <c r="R4123" s="5"/>
      <c r="S4123" s="5"/>
      <c r="T4123" s="5"/>
      <c r="U4123" s="5"/>
      <c r="V4123" s="5"/>
      <c r="W4123" s="5"/>
      <c r="X4123" s="5"/>
      <c r="Y4123" s="5"/>
      <c r="Z4123" s="5"/>
      <c r="AA4123" s="5"/>
      <c r="AC4123" t="e">
        <f ca="1">RANK(AB4123,OFFSET($AB$2,0,0,#REF!,1))</f>
        <v>#REF!</v>
      </c>
      <c r="AD4123" s="4" t="e">
        <f>InsurerSize(#REF!)</f>
        <v>#VALUE!</v>
      </c>
      <c r="AE4123" s="4" t="e">
        <f t="shared" si="76"/>
        <v>#VALUE!</v>
      </c>
    </row>
    <row r="4124" spans="8:31" x14ac:dyDescent="0.2">
      <c r="H4124" s="5"/>
      <c r="I4124" s="5"/>
      <c r="J4124" s="5"/>
      <c r="K4124" s="5"/>
      <c r="L4124" s="5"/>
      <c r="M4124" s="5"/>
      <c r="N4124" s="5"/>
      <c r="O4124" s="5"/>
      <c r="P4124" s="5"/>
      <c r="Q4124" s="5"/>
      <c r="R4124" s="5"/>
      <c r="S4124" s="5"/>
      <c r="T4124" s="5"/>
      <c r="U4124" s="5"/>
      <c r="V4124" s="5"/>
      <c r="W4124" s="5"/>
      <c r="X4124" s="5"/>
      <c r="Y4124" s="5"/>
      <c r="Z4124" s="5"/>
      <c r="AA4124" s="5"/>
      <c r="AC4124" t="e">
        <f ca="1">RANK(AB4124,OFFSET($AB$2,0,0,#REF!,1))</f>
        <v>#REF!</v>
      </c>
      <c r="AD4124" s="4" t="e">
        <f>InsurerSize(#REF!)</f>
        <v>#VALUE!</v>
      </c>
      <c r="AE4124" s="4" t="e">
        <f t="shared" si="76"/>
        <v>#VALUE!</v>
      </c>
    </row>
    <row r="4125" spans="8:31" x14ac:dyDescent="0.2">
      <c r="H4125" s="5"/>
      <c r="I4125" s="5"/>
      <c r="J4125" s="5"/>
      <c r="K4125" s="5"/>
      <c r="L4125" s="5"/>
      <c r="M4125" s="5"/>
      <c r="N4125" s="5"/>
      <c r="O4125" s="5"/>
      <c r="P4125" s="5"/>
      <c r="Q4125" s="5"/>
      <c r="R4125" s="5"/>
      <c r="S4125" s="5"/>
      <c r="T4125" s="5"/>
      <c r="U4125" s="5"/>
      <c r="V4125" s="5"/>
      <c r="W4125" s="5"/>
      <c r="X4125" s="5"/>
      <c r="Y4125" s="5"/>
      <c r="Z4125" s="5"/>
      <c r="AA4125" s="5"/>
      <c r="AC4125" t="e">
        <f ca="1">RANK(AB4125,OFFSET($AB$2,0,0,#REF!,1))</f>
        <v>#REF!</v>
      </c>
      <c r="AD4125" s="4" t="e">
        <f>InsurerSize(#REF!)</f>
        <v>#VALUE!</v>
      </c>
      <c r="AE4125" s="4" t="e">
        <f t="shared" si="76"/>
        <v>#VALUE!</v>
      </c>
    </row>
    <row r="4126" spans="8:31" x14ac:dyDescent="0.2">
      <c r="H4126" s="5"/>
      <c r="I4126" s="5"/>
      <c r="J4126" s="5"/>
      <c r="K4126" s="5"/>
      <c r="L4126" s="5"/>
      <c r="M4126" s="5"/>
      <c r="N4126" s="5"/>
      <c r="O4126" s="5"/>
      <c r="P4126" s="5"/>
      <c r="Q4126" s="5"/>
      <c r="R4126" s="5"/>
      <c r="S4126" s="5"/>
      <c r="T4126" s="5"/>
      <c r="U4126" s="5"/>
      <c r="V4126" s="5"/>
      <c r="W4126" s="5"/>
      <c r="X4126" s="5"/>
      <c r="Y4126" s="5"/>
      <c r="Z4126" s="5"/>
      <c r="AA4126" s="5"/>
      <c r="AC4126" t="e">
        <f ca="1">RANK(AB4126,OFFSET($AB$2,0,0,#REF!,1))</f>
        <v>#REF!</v>
      </c>
      <c r="AD4126" s="4" t="e">
        <f>InsurerSize(#REF!)</f>
        <v>#VALUE!</v>
      </c>
      <c r="AE4126" s="4" t="e">
        <f t="shared" si="76"/>
        <v>#VALUE!</v>
      </c>
    </row>
    <row r="4127" spans="8:31" x14ac:dyDescent="0.2">
      <c r="H4127" s="5"/>
      <c r="I4127" s="5"/>
      <c r="J4127" s="5"/>
      <c r="K4127" s="5"/>
      <c r="L4127" s="5"/>
      <c r="M4127" s="5"/>
      <c r="N4127" s="5"/>
      <c r="O4127" s="5"/>
      <c r="P4127" s="5"/>
      <c r="Q4127" s="5"/>
      <c r="R4127" s="5"/>
      <c r="S4127" s="5"/>
      <c r="T4127" s="5"/>
      <c r="U4127" s="5"/>
      <c r="V4127" s="5"/>
      <c r="W4127" s="5"/>
      <c r="X4127" s="5"/>
      <c r="Y4127" s="5"/>
      <c r="Z4127" s="5"/>
      <c r="AA4127" s="5"/>
      <c r="AC4127" t="e">
        <f ca="1">RANK(AB4127,OFFSET($AB$2,0,0,#REF!,1))</f>
        <v>#REF!</v>
      </c>
      <c r="AD4127" s="4" t="e">
        <f>InsurerSize(#REF!)</f>
        <v>#VALUE!</v>
      </c>
      <c r="AE4127" s="4" t="e">
        <f t="shared" si="76"/>
        <v>#VALUE!</v>
      </c>
    </row>
    <row r="4128" spans="8:31" x14ac:dyDescent="0.2">
      <c r="H4128" s="5"/>
      <c r="I4128" s="5"/>
      <c r="J4128" s="5"/>
      <c r="K4128" s="5"/>
      <c r="L4128" s="5"/>
      <c r="M4128" s="5"/>
      <c r="N4128" s="5"/>
      <c r="O4128" s="5"/>
      <c r="P4128" s="5"/>
      <c r="Q4128" s="5"/>
      <c r="R4128" s="5"/>
      <c r="S4128" s="5"/>
      <c r="T4128" s="5"/>
      <c r="U4128" s="5"/>
      <c r="V4128" s="5"/>
      <c r="W4128" s="5"/>
      <c r="X4128" s="5"/>
      <c r="Y4128" s="5"/>
      <c r="Z4128" s="5"/>
      <c r="AA4128" s="5"/>
      <c r="AC4128" t="e">
        <f ca="1">RANK(AB4128,OFFSET($AB$2,0,0,#REF!,1))</f>
        <v>#REF!</v>
      </c>
      <c r="AD4128" s="4" t="e">
        <f>InsurerSize(#REF!)</f>
        <v>#VALUE!</v>
      </c>
      <c r="AE4128" s="4" t="e">
        <f t="shared" si="76"/>
        <v>#VALUE!</v>
      </c>
    </row>
    <row r="4129" spans="8:31" x14ac:dyDescent="0.2">
      <c r="H4129" s="5"/>
      <c r="I4129" s="5"/>
      <c r="J4129" s="5"/>
      <c r="K4129" s="5"/>
      <c r="L4129" s="5"/>
      <c r="M4129" s="5"/>
      <c r="N4129" s="5"/>
      <c r="O4129" s="5"/>
      <c r="P4129" s="5"/>
      <c r="Q4129" s="5"/>
      <c r="R4129" s="5"/>
      <c r="S4129" s="5"/>
      <c r="T4129" s="5"/>
      <c r="U4129" s="5"/>
      <c r="V4129" s="5"/>
      <c r="W4129" s="5"/>
      <c r="X4129" s="5"/>
      <c r="Y4129" s="5"/>
      <c r="Z4129" s="5"/>
      <c r="AA4129" s="5"/>
      <c r="AC4129" t="e">
        <f ca="1">RANK(AB4129,OFFSET($AB$2,0,0,#REF!,1))</f>
        <v>#REF!</v>
      </c>
      <c r="AD4129" s="4" t="e">
        <f>InsurerSize(#REF!)</f>
        <v>#VALUE!</v>
      </c>
      <c r="AE4129" s="4" t="e">
        <f t="shared" si="76"/>
        <v>#VALUE!</v>
      </c>
    </row>
    <row r="4130" spans="8:31" x14ac:dyDescent="0.2">
      <c r="H4130" s="5"/>
      <c r="I4130" s="5"/>
      <c r="J4130" s="5"/>
      <c r="K4130" s="5"/>
      <c r="L4130" s="5"/>
      <c r="M4130" s="5"/>
      <c r="N4130" s="5"/>
      <c r="O4130" s="5"/>
      <c r="P4130" s="5"/>
      <c r="Q4130" s="5"/>
      <c r="R4130" s="5"/>
      <c r="S4130" s="5"/>
      <c r="T4130" s="5"/>
      <c r="U4130" s="5"/>
      <c r="V4130" s="5"/>
      <c r="W4130" s="5"/>
      <c r="X4130" s="5"/>
      <c r="Y4130" s="5"/>
      <c r="Z4130" s="5"/>
      <c r="AA4130" s="5"/>
      <c r="AC4130" t="e">
        <f ca="1">RANK(AB4130,OFFSET($AB$2,0,0,#REF!,1))</f>
        <v>#REF!</v>
      </c>
      <c r="AD4130" s="4" t="e">
        <f>InsurerSize(#REF!)</f>
        <v>#VALUE!</v>
      </c>
      <c r="AE4130" s="4" t="e">
        <f t="shared" si="76"/>
        <v>#VALUE!</v>
      </c>
    </row>
    <row r="4131" spans="8:31" x14ac:dyDescent="0.2">
      <c r="H4131" s="5"/>
      <c r="I4131" s="5"/>
      <c r="J4131" s="5"/>
      <c r="K4131" s="5"/>
      <c r="L4131" s="5"/>
      <c r="M4131" s="5"/>
      <c r="N4131" s="5"/>
      <c r="O4131" s="5"/>
      <c r="P4131" s="5"/>
      <c r="Q4131" s="5"/>
      <c r="R4131" s="5"/>
      <c r="S4131" s="5"/>
      <c r="T4131" s="5"/>
      <c r="U4131" s="5"/>
      <c r="V4131" s="5"/>
      <c r="W4131" s="5"/>
      <c r="X4131" s="5"/>
      <c r="Y4131" s="5"/>
      <c r="Z4131" s="5"/>
      <c r="AA4131" s="5"/>
      <c r="AC4131" t="e">
        <f ca="1">RANK(AB4131,OFFSET($AB$2,0,0,#REF!,1))</f>
        <v>#REF!</v>
      </c>
      <c r="AD4131" s="4" t="e">
        <f>InsurerSize(#REF!)</f>
        <v>#VALUE!</v>
      </c>
      <c r="AE4131" s="4" t="e">
        <f t="shared" si="76"/>
        <v>#VALUE!</v>
      </c>
    </row>
    <row r="4132" spans="8:31" x14ac:dyDescent="0.2">
      <c r="H4132" s="5"/>
      <c r="I4132" s="5"/>
      <c r="J4132" s="5"/>
      <c r="K4132" s="5"/>
      <c r="L4132" s="5"/>
      <c r="M4132" s="5"/>
      <c r="N4132" s="5"/>
      <c r="O4132" s="5"/>
      <c r="P4132" s="5"/>
      <c r="Q4132" s="5"/>
      <c r="R4132" s="5"/>
      <c r="S4132" s="5"/>
      <c r="T4132" s="5"/>
      <c r="U4132" s="5"/>
      <c r="V4132" s="5"/>
      <c r="W4132" s="5"/>
      <c r="X4132" s="5"/>
      <c r="Y4132" s="5"/>
      <c r="Z4132" s="5"/>
      <c r="AA4132" s="5"/>
      <c r="AC4132" t="e">
        <f ca="1">RANK(AB4132,OFFSET($AB$2,0,0,#REF!,1))</f>
        <v>#REF!</v>
      </c>
      <c r="AD4132" s="4" t="e">
        <f>InsurerSize(#REF!)</f>
        <v>#VALUE!</v>
      </c>
      <c r="AE4132" s="4" t="e">
        <f t="shared" si="76"/>
        <v>#VALUE!</v>
      </c>
    </row>
    <row r="4133" spans="8:31" x14ac:dyDescent="0.2">
      <c r="H4133" s="5"/>
      <c r="I4133" s="5"/>
      <c r="J4133" s="5"/>
      <c r="K4133" s="5"/>
      <c r="L4133" s="5"/>
      <c r="M4133" s="5"/>
      <c r="N4133" s="5"/>
      <c r="O4133" s="5"/>
      <c r="P4133" s="5"/>
      <c r="Q4133" s="5"/>
      <c r="R4133" s="5"/>
      <c r="S4133" s="5"/>
      <c r="T4133" s="5"/>
      <c r="U4133" s="5"/>
      <c r="V4133" s="5"/>
      <c r="W4133" s="5"/>
      <c r="X4133" s="5"/>
      <c r="Y4133" s="5"/>
      <c r="Z4133" s="5"/>
      <c r="AA4133" s="5"/>
      <c r="AC4133" t="e">
        <f ca="1">RANK(AB4133,OFFSET($AB$2,0,0,#REF!,1))</f>
        <v>#REF!</v>
      </c>
      <c r="AD4133" s="4" t="e">
        <f>InsurerSize(#REF!)</f>
        <v>#VALUE!</v>
      </c>
      <c r="AE4133" s="4" t="e">
        <f t="shared" si="76"/>
        <v>#VALUE!</v>
      </c>
    </row>
    <row r="4134" spans="8:31" x14ac:dyDescent="0.2">
      <c r="H4134" s="5"/>
      <c r="I4134" s="5"/>
      <c r="J4134" s="5"/>
      <c r="K4134" s="5"/>
      <c r="L4134" s="5"/>
      <c r="M4134" s="5"/>
      <c r="N4134" s="5"/>
      <c r="O4134" s="5"/>
      <c r="P4134" s="5"/>
      <c r="Q4134" s="5"/>
      <c r="R4134" s="5"/>
      <c r="S4134" s="5"/>
      <c r="T4134" s="5"/>
      <c r="U4134" s="5"/>
      <c r="V4134" s="5"/>
      <c r="W4134" s="5"/>
      <c r="X4134" s="5"/>
      <c r="Y4134" s="5"/>
      <c r="Z4134" s="5"/>
      <c r="AA4134" s="5"/>
      <c r="AC4134" t="e">
        <f ca="1">RANK(AB4134,OFFSET($AB$2,0,0,#REF!,1))</f>
        <v>#REF!</v>
      </c>
      <c r="AD4134" s="4" t="e">
        <f>InsurerSize(#REF!)</f>
        <v>#VALUE!</v>
      </c>
      <c r="AE4134" s="4" t="e">
        <f t="shared" si="76"/>
        <v>#VALUE!</v>
      </c>
    </row>
    <row r="4135" spans="8:31" x14ac:dyDescent="0.2">
      <c r="H4135" s="5"/>
      <c r="I4135" s="5"/>
      <c r="J4135" s="5"/>
      <c r="K4135" s="5"/>
      <c r="L4135" s="5"/>
      <c r="M4135" s="5"/>
      <c r="N4135" s="5"/>
      <c r="O4135" s="5"/>
      <c r="P4135" s="5"/>
      <c r="Q4135" s="5"/>
      <c r="R4135" s="5"/>
      <c r="S4135" s="5"/>
      <c r="T4135" s="5"/>
      <c r="U4135" s="5"/>
      <c r="V4135" s="5"/>
      <c r="W4135" s="5"/>
      <c r="X4135" s="5"/>
      <c r="Y4135" s="5"/>
      <c r="Z4135" s="5"/>
      <c r="AA4135" s="5"/>
      <c r="AC4135" t="e">
        <f ca="1">RANK(AB4135,OFFSET($AB$2,0,0,#REF!,1))</f>
        <v>#REF!</v>
      </c>
      <c r="AD4135" s="4" t="e">
        <f>InsurerSize(#REF!)</f>
        <v>#VALUE!</v>
      </c>
      <c r="AE4135" s="4" t="e">
        <f t="shared" si="76"/>
        <v>#VALUE!</v>
      </c>
    </row>
    <row r="4136" spans="8:31" x14ac:dyDescent="0.2">
      <c r="H4136" s="5"/>
      <c r="I4136" s="5"/>
      <c r="J4136" s="5"/>
      <c r="K4136" s="5"/>
      <c r="L4136" s="5"/>
      <c r="M4136" s="5"/>
      <c r="N4136" s="5"/>
      <c r="O4136" s="5"/>
      <c r="P4136" s="5"/>
      <c r="Q4136" s="5"/>
      <c r="R4136" s="5"/>
      <c r="S4136" s="5"/>
      <c r="T4136" s="5"/>
      <c r="U4136" s="5"/>
      <c r="V4136" s="5"/>
      <c r="W4136" s="5"/>
      <c r="X4136" s="5"/>
      <c r="Y4136" s="5"/>
      <c r="Z4136" s="5"/>
      <c r="AA4136" s="5"/>
      <c r="AC4136" t="e">
        <f ca="1">RANK(AB4136,OFFSET($AB$2,0,0,#REF!,1))</f>
        <v>#REF!</v>
      </c>
      <c r="AD4136" s="4" t="e">
        <f>InsurerSize(#REF!)</f>
        <v>#VALUE!</v>
      </c>
      <c r="AE4136" s="4" t="e">
        <f t="shared" si="76"/>
        <v>#VALUE!</v>
      </c>
    </row>
    <row r="4137" spans="8:31" x14ac:dyDescent="0.2">
      <c r="H4137" s="5"/>
      <c r="I4137" s="5"/>
      <c r="J4137" s="5"/>
      <c r="K4137" s="5"/>
      <c r="L4137" s="5"/>
      <c r="M4137" s="5"/>
      <c r="N4137" s="5"/>
      <c r="O4137" s="5"/>
      <c r="P4137" s="5"/>
      <c r="Q4137" s="5"/>
      <c r="R4137" s="5"/>
      <c r="S4137" s="5"/>
      <c r="T4137" s="5"/>
      <c r="U4137" s="5"/>
      <c r="V4137" s="5"/>
      <c r="W4137" s="5"/>
      <c r="X4137" s="5"/>
      <c r="Y4137" s="5"/>
      <c r="Z4137" s="5"/>
      <c r="AA4137" s="5"/>
      <c r="AC4137" t="e">
        <f ca="1">RANK(AB4137,OFFSET($AB$2,0,0,#REF!,1))</f>
        <v>#REF!</v>
      </c>
      <c r="AD4137" s="4" t="e">
        <f>InsurerSize(#REF!)</f>
        <v>#VALUE!</v>
      </c>
      <c r="AE4137" s="4" t="e">
        <f t="shared" si="76"/>
        <v>#VALUE!</v>
      </c>
    </row>
    <row r="4138" spans="8:31" x14ac:dyDescent="0.2">
      <c r="H4138" s="5"/>
      <c r="I4138" s="5"/>
      <c r="J4138" s="5"/>
      <c r="K4138" s="5"/>
      <c r="L4138" s="5"/>
      <c r="M4138" s="5"/>
      <c r="N4138" s="5"/>
      <c r="O4138" s="5"/>
      <c r="P4138" s="5"/>
      <c r="Q4138" s="5"/>
      <c r="R4138" s="5"/>
      <c r="S4138" s="5"/>
      <c r="T4138" s="5"/>
      <c r="U4138" s="5"/>
      <c r="V4138" s="5"/>
      <c r="W4138" s="5"/>
      <c r="X4138" s="5"/>
      <c r="Y4138" s="5"/>
      <c r="Z4138" s="5"/>
      <c r="AA4138" s="5"/>
      <c r="AC4138" t="e">
        <f ca="1">RANK(AB4138,OFFSET($AB$2,0,0,#REF!,1))</f>
        <v>#REF!</v>
      </c>
      <c r="AD4138" s="4" t="e">
        <f>InsurerSize(#REF!)</f>
        <v>#VALUE!</v>
      </c>
      <c r="AE4138" s="4" t="e">
        <f t="shared" si="76"/>
        <v>#VALUE!</v>
      </c>
    </row>
    <row r="4139" spans="8:31" x14ac:dyDescent="0.2">
      <c r="H4139" s="5"/>
      <c r="I4139" s="5"/>
      <c r="J4139" s="5"/>
      <c r="K4139" s="5"/>
      <c r="L4139" s="5"/>
      <c r="M4139" s="5"/>
      <c r="N4139" s="5"/>
      <c r="O4139" s="5"/>
      <c r="P4139" s="5"/>
      <c r="Q4139" s="5"/>
      <c r="R4139" s="5"/>
      <c r="S4139" s="5"/>
      <c r="T4139" s="5"/>
      <c r="U4139" s="5"/>
      <c r="V4139" s="5"/>
      <c r="W4139" s="5"/>
      <c r="X4139" s="5"/>
      <c r="Y4139" s="5"/>
      <c r="Z4139" s="5"/>
      <c r="AA4139" s="5"/>
      <c r="AC4139" t="e">
        <f ca="1">RANK(AB4139,OFFSET($AB$2,0,0,#REF!,1))</f>
        <v>#REF!</v>
      </c>
      <c r="AD4139" s="4" t="e">
        <f>InsurerSize(#REF!)</f>
        <v>#VALUE!</v>
      </c>
      <c r="AE4139" s="4" t="e">
        <f t="shared" si="76"/>
        <v>#VALUE!</v>
      </c>
    </row>
    <row r="4140" spans="8:31" x14ac:dyDescent="0.2">
      <c r="H4140" s="5"/>
      <c r="I4140" s="5"/>
      <c r="J4140" s="5"/>
      <c r="K4140" s="5"/>
      <c r="L4140" s="5"/>
      <c r="M4140" s="5"/>
      <c r="N4140" s="5"/>
      <c r="O4140" s="5"/>
      <c r="P4140" s="5"/>
      <c r="Q4140" s="5"/>
      <c r="R4140" s="5"/>
      <c r="S4140" s="5"/>
      <c r="T4140" s="5"/>
      <c r="U4140" s="5"/>
      <c r="V4140" s="5"/>
      <c r="W4140" s="5"/>
      <c r="X4140" s="5"/>
      <c r="Y4140" s="5"/>
      <c r="Z4140" s="5"/>
      <c r="AA4140" s="5"/>
      <c r="AC4140" t="e">
        <f ca="1">RANK(AB4140,OFFSET($AB$2,0,0,#REF!,1))</f>
        <v>#REF!</v>
      </c>
      <c r="AD4140" s="4" t="e">
        <f>InsurerSize(#REF!)</f>
        <v>#VALUE!</v>
      </c>
      <c r="AE4140" s="4" t="e">
        <f t="shared" si="76"/>
        <v>#VALUE!</v>
      </c>
    </row>
    <row r="4141" spans="8:31" x14ac:dyDescent="0.2">
      <c r="H4141" s="5"/>
      <c r="I4141" s="5"/>
      <c r="J4141" s="5"/>
      <c r="K4141" s="5"/>
      <c r="L4141" s="5"/>
      <c r="M4141" s="5"/>
      <c r="N4141" s="5"/>
      <c r="O4141" s="5"/>
      <c r="P4141" s="5"/>
      <c r="Q4141" s="5"/>
      <c r="R4141" s="5"/>
      <c r="S4141" s="5"/>
      <c r="T4141" s="5"/>
      <c r="U4141" s="5"/>
      <c r="V4141" s="5"/>
      <c r="W4141" s="5"/>
      <c r="X4141" s="5"/>
      <c r="Y4141" s="5"/>
      <c r="Z4141" s="5"/>
      <c r="AA4141" s="5"/>
      <c r="AC4141" t="e">
        <f ca="1">RANK(AB4141,OFFSET($AB$2,0,0,#REF!,1))</f>
        <v>#REF!</v>
      </c>
      <c r="AD4141" s="4" t="e">
        <f>InsurerSize(#REF!)</f>
        <v>#VALUE!</v>
      </c>
      <c r="AE4141" s="4" t="e">
        <f t="shared" si="76"/>
        <v>#VALUE!</v>
      </c>
    </row>
    <row r="4142" spans="8:31" x14ac:dyDescent="0.2">
      <c r="H4142" s="5"/>
      <c r="I4142" s="5"/>
      <c r="J4142" s="5"/>
      <c r="K4142" s="5"/>
      <c r="L4142" s="5"/>
      <c r="M4142" s="5"/>
      <c r="N4142" s="5"/>
      <c r="O4142" s="5"/>
      <c r="P4142" s="5"/>
      <c r="Q4142" s="5"/>
      <c r="R4142" s="5"/>
      <c r="S4142" s="5"/>
      <c r="T4142" s="5"/>
      <c r="U4142" s="5"/>
      <c r="V4142" s="5"/>
      <c r="W4142" s="5"/>
      <c r="X4142" s="5"/>
      <c r="Y4142" s="5"/>
      <c r="Z4142" s="5"/>
      <c r="AA4142" s="5"/>
      <c r="AC4142" t="e">
        <f ca="1">RANK(AB4142,OFFSET($AB$2,0,0,#REF!,1))</f>
        <v>#REF!</v>
      </c>
      <c r="AD4142" s="4" t="e">
        <f>InsurerSize(#REF!)</f>
        <v>#VALUE!</v>
      </c>
      <c r="AE4142" s="4" t="e">
        <f t="shared" si="76"/>
        <v>#VALUE!</v>
      </c>
    </row>
    <row r="4143" spans="8:31" x14ac:dyDescent="0.2">
      <c r="H4143" s="5"/>
      <c r="I4143" s="5"/>
      <c r="J4143" s="5"/>
      <c r="K4143" s="5"/>
      <c r="L4143" s="5"/>
      <c r="M4143" s="5"/>
      <c r="N4143" s="5"/>
      <c r="O4143" s="5"/>
      <c r="P4143" s="5"/>
      <c r="Q4143" s="5"/>
      <c r="R4143" s="5"/>
      <c r="S4143" s="5"/>
      <c r="T4143" s="5"/>
      <c r="U4143" s="5"/>
      <c r="V4143" s="5"/>
      <c r="W4143" s="5"/>
      <c r="X4143" s="5"/>
      <c r="Y4143" s="5"/>
      <c r="Z4143" s="5"/>
      <c r="AA4143" s="5"/>
      <c r="AC4143" t="e">
        <f ca="1">RANK(AB4143,OFFSET($AB$2,0,0,#REF!,1))</f>
        <v>#REF!</v>
      </c>
      <c r="AD4143" s="4" t="e">
        <f>InsurerSize(#REF!)</f>
        <v>#VALUE!</v>
      </c>
      <c r="AE4143" s="4" t="e">
        <f t="shared" si="76"/>
        <v>#VALUE!</v>
      </c>
    </row>
    <row r="4144" spans="8:31" x14ac:dyDescent="0.2">
      <c r="H4144" s="5"/>
      <c r="I4144" s="5"/>
      <c r="J4144" s="5"/>
      <c r="K4144" s="5"/>
      <c r="L4144" s="5"/>
      <c r="M4144" s="5"/>
      <c r="N4144" s="5"/>
      <c r="O4144" s="5"/>
      <c r="P4144" s="5"/>
      <c r="Q4144" s="5"/>
      <c r="R4144" s="5"/>
      <c r="S4144" s="5"/>
      <c r="T4144" s="5"/>
      <c r="U4144" s="5"/>
      <c r="V4144" s="5"/>
      <c r="W4144" s="5"/>
      <c r="X4144" s="5"/>
      <c r="Y4144" s="5"/>
      <c r="Z4144" s="5"/>
      <c r="AA4144" s="5"/>
      <c r="AC4144" t="e">
        <f ca="1">RANK(AB4144,OFFSET($AB$2,0,0,#REF!,1))</f>
        <v>#REF!</v>
      </c>
      <c r="AD4144" s="4" t="e">
        <f>InsurerSize(#REF!)</f>
        <v>#VALUE!</v>
      </c>
      <c r="AE4144" s="4" t="e">
        <f t="shared" si="76"/>
        <v>#VALUE!</v>
      </c>
    </row>
    <row r="4145" spans="8:31" x14ac:dyDescent="0.2">
      <c r="H4145" s="5"/>
      <c r="I4145" s="5"/>
      <c r="J4145" s="5"/>
      <c r="K4145" s="5"/>
      <c r="L4145" s="5"/>
      <c r="M4145" s="5"/>
      <c r="N4145" s="5"/>
      <c r="O4145" s="5"/>
      <c r="P4145" s="5"/>
      <c r="Q4145" s="5"/>
      <c r="R4145" s="5"/>
      <c r="S4145" s="5"/>
      <c r="T4145" s="5"/>
      <c r="U4145" s="5"/>
      <c r="V4145" s="5"/>
      <c r="W4145" s="5"/>
      <c r="X4145" s="5"/>
      <c r="Y4145" s="5"/>
      <c r="Z4145" s="5"/>
      <c r="AA4145" s="5"/>
      <c r="AC4145" t="e">
        <f ca="1">RANK(AB4145,OFFSET($AB$2,0,0,#REF!,1))</f>
        <v>#REF!</v>
      </c>
      <c r="AD4145" s="4" t="e">
        <f>InsurerSize(#REF!)</f>
        <v>#VALUE!</v>
      </c>
      <c r="AE4145" s="4" t="e">
        <f t="shared" si="76"/>
        <v>#VALUE!</v>
      </c>
    </row>
    <row r="4146" spans="8:31" x14ac:dyDescent="0.2">
      <c r="H4146" s="5"/>
      <c r="I4146" s="5"/>
      <c r="J4146" s="5"/>
      <c r="K4146" s="5"/>
      <c r="L4146" s="5"/>
      <c r="M4146" s="5"/>
      <c r="N4146" s="5"/>
      <c r="O4146" s="5"/>
      <c r="P4146" s="5"/>
      <c r="Q4146" s="5"/>
      <c r="R4146" s="5"/>
      <c r="S4146" s="5"/>
      <c r="T4146" s="5"/>
      <c r="U4146" s="5"/>
      <c r="V4146" s="5"/>
      <c r="W4146" s="5"/>
      <c r="X4146" s="5"/>
      <c r="Y4146" s="5"/>
      <c r="Z4146" s="5"/>
      <c r="AA4146" s="5"/>
      <c r="AC4146" t="e">
        <f ca="1">RANK(AB4146,OFFSET($AB$2,0,0,#REF!,1))</f>
        <v>#REF!</v>
      </c>
      <c r="AD4146" s="4" t="e">
        <f>InsurerSize(#REF!)</f>
        <v>#VALUE!</v>
      </c>
      <c r="AE4146" s="4" t="e">
        <f t="shared" si="76"/>
        <v>#VALUE!</v>
      </c>
    </row>
    <row r="4147" spans="8:31" x14ac:dyDescent="0.2">
      <c r="H4147" s="5"/>
      <c r="I4147" s="5"/>
      <c r="J4147" s="5"/>
      <c r="K4147" s="5"/>
      <c r="L4147" s="5"/>
      <c r="M4147" s="5"/>
      <c r="N4147" s="5"/>
      <c r="O4147" s="5"/>
      <c r="P4147" s="5"/>
      <c r="Q4147" s="5"/>
      <c r="R4147" s="5"/>
      <c r="S4147" s="5"/>
      <c r="T4147" s="5"/>
      <c r="U4147" s="5"/>
      <c r="V4147" s="5"/>
      <c r="W4147" s="5"/>
      <c r="X4147" s="5"/>
      <c r="Y4147" s="5"/>
      <c r="Z4147" s="5"/>
      <c r="AA4147" s="5"/>
      <c r="AC4147" t="e">
        <f ca="1">RANK(AB4147,OFFSET($AB$2,0,0,#REF!,1))</f>
        <v>#REF!</v>
      </c>
      <c r="AD4147" s="4" t="e">
        <f>InsurerSize(#REF!)</f>
        <v>#VALUE!</v>
      </c>
      <c r="AE4147" s="4" t="e">
        <f t="shared" si="76"/>
        <v>#VALUE!</v>
      </c>
    </row>
    <row r="4148" spans="8:31" x14ac:dyDescent="0.2">
      <c r="H4148" s="5"/>
      <c r="I4148" s="5"/>
      <c r="J4148" s="5"/>
      <c r="K4148" s="5"/>
      <c r="L4148" s="5"/>
      <c r="M4148" s="5"/>
      <c r="N4148" s="5"/>
      <c r="O4148" s="5"/>
      <c r="P4148" s="5"/>
      <c r="Q4148" s="5"/>
      <c r="R4148" s="5"/>
      <c r="S4148" s="5"/>
      <c r="T4148" s="5"/>
      <c r="U4148" s="5"/>
      <c r="V4148" s="5"/>
      <c r="W4148" s="5"/>
      <c r="X4148" s="5"/>
      <c r="Y4148" s="5"/>
      <c r="Z4148" s="5"/>
      <c r="AA4148" s="5"/>
      <c r="AC4148" t="e">
        <f ca="1">RANK(AB4148,OFFSET($AB$2,0,0,#REF!,1))</f>
        <v>#REF!</v>
      </c>
      <c r="AD4148" s="4" t="e">
        <f>InsurerSize(#REF!)</f>
        <v>#VALUE!</v>
      </c>
      <c r="AE4148" s="4" t="e">
        <f t="shared" si="76"/>
        <v>#VALUE!</v>
      </c>
    </row>
    <row r="4149" spans="8:31" x14ac:dyDescent="0.2">
      <c r="H4149" s="5"/>
      <c r="I4149" s="5"/>
      <c r="J4149" s="5"/>
      <c r="K4149" s="5"/>
      <c r="L4149" s="5"/>
      <c r="M4149" s="5"/>
      <c r="N4149" s="5"/>
      <c r="O4149" s="5"/>
      <c r="P4149" s="5"/>
      <c r="Q4149" s="5"/>
      <c r="R4149" s="5"/>
      <c r="S4149" s="5"/>
      <c r="T4149" s="5"/>
      <c r="U4149" s="5"/>
      <c r="V4149" s="5"/>
      <c r="W4149" s="5"/>
      <c r="X4149" s="5"/>
      <c r="Y4149" s="5"/>
      <c r="Z4149" s="5"/>
      <c r="AA4149" s="5"/>
      <c r="AC4149" t="e">
        <f ca="1">RANK(AB4149,OFFSET($AB$2,0,0,#REF!,1))</f>
        <v>#REF!</v>
      </c>
      <c r="AD4149" s="4" t="e">
        <f>InsurerSize(#REF!)</f>
        <v>#VALUE!</v>
      </c>
      <c r="AE4149" s="4" t="e">
        <f t="shared" si="76"/>
        <v>#VALUE!</v>
      </c>
    </row>
    <row r="4150" spans="8:31" x14ac:dyDescent="0.2">
      <c r="H4150" s="5"/>
      <c r="I4150" s="5"/>
      <c r="J4150" s="5"/>
      <c r="K4150" s="5"/>
      <c r="L4150" s="5"/>
      <c r="M4150" s="5"/>
      <c r="N4150" s="5"/>
      <c r="O4150" s="5"/>
      <c r="P4150" s="5"/>
      <c r="Q4150" s="5"/>
      <c r="R4150" s="5"/>
      <c r="S4150" s="5"/>
      <c r="T4150" s="5"/>
      <c r="U4150" s="5"/>
      <c r="V4150" s="5"/>
      <c r="W4150" s="5"/>
      <c r="X4150" s="5"/>
      <c r="Y4150" s="5"/>
      <c r="Z4150" s="5"/>
      <c r="AA4150" s="5"/>
      <c r="AC4150" t="e">
        <f ca="1">RANK(AB4150,OFFSET($AB$2,0,0,#REF!,1))</f>
        <v>#REF!</v>
      </c>
      <c r="AD4150" s="4" t="e">
        <f>InsurerSize(#REF!)</f>
        <v>#VALUE!</v>
      </c>
      <c r="AE4150" s="4" t="e">
        <f t="shared" si="76"/>
        <v>#VALUE!</v>
      </c>
    </row>
    <row r="4151" spans="8:31" x14ac:dyDescent="0.2">
      <c r="H4151" s="5"/>
      <c r="I4151" s="5"/>
      <c r="J4151" s="5"/>
      <c r="K4151" s="5"/>
      <c r="L4151" s="5"/>
      <c r="M4151" s="5"/>
      <c r="N4151" s="5"/>
      <c r="O4151" s="5"/>
      <c r="P4151" s="5"/>
      <c r="Q4151" s="5"/>
      <c r="R4151" s="5"/>
      <c r="S4151" s="5"/>
      <c r="T4151" s="5"/>
      <c r="U4151" s="5"/>
      <c r="V4151" s="5"/>
      <c r="W4151" s="5"/>
      <c r="X4151" s="5"/>
      <c r="Y4151" s="5"/>
      <c r="Z4151" s="5"/>
      <c r="AA4151" s="5"/>
      <c r="AC4151" t="e">
        <f ca="1">RANK(AB4151,OFFSET($AB$2,0,0,#REF!,1))</f>
        <v>#REF!</v>
      </c>
      <c r="AD4151" s="4" t="e">
        <f>InsurerSize(#REF!)</f>
        <v>#VALUE!</v>
      </c>
      <c r="AE4151" s="4" t="e">
        <f t="shared" si="76"/>
        <v>#VALUE!</v>
      </c>
    </row>
    <row r="4152" spans="8:31" x14ac:dyDescent="0.2">
      <c r="H4152" s="5"/>
      <c r="I4152" s="5"/>
      <c r="J4152" s="5"/>
      <c r="K4152" s="5"/>
      <c r="L4152" s="5"/>
      <c r="M4152" s="5"/>
      <c r="N4152" s="5"/>
      <c r="O4152" s="5"/>
      <c r="P4152" s="5"/>
      <c r="Q4152" s="5"/>
      <c r="R4152" s="5"/>
      <c r="S4152" s="5"/>
      <c r="T4152" s="5"/>
      <c r="U4152" s="5"/>
      <c r="V4152" s="5"/>
      <c r="W4152" s="5"/>
      <c r="X4152" s="5"/>
      <c r="Y4152" s="5"/>
      <c r="Z4152" s="5"/>
      <c r="AA4152" s="5"/>
      <c r="AC4152" t="e">
        <f ca="1">RANK(AB4152,OFFSET($AB$2,0,0,#REF!,1))</f>
        <v>#REF!</v>
      </c>
      <c r="AD4152" s="4" t="e">
        <f>InsurerSize(#REF!)</f>
        <v>#VALUE!</v>
      </c>
      <c r="AE4152" s="4" t="e">
        <f t="shared" si="76"/>
        <v>#VALUE!</v>
      </c>
    </row>
    <row r="4153" spans="8:31" x14ac:dyDescent="0.2">
      <c r="H4153" s="5"/>
      <c r="I4153" s="5"/>
      <c r="J4153" s="5"/>
      <c r="K4153" s="5"/>
      <c r="L4153" s="5"/>
      <c r="M4153" s="5"/>
      <c r="N4153" s="5"/>
      <c r="O4153" s="5"/>
      <c r="P4153" s="5"/>
      <c r="Q4153" s="5"/>
      <c r="R4153" s="5"/>
      <c r="S4153" s="5"/>
      <c r="T4153" s="5"/>
      <c r="U4153" s="5"/>
      <c r="V4153" s="5"/>
      <c r="W4153" s="5"/>
      <c r="X4153" s="5"/>
      <c r="Y4153" s="5"/>
      <c r="Z4153" s="5"/>
      <c r="AA4153" s="5"/>
      <c r="AC4153" t="e">
        <f ca="1">RANK(AB4153,OFFSET($AB$2,0,0,#REF!,1))</f>
        <v>#REF!</v>
      </c>
      <c r="AD4153" s="4" t="e">
        <f>InsurerSize(#REF!)</f>
        <v>#VALUE!</v>
      </c>
      <c r="AE4153" s="4" t="e">
        <f t="shared" si="76"/>
        <v>#VALUE!</v>
      </c>
    </row>
    <row r="4154" spans="8:31" x14ac:dyDescent="0.2">
      <c r="H4154" s="5"/>
      <c r="I4154" s="5"/>
      <c r="J4154" s="5"/>
      <c r="K4154" s="5"/>
      <c r="L4154" s="5"/>
      <c r="M4154" s="5"/>
      <c r="N4154" s="5"/>
      <c r="O4154" s="5"/>
      <c r="P4154" s="5"/>
      <c r="Q4154" s="5"/>
      <c r="R4154" s="5"/>
      <c r="S4154" s="5"/>
      <c r="T4154" s="5"/>
      <c r="U4154" s="5"/>
      <c r="V4154" s="5"/>
      <c r="W4154" s="5"/>
      <c r="X4154" s="5"/>
      <c r="Y4154" s="5"/>
      <c r="Z4154" s="5"/>
      <c r="AA4154" s="5"/>
      <c r="AC4154" t="e">
        <f ca="1">RANK(AB4154,OFFSET($AB$2,0,0,#REF!,1))</f>
        <v>#REF!</v>
      </c>
      <c r="AD4154" s="4" t="e">
        <f>InsurerSize(#REF!)</f>
        <v>#VALUE!</v>
      </c>
      <c r="AE4154" s="4" t="e">
        <f t="shared" si="76"/>
        <v>#VALUE!</v>
      </c>
    </row>
    <row r="4155" spans="8:31" x14ac:dyDescent="0.2">
      <c r="H4155" s="5"/>
      <c r="I4155" s="5"/>
      <c r="J4155" s="5"/>
      <c r="K4155" s="5"/>
      <c r="L4155" s="5"/>
      <c r="M4155" s="5"/>
      <c r="N4155" s="5"/>
      <c r="O4155" s="5"/>
      <c r="P4155" s="5"/>
      <c r="Q4155" s="5"/>
      <c r="R4155" s="5"/>
      <c r="S4155" s="5"/>
      <c r="T4155" s="5"/>
      <c r="U4155" s="5"/>
      <c r="V4155" s="5"/>
      <c r="W4155" s="5"/>
      <c r="X4155" s="5"/>
      <c r="Y4155" s="5"/>
      <c r="Z4155" s="5"/>
      <c r="AA4155" s="5"/>
      <c r="AC4155" t="e">
        <f ca="1">RANK(AB4155,OFFSET($AB$2,0,0,#REF!,1))</f>
        <v>#REF!</v>
      </c>
      <c r="AD4155" s="4" t="e">
        <f>InsurerSize(#REF!)</f>
        <v>#VALUE!</v>
      </c>
      <c r="AE4155" s="4" t="e">
        <f t="shared" si="76"/>
        <v>#VALUE!</v>
      </c>
    </row>
    <row r="4156" spans="8:31" x14ac:dyDescent="0.2">
      <c r="H4156" s="5"/>
      <c r="I4156" s="5"/>
      <c r="J4156" s="5"/>
      <c r="K4156" s="5"/>
      <c r="L4156" s="5"/>
      <c r="M4156" s="5"/>
      <c r="N4156" s="5"/>
      <c r="O4156" s="5"/>
      <c r="P4156" s="5"/>
      <c r="Q4156" s="5"/>
      <c r="R4156" s="5"/>
      <c r="S4156" s="5"/>
      <c r="T4156" s="5"/>
      <c r="U4156" s="5"/>
      <c r="V4156" s="5"/>
      <c r="W4156" s="5"/>
      <c r="X4156" s="5"/>
      <c r="Y4156" s="5"/>
      <c r="Z4156" s="5"/>
      <c r="AA4156" s="5"/>
      <c r="AC4156" t="e">
        <f ca="1">RANK(AB4156,OFFSET($AB$2,0,0,#REF!,1))</f>
        <v>#REF!</v>
      </c>
      <c r="AD4156" s="4" t="e">
        <f>InsurerSize(#REF!)</f>
        <v>#VALUE!</v>
      </c>
      <c r="AE4156" s="4" t="e">
        <f t="shared" si="76"/>
        <v>#VALUE!</v>
      </c>
    </row>
    <row r="4157" spans="8:31" x14ac:dyDescent="0.2">
      <c r="H4157" s="5"/>
      <c r="I4157" s="5"/>
      <c r="J4157" s="5"/>
      <c r="K4157" s="5"/>
      <c r="L4157" s="5"/>
      <c r="M4157" s="5"/>
      <c r="N4157" s="5"/>
      <c r="O4157" s="5"/>
      <c r="P4157" s="5"/>
      <c r="Q4157" s="5"/>
      <c r="R4157" s="5"/>
      <c r="S4157" s="5"/>
      <c r="T4157" s="5"/>
      <c r="U4157" s="5"/>
      <c r="V4157" s="5"/>
      <c r="W4157" s="5"/>
      <c r="X4157" s="5"/>
      <c r="Y4157" s="5"/>
      <c r="Z4157" s="5"/>
      <c r="AA4157" s="5"/>
      <c r="AC4157" t="e">
        <f ca="1">RANK(AB4157,OFFSET($AB$2,0,0,#REF!,1))</f>
        <v>#REF!</v>
      </c>
      <c r="AD4157" s="4" t="e">
        <f>InsurerSize(#REF!)</f>
        <v>#VALUE!</v>
      </c>
      <c r="AE4157" s="4" t="e">
        <f t="shared" si="76"/>
        <v>#VALUE!</v>
      </c>
    </row>
    <row r="4158" spans="8:31" x14ac:dyDescent="0.2">
      <c r="H4158" s="5"/>
      <c r="I4158" s="5"/>
      <c r="J4158" s="5"/>
      <c r="K4158" s="5"/>
      <c r="L4158" s="5"/>
      <c r="M4158" s="5"/>
      <c r="N4158" s="5"/>
      <c r="O4158" s="5"/>
      <c r="P4158" s="5"/>
      <c r="Q4158" s="5"/>
      <c r="R4158" s="5"/>
      <c r="S4158" s="5"/>
      <c r="T4158" s="5"/>
      <c r="U4158" s="5"/>
      <c r="V4158" s="5"/>
      <c r="W4158" s="5"/>
      <c r="X4158" s="5"/>
      <c r="Y4158" s="5"/>
      <c r="Z4158" s="5"/>
      <c r="AA4158" s="5"/>
      <c r="AC4158" t="e">
        <f ca="1">RANK(AB4158,OFFSET($AB$2,0,0,#REF!,1))</f>
        <v>#REF!</v>
      </c>
      <c r="AD4158" s="4" t="e">
        <f>InsurerSize(#REF!)</f>
        <v>#VALUE!</v>
      </c>
      <c r="AE4158" s="4" t="e">
        <f t="shared" si="76"/>
        <v>#VALUE!</v>
      </c>
    </row>
    <row r="4159" spans="8:31" x14ac:dyDescent="0.2">
      <c r="H4159" s="5"/>
      <c r="I4159" s="5"/>
      <c r="J4159" s="5"/>
      <c r="K4159" s="5"/>
      <c r="L4159" s="5"/>
      <c r="M4159" s="5"/>
      <c r="N4159" s="5"/>
      <c r="O4159" s="5"/>
      <c r="P4159" s="5"/>
      <c r="Q4159" s="5"/>
      <c r="R4159" s="5"/>
      <c r="S4159" s="5"/>
      <c r="T4159" s="5"/>
      <c r="U4159" s="5"/>
      <c r="V4159" s="5"/>
      <c r="W4159" s="5"/>
      <c r="X4159" s="5"/>
      <c r="Y4159" s="5"/>
      <c r="Z4159" s="5"/>
      <c r="AA4159" s="5"/>
      <c r="AC4159" t="e">
        <f ca="1">RANK(AB4159,OFFSET($AB$2,0,0,#REF!,1))</f>
        <v>#REF!</v>
      </c>
      <c r="AD4159" s="4" t="e">
        <f>InsurerSize(#REF!)</f>
        <v>#VALUE!</v>
      </c>
      <c r="AE4159" s="4" t="e">
        <f t="shared" si="76"/>
        <v>#VALUE!</v>
      </c>
    </row>
    <row r="4160" spans="8:31" x14ac:dyDescent="0.2">
      <c r="H4160" s="5"/>
      <c r="I4160" s="5"/>
      <c r="J4160" s="5"/>
      <c r="K4160" s="5"/>
      <c r="L4160" s="5"/>
      <c r="M4160" s="5"/>
      <c r="N4160" s="5"/>
      <c r="O4160" s="5"/>
      <c r="P4160" s="5"/>
      <c r="Q4160" s="5"/>
      <c r="R4160" s="5"/>
      <c r="S4160" s="5"/>
      <c r="T4160" s="5"/>
      <c r="U4160" s="5"/>
      <c r="V4160" s="5"/>
      <c r="W4160" s="5"/>
      <c r="X4160" s="5"/>
      <c r="Y4160" s="5"/>
      <c r="Z4160" s="5"/>
      <c r="AA4160" s="5"/>
      <c r="AC4160" t="e">
        <f ca="1">RANK(AB4160,OFFSET($AB$2,0,0,#REF!,1))</f>
        <v>#REF!</v>
      </c>
      <c r="AD4160" s="4" t="e">
        <f>InsurerSize(#REF!)</f>
        <v>#VALUE!</v>
      </c>
      <c r="AE4160" s="4" t="e">
        <f t="shared" si="76"/>
        <v>#VALUE!</v>
      </c>
    </row>
    <row r="4161" spans="8:31" x14ac:dyDescent="0.2">
      <c r="H4161" s="5"/>
      <c r="I4161" s="5"/>
      <c r="J4161" s="5"/>
      <c r="K4161" s="5"/>
      <c r="L4161" s="5"/>
      <c r="M4161" s="5"/>
      <c r="N4161" s="5"/>
      <c r="O4161" s="5"/>
      <c r="P4161" s="5"/>
      <c r="Q4161" s="5"/>
      <c r="R4161" s="5"/>
      <c r="S4161" s="5"/>
      <c r="T4161" s="5"/>
      <c r="U4161" s="5"/>
      <c r="V4161" s="5"/>
      <c r="W4161" s="5"/>
      <c r="X4161" s="5"/>
      <c r="Y4161" s="5"/>
      <c r="Z4161" s="5"/>
      <c r="AA4161" s="5"/>
      <c r="AC4161" t="e">
        <f ca="1">RANK(AB4161,OFFSET($AB$2,0,0,#REF!,1))</f>
        <v>#REF!</v>
      </c>
      <c r="AD4161" s="4" t="e">
        <f>InsurerSize(#REF!)</f>
        <v>#VALUE!</v>
      </c>
      <c r="AE4161" s="4" t="e">
        <f t="shared" si="76"/>
        <v>#VALUE!</v>
      </c>
    </row>
    <row r="4162" spans="8:31" x14ac:dyDescent="0.2">
      <c r="H4162" s="5"/>
      <c r="I4162" s="5"/>
      <c r="J4162" s="5"/>
      <c r="K4162" s="5"/>
      <c r="L4162" s="5"/>
      <c r="M4162" s="5"/>
      <c r="N4162" s="5"/>
      <c r="O4162" s="5"/>
      <c r="P4162" s="5"/>
      <c r="Q4162" s="5"/>
      <c r="R4162" s="5"/>
      <c r="S4162" s="5"/>
      <c r="T4162" s="5"/>
      <c r="U4162" s="5"/>
      <c r="V4162" s="5"/>
      <c r="W4162" s="5"/>
      <c r="X4162" s="5"/>
      <c r="Y4162" s="5"/>
      <c r="Z4162" s="5"/>
      <c r="AA4162" s="5"/>
      <c r="AC4162" t="e">
        <f ca="1">RANK(AB4162,OFFSET($AB$2,0,0,#REF!,1))</f>
        <v>#REF!</v>
      </c>
      <c r="AD4162" s="4" t="e">
        <f>InsurerSize(#REF!)</f>
        <v>#VALUE!</v>
      </c>
      <c r="AE4162" s="4" t="e">
        <f t="shared" ref="AE4162:AE4225" si="77">A4162&amp;AD4162</f>
        <v>#VALUE!</v>
      </c>
    </row>
    <row r="4163" spans="8:31" x14ac:dyDescent="0.2">
      <c r="H4163" s="5"/>
      <c r="I4163" s="5"/>
      <c r="J4163" s="5"/>
      <c r="K4163" s="5"/>
      <c r="L4163" s="5"/>
      <c r="M4163" s="5"/>
      <c r="N4163" s="5"/>
      <c r="O4163" s="5"/>
      <c r="P4163" s="5"/>
      <c r="Q4163" s="5"/>
      <c r="R4163" s="5"/>
      <c r="S4163" s="5"/>
      <c r="T4163" s="5"/>
      <c r="U4163" s="5"/>
      <c r="V4163" s="5"/>
      <c r="W4163" s="5"/>
      <c r="X4163" s="5"/>
      <c r="Y4163" s="5"/>
      <c r="Z4163" s="5"/>
      <c r="AA4163" s="5"/>
      <c r="AC4163" t="e">
        <f ca="1">RANK(AB4163,OFFSET($AB$2,0,0,#REF!,1))</f>
        <v>#REF!</v>
      </c>
      <c r="AD4163" s="4" t="e">
        <f>InsurerSize(#REF!)</f>
        <v>#VALUE!</v>
      </c>
      <c r="AE4163" s="4" t="e">
        <f t="shared" si="77"/>
        <v>#VALUE!</v>
      </c>
    </row>
    <row r="4164" spans="8:31" x14ac:dyDescent="0.2">
      <c r="H4164" s="5"/>
      <c r="I4164" s="5"/>
      <c r="J4164" s="5"/>
      <c r="K4164" s="5"/>
      <c r="L4164" s="5"/>
      <c r="M4164" s="5"/>
      <c r="N4164" s="5"/>
      <c r="O4164" s="5"/>
      <c r="P4164" s="5"/>
      <c r="Q4164" s="5"/>
      <c r="R4164" s="5"/>
      <c r="S4164" s="5"/>
      <c r="T4164" s="5"/>
      <c r="U4164" s="5"/>
      <c r="V4164" s="5"/>
      <c r="W4164" s="5"/>
      <c r="X4164" s="5"/>
      <c r="Y4164" s="5"/>
      <c r="Z4164" s="5"/>
      <c r="AA4164" s="5"/>
      <c r="AC4164" t="e">
        <f ca="1">RANK(AB4164,OFFSET($AB$2,0,0,#REF!,1))</f>
        <v>#REF!</v>
      </c>
      <c r="AD4164" s="4" t="e">
        <f>InsurerSize(#REF!)</f>
        <v>#VALUE!</v>
      </c>
      <c r="AE4164" s="4" t="e">
        <f t="shared" si="77"/>
        <v>#VALUE!</v>
      </c>
    </row>
    <row r="4165" spans="8:31" x14ac:dyDescent="0.2">
      <c r="H4165" s="5"/>
      <c r="I4165" s="5"/>
      <c r="J4165" s="5"/>
      <c r="K4165" s="5"/>
      <c r="L4165" s="5"/>
      <c r="M4165" s="5"/>
      <c r="N4165" s="5"/>
      <c r="O4165" s="5"/>
      <c r="P4165" s="5"/>
      <c r="Q4165" s="5"/>
      <c r="R4165" s="5"/>
      <c r="S4165" s="5"/>
      <c r="T4165" s="5"/>
      <c r="U4165" s="5"/>
      <c r="V4165" s="5"/>
      <c r="W4165" s="5"/>
      <c r="X4165" s="5"/>
      <c r="Y4165" s="5"/>
      <c r="Z4165" s="5"/>
      <c r="AA4165" s="5"/>
      <c r="AC4165" t="e">
        <f ca="1">RANK(AB4165,OFFSET($AB$2,0,0,#REF!,1))</f>
        <v>#REF!</v>
      </c>
      <c r="AD4165" s="4" t="e">
        <f>InsurerSize(#REF!)</f>
        <v>#VALUE!</v>
      </c>
      <c r="AE4165" s="4" t="e">
        <f t="shared" si="77"/>
        <v>#VALUE!</v>
      </c>
    </row>
    <row r="4166" spans="8:31" x14ac:dyDescent="0.2">
      <c r="H4166" s="5"/>
      <c r="I4166" s="5"/>
      <c r="J4166" s="5"/>
      <c r="K4166" s="5"/>
      <c r="L4166" s="5"/>
      <c r="M4166" s="5"/>
      <c r="N4166" s="5"/>
      <c r="O4166" s="5"/>
      <c r="P4166" s="5"/>
      <c r="Q4166" s="5"/>
      <c r="R4166" s="5"/>
      <c r="S4166" s="5"/>
      <c r="T4166" s="5"/>
      <c r="U4166" s="5"/>
      <c r="V4166" s="5"/>
      <c r="W4166" s="5"/>
      <c r="X4166" s="5"/>
      <c r="Y4166" s="5"/>
      <c r="Z4166" s="5"/>
      <c r="AA4166" s="5"/>
      <c r="AC4166" t="e">
        <f ca="1">RANK(AB4166,OFFSET($AB$2,0,0,#REF!,1))</f>
        <v>#REF!</v>
      </c>
      <c r="AD4166" s="4" t="e">
        <f>InsurerSize(#REF!)</f>
        <v>#VALUE!</v>
      </c>
      <c r="AE4166" s="4" t="e">
        <f t="shared" si="77"/>
        <v>#VALUE!</v>
      </c>
    </row>
    <row r="4167" spans="8:31" x14ac:dyDescent="0.2">
      <c r="H4167" s="5"/>
      <c r="I4167" s="5"/>
      <c r="J4167" s="5"/>
      <c r="K4167" s="5"/>
      <c r="L4167" s="5"/>
      <c r="M4167" s="5"/>
      <c r="N4167" s="5"/>
      <c r="O4167" s="5"/>
      <c r="P4167" s="5"/>
      <c r="Q4167" s="5"/>
      <c r="R4167" s="5"/>
      <c r="S4167" s="5"/>
      <c r="T4167" s="5"/>
      <c r="U4167" s="5"/>
      <c r="V4167" s="5"/>
      <c r="W4167" s="5"/>
      <c r="X4167" s="5"/>
      <c r="Y4167" s="5"/>
      <c r="Z4167" s="5"/>
      <c r="AA4167" s="5"/>
      <c r="AC4167" t="e">
        <f ca="1">RANK(AB4167,OFFSET($AB$2,0,0,#REF!,1))</f>
        <v>#REF!</v>
      </c>
      <c r="AD4167" s="4" t="e">
        <f>InsurerSize(#REF!)</f>
        <v>#VALUE!</v>
      </c>
      <c r="AE4167" s="4" t="e">
        <f t="shared" si="77"/>
        <v>#VALUE!</v>
      </c>
    </row>
    <row r="4168" spans="8:31" x14ac:dyDescent="0.2">
      <c r="H4168" s="5"/>
      <c r="I4168" s="5"/>
      <c r="J4168" s="5"/>
      <c r="K4168" s="5"/>
      <c r="L4168" s="5"/>
      <c r="M4168" s="5"/>
      <c r="N4168" s="5"/>
      <c r="O4168" s="5"/>
      <c r="P4168" s="5"/>
      <c r="Q4168" s="5"/>
      <c r="R4168" s="5"/>
      <c r="S4168" s="5"/>
      <c r="T4168" s="5"/>
      <c r="U4168" s="5"/>
      <c r="V4168" s="5"/>
      <c r="W4168" s="5"/>
      <c r="X4168" s="5"/>
      <c r="Y4168" s="5"/>
      <c r="Z4168" s="5"/>
      <c r="AA4168" s="5"/>
      <c r="AC4168" t="e">
        <f ca="1">RANK(AB4168,OFFSET($AB$2,0,0,#REF!,1))</f>
        <v>#REF!</v>
      </c>
      <c r="AD4168" s="4" t="e">
        <f>InsurerSize(#REF!)</f>
        <v>#VALUE!</v>
      </c>
      <c r="AE4168" s="4" t="e">
        <f t="shared" si="77"/>
        <v>#VALUE!</v>
      </c>
    </row>
    <row r="4169" spans="8:31" x14ac:dyDescent="0.2">
      <c r="H4169" s="5"/>
      <c r="I4169" s="5"/>
      <c r="J4169" s="5"/>
      <c r="K4169" s="5"/>
      <c r="L4169" s="5"/>
      <c r="M4169" s="5"/>
      <c r="N4169" s="5"/>
      <c r="O4169" s="5"/>
      <c r="P4169" s="5"/>
      <c r="Q4169" s="5"/>
      <c r="R4169" s="5"/>
      <c r="S4169" s="5"/>
      <c r="T4169" s="5"/>
      <c r="U4169" s="5"/>
      <c r="V4169" s="5"/>
      <c r="W4169" s="5"/>
      <c r="X4169" s="5"/>
      <c r="Y4169" s="5"/>
      <c r="Z4169" s="5"/>
      <c r="AA4169" s="5"/>
      <c r="AC4169" t="e">
        <f ca="1">RANK(AB4169,OFFSET($AB$2,0,0,#REF!,1))</f>
        <v>#REF!</v>
      </c>
      <c r="AD4169" s="4" t="e">
        <f>InsurerSize(#REF!)</f>
        <v>#VALUE!</v>
      </c>
      <c r="AE4169" s="4" t="e">
        <f t="shared" si="77"/>
        <v>#VALUE!</v>
      </c>
    </row>
    <row r="4170" spans="8:31" x14ac:dyDescent="0.2">
      <c r="H4170" s="5"/>
      <c r="I4170" s="5"/>
      <c r="J4170" s="5"/>
      <c r="K4170" s="5"/>
      <c r="L4170" s="5"/>
      <c r="M4170" s="5"/>
      <c r="N4170" s="5"/>
      <c r="O4170" s="5"/>
      <c r="P4170" s="5"/>
      <c r="Q4170" s="5"/>
      <c r="R4170" s="5"/>
      <c r="S4170" s="5"/>
      <c r="T4170" s="5"/>
      <c r="U4170" s="5"/>
      <c r="V4170" s="5"/>
      <c r="W4170" s="5"/>
      <c r="X4170" s="5"/>
      <c r="Y4170" s="5"/>
      <c r="Z4170" s="5"/>
      <c r="AA4170" s="5"/>
      <c r="AC4170" t="e">
        <f ca="1">RANK(AB4170,OFFSET($AB$2,0,0,#REF!,1))</f>
        <v>#REF!</v>
      </c>
      <c r="AD4170" s="4" t="e">
        <f>InsurerSize(#REF!)</f>
        <v>#VALUE!</v>
      </c>
      <c r="AE4170" s="4" t="e">
        <f t="shared" si="77"/>
        <v>#VALUE!</v>
      </c>
    </row>
    <row r="4171" spans="8:31" x14ac:dyDescent="0.2">
      <c r="H4171" s="5"/>
      <c r="I4171" s="5"/>
      <c r="J4171" s="5"/>
      <c r="K4171" s="5"/>
      <c r="L4171" s="5"/>
      <c r="M4171" s="5"/>
      <c r="N4171" s="5"/>
      <c r="O4171" s="5"/>
      <c r="P4171" s="5"/>
      <c r="Q4171" s="5"/>
      <c r="R4171" s="5"/>
      <c r="S4171" s="5"/>
      <c r="T4171" s="5"/>
      <c r="U4171" s="5"/>
      <c r="V4171" s="5"/>
      <c r="W4171" s="5"/>
      <c r="X4171" s="5"/>
      <c r="Y4171" s="5"/>
      <c r="Z4171" s="5"/>
      <c r="AA4171" s="5"/>
      <c r="AC4171" t="e">
        <f ca="1">RANK(AB4171,OFFSET($AB$2,0,0,#REF!,1))</f>
        <v>#REF!</v>
      </c>
      <c r="AD4171" s="4" t="e">
        <f>InsurerSize(#REF!)</f>
        <v>#VALUE!</v>
      </c>
      <c r="AE4171" s="4" t="e">
        <f t="shared" si="77"/>
        <v>#VALUE!</v>
      </c>
    </row>
    <row r="4172" spans="8:31" x14ac:dyDescent="0.2">
      <c r="H4172" s="5"/>
      <c r="I4172" s="5"/>
      <c r="J4172" s="5"/>
      <c r="K4172" s="5"/>
      <c r="L4172" s="5"/>
      <c r="M4172" s="5"/>
      <c r="N4172" s="5"/>
      <c r="O4172" s="5"/>
      <c r="P4172" s="5"/>
      <c r="Q4172" s="5"/>
      <c r="R4172" s="5"/>
      <c r="S4172" s="5"/>
      <c r="T4172" s="5"/>
      <c r="U4172" s="5"/>
      <c r="V4172" s="5"/>
      <c r="W4172" s="5"/>
      <c r="X4172" s="5"/>
      <c r="Y4172" s="5"/>
      <c r="Z4172" s="5"/>
      <c r="AA4172" s="5"/>
      <c r="AC4172" t="e">
        <f ca="1">RANK(AB4172,OFFSET($AB$2,0,0,#REF!,1))</f>
        <v>#REF!</v>
      </c>
      <c r="AD4172" s="4" t="e">
        <f>InsurerSize(#REF!)</f>
        <v>#VALUE!</v>
      </c>
      <c r="AE4172" s="4" t="e">
        <f t="shared" si="77"/>
        <v>#VALUE!</v>
      </c>
    </row>
    <row r="4173" spans="8:31" x14ac:dyDescent="0.2">
      <c r="H4173" s="5"/>
      <c r="I4173" s="5"/>
      <c r="J4173" s="5"/>
      <c r="K4173" s="5"/>
      <c r="L4173" s="5"/>
      <c r="M4173" s="5"/>
      <c r="N4173" s="5"/>
      <c r="O4173" s="5"/>
      <c r="P4173" s="5"/>
      <c r="Q4173" s="5"/>
      <c r="R4173" s="5"/>
      <c r="S4173" s="5"/>
      <c r="T4173" s="5"/>
      <c r="U4173" s="5"/>
      <c r="V4173" s="5"/>
      <c r="W4173" s="5"/>
      <c r="X4173" s="5"/>
      <c r="Y4173" s="5"/>
      <c r="Z4173" s="5"/>
      <c r="AA4173" s="5"/>
      <c r="AC4173" t="e">
        <f ca="1">RANK(AB4173,OFFSET($AB$2,0,0,#REF!,1))</f>
        <v>#REF!</v>
      </c>
      <c r="AD4173" s="4" t="e">
        <f>InsurerSize(#REF!)</f>
        <v>#VALUE!</v>
      </c>
      <c r="AE4173" s="4" t="e">
        <f t="shared" si="77"/>
        <v>#VALUE!</v>
      </c>
    </row>
    <row r="4174" spans="8:31" x14ac:dyDescent="0.2">
      <c r="H4174" s="5"/>
      <c r="I4174" s="5"/>
      <c r="J4174" s="5"/>
      <c r="K4174" s="5"/>
      <c r="L4174" s="5"/>
      <c r="M4174" s="5"/>
      <c r="N4174" s="5"/>
      <c r="O4174" s="5"/>
      <c r="P4174" s="5"/>
      <c r="Q4174" s="5"/>
      <c r="R4174" s="5"/>
      <c r="S4174" s="5"/>
      <c r="T4174" s="5"/>
      <c r="U4174" s="5"/>
      <c r="V4174" s="5"/>
      <c r="W4174" s="5"/>
      <c r="X4174" s="5"/>
      <c r="Y4174" s="5"/>
      <c r="Z4174" s="5"/>
      <c r="AA4174" s="5"/>
      <c r="AC4174" t="e">
        <f ca="1">RANK(AB4174,OFFSET($AB$2,0,0,#REF!,1))</f>
        <v>#REF!</v>
      </c>
      <c r="AD4174" s="4" t="e">
        <f>InsurerSize(#REF!)</f>
        <v>#VALUE!</v>
      </c>
      <c r="AE4174" s="4" t="e">
        <f t="shared" si="77"/>
        <v>#VALUE!</v>
      </c>
    </row>
    <row r="4175" spans="8:31" x14ac:dyDescent="0.2">
      <c r="H4175" s="5"/>
      <c r="I4175" s="5"/>
      <c r="J4175" s="5"/>
      <c r="K4175" s="5"/>
      <c r="L4175" s="5"/>
      <c r="M4175" s="5"/>
      <c r="N4175" s="5"/>
      <c r="O4175" s="5"/>
      <c r="P4175" s="5"/>
      <c r="Q4175" s="5"/>
      <c r="R4175" s="5"/>
      <c r="S4175" s="5"/>
      <c r="T4175" s="5"/>
      <c r="U4175" s="5"/>
      <c r="V4175" s="5"/>
      <c r="W4175" s="5"/>
      <c r="X4175" s="5"/>
      <c r="Y4175" s="5"/>
      <c r="Z4175" s="5"/>
      <c r="AA4175" s="5"/>
      <c r="AC4175" t="e">
        <f ca="1">RANK(AB4175,OFFSET($AB$2,0,0,#REF!,1))</f>
        <v>#REF!</v>
      </c>
      <c r="AD4175" s="4" t="e">
        <f>InsurerSize(#REF!)</f>
        <v>#VALUE!</v>
      </c>
      <c r="AE4175" s="4" t="e">
        <f t="shared" si="77"/>
        <v>#VALUE!</v>
      </c>
    </row>
    <row r="4176" spans="8:31" x14ac:dyDescent="0.2">
      <c r="H4176" s="5"/>
      <c r="I4176" s="5"/>
      <c r="J4176" s="5"/>
      <c r="K4176" s="5"/>
      <c r="L4176" s="5"/>
      <c r="M4176" s="5"/>
      <c r="N4176" s="5"/>
      <c r="O4176" s="5"/>
      <c r="P4176" s="5"/>
      <c r="Q4176" s="5"/>
      <c r="R4176" s="5"/>
      <c r="S4176" s="5"/>
      <c r="T4176" s="5"/>
      <c r="U4176" s="5"/>
      <c r="V4176" s="5"/>
      <c r="W4176" s="5"/>
      <c r="X4176" s="5"/>
      <c r="Y4176" s="5"/>
      <c r="Z4176" s="5"/>
      <c r="AA4176" s="5"/>
      <c r="AC4176" t="e">
        <f ca="1">RANK(AB4176,OFFSET($AB$2,0,0,#REF!,1))</f>
        <v>#REF!</v>
      </c>
      <c r="AD4176" s="4" t="e">
        <f>InsurerSize(#REF!)</f>
        <v>#VALUE!</v>
      </c>
      <c r="AE4176" s="4" t="e">
        <f t="shared" si="77"/>
        <v>#VALUE!</v>
      </c>
    </row>
    <row r="4177" spans="8:31" x14ac:dyDescent="0.2">
      <c r="H4177" s="5"/>
      <c r="I4177" s="5"/>
      <c r="J4177" s="5"/>
      <c r="K4177" s="5"/>
      <c r="L4177" s="5"/>
      <c r="M4177" s="5"/>
      <c r="N4177" s="5"/>
      <c r="O4177" s="5"/>
      <c r="P4177" s="5"/>
      <c r="Q4177" s="5"/>
      <c r="R4177" s="5"/>
      <c r="S4177" s="5"/>
      <c r="T4177" s="5"/>
      <c r="U4177" s="5"/>
      <c r="V4177" s="5"/>
      <c r="W4177" s="5"/>
      <c r="X4177" s="5"/>
      <c r="Y4177" s="5"/>
      <c r="Z4177" s="5"/>
      <c r="AA4177" s="5"/>
      <c r="AC4177" t="e">
        <f ca="1">RANK(AB4177,OFFSET($AB$2,0,0,#REF!,1))</f>
        <v>#REF!</v>
      </c>
      <c r="AD4177" s="4" t="e">
        <f>InsurerSize(#REF!)</f>
        <v>#VALUE!</v>
      </c>
      <c r="AE4177" s="4" t="e">
        <f t="shared" si="77"/>
        <v>#VALUE!</v>
      </c>
    </row>
    <row r="4178" spans="8:31" x14ac:dyDescent="0.2">
      <c r="H4178" s="5"/>
      <c r="I4178" s="5"/>
      <c r="J4178" s="5"/>
      <c r="K4178" s="5"/>
      <c r="L4178" s="5"/>
      <c r="M4178" s="5"/>
      <c r="N4178" s="5"/>
      <c r="O4178" s="5"/>
      <c r="P4178" s="5"/>
      <c r="Q4178" s="5"/>
      <c r="R4178" s="5"/>
      <c r="S4178" s="5"/>
      <c r="T4178" s="5"/>
      <c r="U4178" s="5"/>
      <c r="V4178" s="5"/>
      <c r="W4178" s="5"/>
      <c r="X4178" s="5"/>
      <c r="Y4178" s="5"/>
      <c r="Z4178" s="5"/>
      <c r="AA4178" s="5"/>
      <c r="AC4178" t="e">
        <f ca="1">RANK(AB4178,OFFSET($AB$2,0,0,#REF!,1))</f>
        <v>#REF!</v>
      </c>
      <c r="AD4178" s="4" t="e">
        <f>InsurerSize(#REF!)</f>
        <v>#VALUE!</v>
      </c>
      <c r="AE4178" s="4" t="e">
        <f t="shared" si="77"/>
        <v>#VALUE!</v>
      </c>
    </row>
    <row r="4179" spans="8:31" x14ac:dyDescent="0.2">
      <c r="H4179" s="5"/>
      <c r="I4179" s="5"/>
      <c r="J4179" s="5"/>
      <c r="K4179" s="5"/>
      <c r="L4179" s="5"/>
      <c r="M4179" s="5"/>
      <c r="N4179" s="5"/>
      <c r="O4179" s="5"/>
      <c r="P4179" s="5"/>
      <c r="Q4179" s="5"/>
      <c r="R4179" s="5"/>
      <c r="S4179" s="5"/>
      <c r="T4179" s="5"/>
      <c r="U4179" s="5"/>
      <c r="V4179" s="5"/>
      <c r="W4179" s="5"/>
      <c r="X4179" s="5"/>
      <c r="Y4179" s="5"/>
      <c r="Z4179" s="5"/>
      <c r="AA4179" s="5"/>
      <c r="AC4179" t="e">
        <f ca="1">RANK(AB4179,OFFSET($AB$2,0,0,#REF!,1))</f>
        <v>#REF!</v>
      </c>
      <c r="AD4179" s="4" t="e">
        <f>InsurerSize(#REF!)</f>
        <v>#VALUE!</v>
      </c>
      <c r="AE4179" s="4" t="e">
        <f t="shared" si="77"/>
        <v>#VALUE!</v>
      </c>
    </row>
    <row r="4180" spans="8:31" x14ac:dyDescent="0.2">
      <c r="H4180" s="5"/>
      <c r="I4180" s="5"/>
      <c r="J4180" s="5"/>
      <c r="K4180" s="5"/>
      <c r="L4180" s="5"/>
      <c r="M4180" s="5"/>
      <c r="N4180" s="5"/>
      <c r="O4180" s="5"/>
      <c r="P4180" s="5"/>
      <c r="Q4180" s="5"/>
      <c r="R4180" s="5"/>
      <c r="S4180" s="5"/>
      <c r="T4180" s="5"/>
      <c r="U4180" s="5"/>
      <c r="V4180" s="5"/>
      <c r="W4180" s="5"/>
      <c r="X4180" s="5"/>
      <c r="Y4180" s="5"/>
      <c r="Z4180" s="5"/>
      <c r="AA4180" s="5"/>
      <c r="AC4180" t="e">
        <f ca="1">RANK(AB4180,OFFSET($AB$2,0,0,#REF!,1))</f>
        <v>#REF!</v>
      </c>
      <c r="AD4180" s="4" t="e">
        <f>InsurerSize(#REF!)</f>
        <v>#VALUE!</v>
      </c>
      <c r="AE4180" s="4" t="e">
        <f t="shared" si="77"/>
        <v>#VALUE!</v>
      </c>
    </row>
    <row r="4181" spans="8:31" x14ac:dyDescent="0.2">
      <c r="H4181" s="5"/>
      <c r="I4181" s="5"/>
      <c r="J4181" s="5"/>
      <c r="K4181" s="5"/>
      <c r="L4181" s="5"/>
      <c r="M4181" s="5"/>
      <c r="N4181" s="5"/>
      <c r="O4181" s="5"/>
      <c r="P4181" s="5"/>
      <c r="Q4181" s="5"/>
      <c r="R4181" s="5"/>
      <c r="S4181" s="5"/>
      <c r="T4181" s="5"/>
      <c r="U4181" s="5"/>
      <c r="V4181" s="5"/>
      <c r="W4181" s="5"/>
      <c r="X4181" s="5"/>
      <c r="Y4181" s="5"/>
      <c r="Z4181" s="5"/>
      <c r="AA4181" s="5"/>
      <c r="AC4181" t="e">
        <f ca="1">RANK(AB4181,OFFSET($AB$2,0,0,#REF!,1))</f>
        <v>#REF!</v>
      </c>
      <c r="AD4181" s="4" t="e">
        <f>InsurerSize(#REF!)</f>
        <v>#VALUE!</v>
      </c>
      <c r="AE4181" s="4" t="e">
        <f t="shared" si="77"/>
        <v>#VALUE!</v>
      </c>
    </row>
    <row r="4182" spans="8:31" x14ac:dyDescent="0.2">
      <c r="H4182" s="5"/>
      <c r="I4182" s="5"/>
      <c r="J4182" s="5"/>
      <c r="K4182" s="5"/>
      <c r="L4182" s="5"/>
      <c r="M4182" s="5"/>
      <c r="N4182" s="5"/>
      <c r="O4182" s="5"/>
      <c r="P4182" s="5"/>
      <c r="Q4182" s="5"/>
      <c r="R4182" s="5"/>
      <c r="S4182" s="5"/>
      <c r="T4182" s="5"/>
      <c r="U4182" s="5"/>
      <c r="V4182" s="5"/>
      <c r="W4182" s="5"/>
      <c r="X4182" s="5"/>
      <c r="Y4182" s="5"/>
      <c r="Z4182" s="5"/>
      <c r="AA4182" s="5"/>
      <c r="AC4182" t="e">
        <f ca="1">RANK(AB4182,OFFSET($AB$2,0,0,#REF!,1))</f>
        <v>#REF!</v>
      </c>
      <c r="AD4182" s="4" t="e">
        <f>InsurerSize(#REF!)</f>
        <v>#VALUE!</v>
      </c>
      <c r="AE4182" s="4" t="e">
        <f t="shared" si="77"/>
        <v>#VALUE!</v>
      </c>
    </row>
    <row r="4183" spans="8:31" x14ac:dyDescent="0.2">
      <c r="H4183" s="5"/>
      <c r="I4183" s="5"/>
      <c r="J4183" s="5"/>
      <c r="K4183" s="5"/>
      <c r="L4183" s="5"/>
      <c r="M4183" s="5"/>
      <c r="N4183" s="5"/>
      <c r="O4183" s="5"/>
      <c r="P4183" s="5"/>
      <c r="Q4183" s="5"/>
      <c r="R4183" s="5"/>
      <c r="S4183" s="5"/>
      <c r="T4183" s="5"/>
      <c r="U4183" s="5"/>
      <c r="V4183" s="5"/>
      <c r="W4183" s="5"/>
      <c r="X4183" s="5"/>
      <c r="Y4183" s="5"/>
      <c r="Z4183" s="5"/>
      <c r="AA4183" s="5"/>
      <c r="AC4183" t="e">
        <f ca="1">RANK(AB4183,OFFSET($AB$2,0,0,#REF!,1))</f>
        <v>#REF!</v>
      </c>
      <c r="AD4183" s="4" t="e">
        <f>InsurerSize(#REF!)</f>
        <v>#VALUE!</v>
      </c>
      <c r="AE4183" s="4" t="e">
        <f t="shared" si="77"/>
        <v>#VALUE!</v>
      </c>
    </row>
    <row r="4184" spans="8:31" x14ac:dyDescent="0.2">
      <c r="H4184" s="5"/>
      <c r="I4184" s="5"/>
      <c r="J4184" s="5"/>
      <c r="K4184" s="5"/>
      <c r="L4184" s="5"/>
      <c r="M4184" s="5"/>
      <c r="N4184" s="5"/>
      <c r="O4184" s="5"/>
      <c r="P4184" s="5"/>
      <c r="Q4184" s="5"/>
      <c r="R4184" s="5"/>
      <c r="S4184" s="5"/>
      <c r="T4184" s="5"/>
      <c r="U4184" s="5"/>
      <c r="V4184" s="5"/>
      <c r="W4184" s="5"/>
      <c r="X4184" s="5"/>
      <c r="Y4184" s="5"/>
      <c r="Z4184" s="5"/>
      <c r="AA4184" s="5"/>
      <c r="AC4184" t="e">
        <f ca="1">RANK(AB4184,OFFSET($AB$2,0,0,#REF!,1))</f>
        <v>#REF!</v>
      </c>
      <c r="AD4184" s="4" t="e">
        <f>InsurerSize(#REF!)</f>
        <v>#VALUE!</v>
      </c>
      <c r="AE4184" s="4" t="e">
        <f t="shared" si="77"/>
        <v>#VALUE!</v>
      </c>
    </row>
    <row r="4185" spans="8:31" x14ac:dyDescent="0.2">
      <c r="H4185" s="5"/>
      <c r="I4185" s="5"/>
      <c r="J4185" s="5"/>
      <c r="K4185" s="5"/>
      <c r="L4185" s="5"/>
      <c r="M4185" s="5"/>
      <c r="N4185" s="5"/>
      <c r="O4185" s="5"/>
      <c r="P4185" s="5"/>
      <c r="Q4185" s="5"/>
      <c r="R4185" s="5"/>
      <c r="S4185" s="5"/>
      <c r="T4185" s="5"/>
      <c r="U4185" s="5"/>
      <c r="V4185" s="5"/>
      <c r="W4185" s="5"/>
      <c r="X4185" s="5"/>
      <c r="Y4185" s="5"/>
      <c r="Z4185" s="5"/>
      <c r="AA4185" s="5"/>
      <c r="AC4185" t="e">
        <f ca="1">RANK(AB4185,OFFSET($AB$2,0,0,#REF!,1))</f>
        <v>#REF!</v>
      </c>
      <c r="AD4185" s="4" t="e">
        <f>InsurerSize(#REF!)</f>
        <v>#VALUE!</v>
      </c>
      <c r="AE4185" s="4" t="e">
        <f t="shared" si="77"/>
        <v>#VALUE!</v>
      </c>
    </row>
    <row r="4186" spans="8:31" x14ac:dyDescent="0.2">
      <c r="H4186" s="5"/>
      <c r="I4186" s="5"/>
      <c r="J4186" s="5"/>
      <c r="K4186" s="5"/>
      <c r="L4186" s="5"/>
      <c r="M4186" s="5"/>
      <c r="N4186" s="5"/>
      <c r="O4186" s="5"/>
      <c r="P4186" s="5"/>
      <c r="Q4186" s="5"/>
      <c r="R4186" s="5"/>
      <c r="S4186" s="5"/>
      <c r="T4186" s="5"/>
      <c r="U4186" s="5"/>
      <c r="V4186" s="5"/>
      <c r="W4186" s="5"/>
      <c r="X4186" s="5"/>
      <c r="Y4186" s="5"/>
      <c r="Z4186" s="5"/>
      <c r="AA4186" s="5"/>
      <c r="AC4186" t="e">
        <f ca="1">RANK(AB4186,OFFSET($AB$2,0,0,#REF!,1))</f>
        <v>#REF!</v>
      </c>
      <c r="AD4186" s="4" t="e">
        <f>InsurerSize(#REF!)</f>
        <v>#VALUE!</v>
      </c>
      <c r="AE4186" s="4" t="e">
        <f t="shared" si="77"/>
        <v>#VALUE!</v>
      </c>
    </row>
    <row r="4187" spans="8:31" x14ac:dyDescent="0.2">
      <c r="H4187" s="5"/>
      <c r="I4187" s="5"/>
      <c r="J4187" s="5"/>
      <c r="K4187" s="5"/>
      <c r="L4187" s="5"/>
      <c r="M4187" s="5"/>
      <c r="N4187" s="5"/>
      <c r="O4187" s="5"/>
      <c r="P4187" s="5"/>
      <c r="Q4187" s="5"/>
      <c r="R4187" s="5"/>
      <c r="S4187" s="5"/>
      <c r="T4187" s="5"/>
      <c r="U4187" s="5"/>
      <c r="V4187" s="5"/>
      <c r="W4187" s="5"/>
      <c r="X4187" s="5"/>
      <c r="Y4187" s="5"/>
      <c r="Z4187" s="5"/>
      <c r="AA4187" s="5"/>
      <c r="AC4187" t="e">
        <f ca="1">RANK(AB4187,OFFSET($AB$2,0,0,#REF!,1))</f>
        <v>#REF!</v>
      </c>
      <c r="AD4187" s="4" t="e">
        <f>InsurerSize(#REF!)</f>
        <v>#VALUE!</v>
      </c>
      <c r="AE4187" s="4" t="e">
        <f t="shared" si="77"/>
        <v>#VALUE!</v>
      </c>
    </row>
    <row r="4188" spans="8:31" x14ac:dyDescent="0.2">
      <c r="H4188" s="5"/>
      <c r="I4188" s="5"/>
      <c r="J4188" s="5"/>
      <c r="K4188" s="5"/>
      <c r="L4188" s="5"/>
      <c r="M4188" s="5"/>
      <c r="N4188" s="5"/>
      <c r="O4188" s="5"/>
      <c r="P4188" s="5"/>
      <c r="Q4188" s="5"/>
      <c r="R4188" s="5"/>
      <c r="S4188" s="5"/>
      <c r="T4188" s="5"/>
      <c r="U4188" s="5"/>
      <c r="V4188" s="5"/>
      <c r="W4188" s="5"/>
      <c r="X4188" s="5"/>
      <c r="Y4188" s="5"/>
      <c r="Z4188" s="5"/>
      <c r="AA4188" s="5"/>
      <c r="AC4188" t="e">
        <f ca="1">RANK(AB4188,OFFSET($AB$2,0,0,#REF!,1))</f>
        <v>#REF!</v>
      </c>
      <c r="AD4188" s="4" t="e">
        <f>InsurerSize(#REF!)</f>
        <v>#VALUE!</v>
      </c>
      <c r="AE4188" s="4" t="e">
        <f t="shared" si="77"/>
        <v>#VALUE!</v>
      </c>
    </row>
    <row r="4189" spans="8:31" x14ac:dyDescent="0.2">
      <c r="H4189" s="5"/>
      <c r="I4189" s="5"/>
      <c r="J4189" s="5"/>
      <c r="K4189" s="5"/>
      <c r="L4189" s="5"/>
      <c r="M4189" s="5"/>
      <c r="N4189" s="5"/>
      <c r="O4189" s="5"/>
      <c r="P4189" s="5"/>
      <c r="Q4189" s="5"/>
      <c r="R4189" s="5"/>
      <c r="S4189" s="5"/>
      <c r="T4189" s="5"/>
      <c r="U4189" s="5"/>
      <c r="V4189" s="5"/>
      <c r="W4189" s="5"/>
      <c r="X4189" s="5"/>
      <c r="Y4189" s="5"/>
      <c r="Z4189" s="5"/>
      <c r="AA4189" s="5"/>
      <c r="AC4189" t="e">
        <f ca="1">RANK(AB4189,OFFSET($AB$2,0,0,#REF!,1))</f>
        <v>#REF!</v>
      </c>
      <c r="AD4189" s="4" t="e">
        <f>InsurerSize(#REF!)</f>
        <v>#VALUE!</v>
      </c>
      <c r="AE4189" s="4" t="e">
        <f t="shared" si="77"/>
        <v>#VALUE!</v>
      </c>
    </row>
    <row r="4190" spans="8:31" x14ac:dyDescent="0.2">
      <c r="H4190" s="5"/>
      <c r="I4190" s="5"/>
      <c r="J4190" s="5"/>
      <c r="K4190" s="5"/>
      <c r="L4190" s="5"/>
      <c r="M4190" s="5"/>
      <c r="N4190" s="5"/>
      <c r="O4190" s="5"/>
      <c r="P4190" s="5"/>
      <c r="Q4190" s="5"/>
      <c r="R4190" s="5"/>
      <c r="S4190" s="5"/>
      <c r="T4190" s="5"/>
      <c r="U4190" s="5"/>
      <c r="V4190" s="5"/>
      <c r="W4190" s="5"/>
      <c r="X4190" s="5"/>
      <c r="Y4190" s="5"/>
      <c r="Z4190" s="5"/>
      <c r="AA4190" s="5"/>
      <c r="AC4190" t="e">
        <f ca="1">RANK(AB4190,OFFSET($AB$2,0,0,#REF!,1))</f>
        <v>#REF!</v>
      </c>
      <c r="AD4190" s="4" t="e">
        <f>InsurerSize(#REF!)</f>
        <v>#VALUE!</v>
      </c>
      <c r="AE4190" s="4" t="e">
        <f t="shared" si="77"/>
        <v>#VALUE!</v>
      </c>
    </row>
    <row r="4191" spans="8:31" x14ac:dyDescent="0.2">
      <c r="H4191" s="5"/>
      <c r="I4191" s="5"/>
      <c r="J4191" s="5"/>
      <c r="K4191" s="5"/>
      <c r="L4191" s="5"/>
      <c r="M4191" s="5"/>
      <c r="N4191" s="5"/>
      <c r="O4191" s="5"/>
      <c r="P4191" s="5"/>
      <c r="Q4191" s="5"/>
      <c r="R4191" s="5"/>
      <c r="S4191" s="5"/>
      <c r="T4191" s="5"/>
      <c r="U4191" s="5"/>
      <c r="V4191" s="5"/>
      <c r="W4191" s="5"/>
      <c r="X4191" s="5"/>
      <c r="Y4191" s="5"/>
      <c r="Z4191" s="5"/>
      <c r="AA4191" s="5"/>
      <c r="AC4191" t="e">
        <f ca="1">RANK(AB4191,OFFSET($AB$2,0,0,#REF!,1))</f>
        <v>#REF!</v>
      </c>
      <c r="AD4191" s="4" t="e">
        <f>InsurerSize(#REF!)</f>
        <v>#VALUE!</v>
      </c>
      <c r="AE4191" s="4" t="e">
        <f t="shared" si="77"/>
        <v>#VALUE!</v>
      </c>
    </row>
    <row r="4192" spans="8:31" x14ac:dyDescent="0.2">
      <c r="H4192" s="5"/>
      <c r="I4192" s="5"/>
      <c r="J4192" s="5"/>
      <c r="K4192" s="5"/>
      <c r="L4192" s="5"/>
      <c r="M4192" s="5"/>
      <c r="N4192" s="5"/>
      <c r="O4192" s="5"/>
      <c r="P4192" s="5"/>
      <c r="Q4192" s="5"/>
      <c r="R4192" s="5"/>
      <c r="S4192" s="5"/>
      <c r="T4192" s="5"/>
      <c r="U4192" s="5"/>
      <c r="V4192" s="5"/>
      <c r="W4192" s="5"/>
      <c r="X4192" s="5"/>
      <c r="Y4192" s="5"/>
      <c r="Z4192" s="5"/>
      <c r="AA4192" s="5"/>
      <c r="AC4192" t="e">
        <f ca="1">RANK(AB4192,OFFSET($AB$2,0,0,#REF!,1))</f>
        <v>#REF!</v>
      </c>
      <c r="AD4192" s="4" t="e">
        <f>InsurerSize(#REF!)</f>
        <v>#VALUE!</v>
      </c>
      <c r="AE4192" s="4" t="e">
        <f t="shared" si="77"/>
        <v>#VALUE!</v>
      </c>
    </row>
    <row r="4193" spans="8:31" x14ac:dyDescent="0.2">
      <c r="H4193" s="5"/>
      <c r="I4193" s="5"/>
      <c r="J4193" s="5"/>
      <c r="K4193" s="5"/>
      <c r="L4193" s="5"/>
      <c r="M4193" s="5"/>
      <c r="N4193" s="5"/>
      <c r="O4193" s="5"/>
      <c r="P4193" s="5"/>
      <c r="Q4193" s="5"/>
      <c r="R4193" s="5"/>
      <c r="S4193" s="5"/>
      <c r="T4193" s="5"/>
      <c r="U4193" s="5"/>
      <c r="V4193" s="5"/>
      <c r="W4193" s="5"/>
      <c r="X4193" s="5"/>
      <c r="Y4193" s="5"/>
      <c r="Z4193" s="5"/>
      <c r="AA4193" s="5"/>
      <c r="AC4193" t="e">
        <f ca="1">RANK(AB4193,OFFSET($AB$2,0,0,#REF!,1))</f>
        <v>#REF!</v>
      </c>
      <c r="AD4193" s="4" t="e">
        <f>InsurerSize(#REF!)</f>
        <v>#VALUE!</v>
      </c>
      <c r="AE4193" s="4" t="e">
        <f t="shared" si="77"/>
        <v>#VALUE!</v>
      </c>
    </row>
    <row r="4194" spans="8:31" x14ac:dyDescent="0.2">
      <c r="H4194" s="5"/>
      <c r="I4194" s="5"/>
      <c r="J4194" s="5"/>
      <c r="K4194" s="5"/>
      <c r="L4194" s="5"/>
      <c r="M4194" s="5"/>
      <c r="N4194" s="5"/>
      <c r="O4194" s="5"/>
      <c r="P4194" s="5"/>
      <c r="Q4194" s="5"/>
      <c r="R4194" s="5"/>
      <c r="S4194" s="5"/>
      <c r="T4194" s="5"/>
      <c r="U4194" s="5"/>
      <c r="V4194" s="5"/>
      <c r="W4194" s="5"/>
      <c r="X4194" s="5"/>
      <c r="Y4194" s="5"/>
      <c r="Z4194" s="5"/>
      <c r="AA4194" s="5"/>
      <c r="AC4194" t="e">
        <f ca="1">RANK(AB4194,OFFSET($AB$2,0,0,#REF!,1))</f>
        <v>#REF!</v>
      </c>
      <c r="AD4194" s="4" t="e">
        <f>InsurerSize(#REF!)</f>
        <v>#VALUE!</v>
      </c>
      <c r="AE4194" s="4" t="e">
        <f t="shared" si="77"/>
        <v>#VALUE!</v>
      </c>
    </row>
    <row r="4195" spans="8:31" x14ac:dyDescent="0.2">
      <c r="H4195" s="5"/>
      <c r="I4195" s="5"/>
      <c r="J4195" s="5"/>
      <c r="K4195" s="5"/>
      <c r="L4195" s="5"/>
      <c r="M4195" s="5"/>
      <c r="N4195" s="5"/>
      <c r="O4195" s="5"/>
      <c r="P4195" s="5"/>
      <c r="Q4195" s="5"/>
      <c r="R4195" s="5"/>
      <c r="S4195" s="5"/>
      <c r="T4195" s="5"/>
      <c r="U4195" s="5"/>
      <c r="V4195" s="5"/>
      <c r="W4195" s="5"/>
      <c r="X4195" s="5"/>
      <c r="Y4195" s="5"/>
      <c r="Z4195" s="5"/>
      <c r="AA4195" s="5"/>
      <c r="AC4195" t="e">
        <f ca="1">RANK(AB4195,OFFSET($AB$2,0,0,#REF!,1))</f>
        <v>#REF!</v>
      </c>
      <c r="AD4195" s="4" t="e">
        <f>InsurerSize(#REF!)</f>
        <v>#VALUE!</v>
      </c>
      <c r="AE4195" s="4" t="e">
        <f t="shared" si="77"/>
        <v>#VALUE!</v>
      </c>
    </row>
    <row r="4196" spans="8:31" x14ac:dyDescent="0.2">
      <c r="H4196" s="5"/>
      <c r="I4196" s="5"/>
      <c r="J4196" s="5"/>
      <c r="K4196" s="5"/>
      <c r="L4196" s="5"/>
      <c r="M4196" s="5"/>
      <c r="N4196" s="5"/>
      <c r="O4196" s="5"/>
      <c r="P4196" s="5"/>
      <c r="Q4196" s="5"/>
      <c r="R4196" s="5"/>
      <c r="S4196" s="5"/>
      <c r="T4196" s="5"/>
      <c r="U4196" s="5"/>
      <c r="V4196" s="5"/>
      <c r="W4196" s="5"/>
      <c r="X4196" s="5"/>
      <c r="Y4196" s="5"/>
      <c r="Z4196" s="5"/>
      <c r="AA4196" s="5"/>
      <c r="AC4196" t="e">
        <f ca="1">RANK(AB4196,OFFSET($AB$2,0,0,#REF!,1))</f>
        <v>#REF!</v>
      </c>
      <c r="AD4196" s="4" t="e">
        <f>InsurerSize(#REF!)</f>
        <v>#VALUE!</v>
      </c>
      <c r="AE4196" s="4" t="e">
        <f t="shared" si="77"/>
        <v>#VALUE!</v>
      </c>
    </row>
    <row r="4197" spans="8:31" x14ac:dyDescent="0.2">
      <c r="H4197" s="5"/>
      <c r="I4197" s="5"/>
      <c r="J4197" s="5"/>
      <c r="K4197" s="5"/>
      <c r="L4197" s="5"/>
      <c r="M4197" s="5"/>
      <c r="N4197" s="5"/>
      <c r="O4197" s="5"/>
      <c r="P4197" s="5"/>
      <c r="Q4197" s="5"/>
      <c r="R4197" s="5"/>
      <c r="S4197" s="5"/>
      <c r="T4197" s="5"/>
      <c r="U4197" s="5"/>
      <c r="V4197" s="5"/>
      <c r="W4197" s="5"/>
      <c r="X4197" s="5"/>
      <c r="Y4197" s="5"/>
      <c r="Z4197" s="5"/>
      <c r="AA4197" s="5"/>
      <c r="AC4197" t="e">
        <f ca="1">RANK(AB4197,OFFSET($AB$2,0,0,#REF!,1))</f>
        <v>#REF!</v>
      </c>
      <c r="AD4197" s="4" t="e">
        <f>InsurerSize(#REF!)</f>
        <v>#VALUE!</v>
      </c>
      <c r="AE4197" s="4" t="e">
        <f t="shared" si="77"/>
        <v>#VALUE!</v>
      </c>
    </row>
    <row r="4198" spans="8:31" x14ac:dyDescent="0.2">
      <c r="H4198" s="5"/>
      <c r="I4198" s="5"/>
      <c r="J4198" s="5"/>
      <c r="K4198" s="5"/>
      <c r="L4198" s="5"/>
      <c r="M4198" s="5"/>
      <c r="N4198" s="5"/>
      <c r="O4198" s="5"/>
      <c r="P4198" s="5"/>
      <c r="Q4198" s="5"/>
      <c r="R4198" s="5"/>
      <c r="S4198" s="5"/>
      <c r="T4198" s="5"/>
      <c r="U4198" s="5"/>
      <c r="V4198" s="5"/>
      <c r="W4198" s="5"/>
      <c r="X4198" s="5"/>
      <c r="Y4198" s="5"/>
      <c r="Z4198" s="5"/>
      <c r="AA4198" s="5"/>
      <c r="AC4198" t="e">
        <f ca="1">RANK(AB4198,OFFSET($AB$2,0,0,#REF!,1))</f>
        <v>#REF!</v>
      </c>
      <c r="AD4198" s="4" t="e">
        <f>InsurerSize(#REF!)</f>
        <v>#VALUE!</v>
      </c>
      <c r="AE4198" s="4" t="e">
        <f t="shared" si="77"/>
        <v>#VALUE!</v>
      </c>
    </row>
    <row r="4199" spans="8:31" x14ac:dyDescent="0.2">
      <c r="H4199" s="5"/>
      <c r="I4199" s="5"/>
      <c r="J4199" s="5"/>
      <c r="K4199" s="5"/>
      <c r="L4199" s="5"/>
      <c r="M4199" s="5"/>
      <c r="N4199" s="5"/>
      <c r="O4199" s="5"/>
      <c r="P4199" s="5"/>
      <c r="Q4199" s="5"/>
      <c r="R4199" s="5"/>
      <c r="S4199" s="5"/>
      <c r="T4199" s="5"/>
      <c r="U4199" s="5"/>
      <c r="V4199" s="5"/>
      <c r="W4199" s="5"/>
      <c r="X4199" s="5"/>
      <c r="Y4199" s="5"/>
      <c r="Z4199" s="5"/>
      <c r="AA4199" s="5"/>
      <c r="AC4199" t="e">
        <f ca="1">RANK(AB4199,OFFSET($AB$2,0,0,#REF!,1))</f>
        <v>#REF!</v>
      </c>
      <c r="AD4199" s="4" t="e">
        <f>InsurerSize(#REF!)</f>
        <v>#VALUE!</v>
      </c>
      <c r="AE4199" s="4" t="e">
        <f t="shared" si="77"/>
        <v>#VALUE!</v>
      </c>
    </row>
    <row r="4200" spans="8:31" x14ac:dyDescent="0.2">
      <c r="H4200" s="5"/>
      <c r="I4200" s="5"/>
      <c r="J4200" s="5"/>
      <c r="K4200" s="5"/>
      <c r="L4200" s="5"/>
      <c r="M4200" s="5"/>
      <c r="N4200" s="5"/>
      <c r="O4200" s="5"/>
      <c r="P4200" s="5"/>
      <c r="Q4200" s="5"/>
      <c r="R4200" s="5"/>
      <c r="S4200" s="5"/>
      <c r="T4200" s="5"/>
      <c r="U4200" s="5"/>
      <c r="V4200" s="5"/>
      <c r="W4200" s="5"/>
      <c r="X4200" s="5"/>
      <c r="Y4200" s="5"/>
      <c r="Z4200" s="5"/>
      <c r="AA4200" s="5"/>
      <c r="AC4200" t="e">
        <f ca="1">RANK(AB4200,OFFSET($AB$2,0,0,#REF!,1))</f>
        <v>#REF!</v>
      </c>
      <c r="AD4200" s="4" t="e">
        <f>InsurerSize(#REF!)</f>
        <v>#VALUE!</v>
      </c>
      <c r="AE4200" s="4" t="e">
        <f t="shared" si="77"/>
        <v>#VALUE!</v>
      </c>
    </row>
    <row r="4201" spans="8:31" x14ac:dyDescent="0.2">
      <c r="H4201" s="5"/>
      <c r="I4201" s="5"/>
      <c r="J4201" s="5"/>
      <c r="K4201" s="5"/>
      <c r="L4201" s="5"/>
      <c r="M4201" s="5"/>
      <c r="N4201" s="5"/>
      <c r="O4201" s="5"/>
      <c r="P4201" s="5"/>
      <c r="Q4201" s="5"/>
      <c r="R4201" s="5"/>
      <c r="S4201" s="5"/>
      <c r="T4201" s="5"/>
      <c r="U4201" s="5"/>
      <c r="V4201" s="5"/>
      <c r="W4201" s="5"/>
      <c r="X4201" s="5"/>
      <c r="Y4201" s="5"/>
      <c r="Z4201" s="5"/>
      <c r="AA4201" s="5"/>
      <c r="AC4201" t="e">
        <f ca="1">RANK(AB4201,OFFSET($AB$2,0,0,#REF!,1))</f>
        <v>#REF!</v>
      </c>
      <c r="AD4201" s="4" t="e">
        <f>InsurerSize(#REF!)</f>
        <v>#VALUE!</v>
      </c>
      <c r="AE4201" s="4" t="e">
        <f t="shared" si="77"/>
        <v>#VALUE!</v>
      </c>
    </row>
    <row r="4202" spans="8:31" x14ac:dyDescent="0.2">
      <c r="H4202" s="5"/>
      <c r="I4202" s="5"/>
      <c r="J4202" s="5"/>
      <c r="K4202" s="5"/>
      <c r="L4202" s="5"/>
      <c r="M4202" s="5"/>
      <c r="N4202" s="5"/>
      <c r="O4202" s="5"/>
      <c r="P4202" s="5"/>
      <c r="Q4202" s="5"/>
      <c r="R4202" s="5"/>
      <c r="S4202" s="5"/>
      <c r="T4202" s="5"/>
      <c r="U4202" s="5"/>
      <c r="V4202" s="5"/>
      <c r="W4202" s="5"/>
      <c r="X4202" s="5"/>
      <c r="Y4202" s="5"/>
      <c r="Z4202" s="5"/>
      <c r="AA4202" s="5"/>
      <c r="AC4202" t="e">
        <f ca="1">RANK(AB4202,OFFSET($AB$2,0,0,#REF!,1))</f>
        <v>#REF!</v>
      </c>
      <c r="AD4202" s="4" t="e">
        <f>InsurerSize(#REF!)</f>
        <v>#VALUE!</v>
      </c>
      <c r="AE4202" s="4" t="e">
        <f t="shared" si="77"/>
        <v>#VALUE!</v>
      </c>
    </row>
    <row r="4203" spans="8:31" x14ac:dyDescent="0.2">
      <c r="H4203" s="5"/>
      <c r="I4203" s="5"/>
      <c r="J4203" s="5"/>
      <c r="K4203" s="5"/>
      <c r="L4203" s="5"/>
      <c r="M4203" s="5"/>
      <c r="N4203" s="5"/>
      <c r="O4203" s="5"/>
      <c r="P4203" s="5"/>
      <c r="Q4203" s="5"/>
      <c r="R4203" s="5"/>
      <c r="S4203" s="5"/>
      <c r="T4203" s="5"/>
      <c r="U4203" s="5"/>
      <c r="V4203" s="5"/>
      <c r="W4203" s="5"/>
      <c r="X4203" s="5"/>
      <c r="Y4203" s="5"/>
      <c r="Z4203" s="5"/>
      <c r="AA4203" s="5"/>
      <c r="AC4203" t="e">
        <f ca="1">RANK(AB4203,OFFSET($AB$2,0,0,#REF!,1))</f>
        <v>#REF!</v>
      </c>
      <c r="AD4203" s="4" t="e">
        <f>InsurerSize(#REF!)</f>
        <v>#VALUE!</v>
      </c>
      <c r="AE4203" s="4" t="e">
        <f t="shared" si="77"/>
        <v>#VALUE!</v>
      </c>
    </row>
    <row r="4204" spans="8:31" x14ac:dyDescent="0.2">
      <c r="H4204" s="5"/>
      <c r="I4204" s="5"/>
      <c r="J4204" s="5"/>
      <c r="K4204" s="5"/>
      <c r="L4204" s="5"/>
      <c r="M4204" s="5"/>
      <c r="N4204" s="5"/>
      <c r="O4204" s="5"/>
      <c r="P4204" s="5"/>
      <c r="Q4204" s="5"/>
      <c r="R4204" s="5"/>
      <c r="S4204" s="5"/>
      <c r="T4204" s="5"/>
      <c r="U4204" s="5"/>
      <c r="V4204" s="5"/>
      <c r="W4204" s="5"/>
      <c r="X4204" s="5"/>
      <c r="Y4204" s="5"/>
      <c r="Z4204" s="5"/>
      <c r="AA4204" s="5"/>
      <c r="AC4204" t="e">
        <f ca="1">RANK(AB4204,OFFSET($AB$2,0,0,#REF!,1))</f>
        <v>#REF!</v>
      </c>
      <c r="AD4204" s="4" t="e">
        <f>InsurerSize(#REF!)</f>
        <v>#VALUE!</v>
      </c>
      <c r="AE4204" s="4" t="e">
        <f t="shared" si="77"/>
        <v>#VALUE!</v>
      </c>
    </row>
    <row r="4205" spans="8:31" x14ac:dyDescent="0.2">
      <c r="H4205" s="5"/>
      <c r="I4205" s="5"/>
      <c r="J4205" s="5"/>
      <c r="K4205" s="5"/>
      <c r="L4205" s="5"/>
      <c r="M4205" s="5"/>
      <c r="N4205" s="5"/>
      <c r="O4205" s="5"/>
      <c r="P4205" s="5"/>
      <c r="Q4205" s="5"/>
      <c r="R4205" s="5"/>
      <c r="S4205" s="5"/>
      <c r="T4205" s="5"/>
      <c r="U4205" s="5"/>
      <c r="V4205" s="5"/>
      <c r="W4205" s="5"/>
      <c r="X4205" s="5"/>
      <c r="Y4205" s="5"/>
      <c r="Z4205" s="5"/>
      <c r="AA4205" s="5"/>
      <c r="AC4205" t="e">
        <f ca="1">RANK(AB4205,OFFSET($AB$2,0,0,#REF!,1))</f>
        <v>#REF!</v>
      </c>
      <c r="AD4205" s="4" t="e">
        <f>InsurerSize(#REF!)</f>
        <v>#VALUE!</v>
      </c>
      <c r="AE4205" s="4" t="e">
        <f t="shared" si="77"/>
        <v>#VALUE!</v>
      </c>
    </row>
    <row r="4206" spans="8:31" x14ac:dyDescent="0.2">
      <c r="H4206" s="5"/>
      <c r="I4206" s="5"/>
      <c r="J4206" s="5"/>
      <c r="K4206" s="5"/>
      <c r="L4206" s="5"/>
      <c r="M4206" s="5"/>
      <c r="N4206" s="5"/>
      <c r="O4206" s="5"/>
      <c r="P4206" s="5"/>
      <c r="Q4206" s="5"/>
      <c r="R4206" s="5"/>
      <c r="S4206" s="5"/>
      <c r="T4206" s="5"/>
      <c r="U4206" s="5"/>
      <c r="V4206" s="5"/>
      <c r="W4206" s="5"/>
      <c r="X4206" s="5"/>
      <c r="Y4206" s="5"/>
      <c r="Z4206" s="5"/>
      <c r="AA4206" s="5"/>
      <c r="AC4206" t="e">
        <f ca="1">RANK(AB4206,OFFSET($AB$2,0,0,#REF!,1))</f>
        <v>#REF!</v>
      </c>
      <c r="AD4206" s="4" t="e">
        <f>InsurerSize(#REF!)</f>
        <v>#VALUE!</v>
      </c>
      <c r="AE4206" s="4" t="e">
        <f t="shared" si="77"/>
        <v>#VALUE!</v>
      </c>
    </row>
    <row r="4207" spans="8:31" x14ac:dyDescent="0.2">
      <c r="H4207" s="5"/>
      <c r="I4207" s="5"/>
      <c r="J4207" s="5"/>
      <c r="K4207" s="5"/>
      <c r="L4207" s="5"/>
      <c r="M4207" s="5"/>
      <c r="N4207" s="5"/>
      <c r="O4207" s="5"/>
      <c r="P4207" s="5"/>
      <c r="Q4207" s="5"/>
      <c r="R4207" s="5"/>
      <c r="S4207" s="5"/>
      <c r="T4207" s="5"/>
      <c r="U4207" s="5"/>
      <c r="V4207" s="5"/>
      <c r="W4207" s="5"/>
      <c r="X4207" s="5"/>
      <c r="Y4207" s="5"/>
      <c r="Z4207" s="5"/>
      <c r="AA4207" s="5"/>
      <c r="AC4207" t="e">
        <f ca="1">RANK(AB4207,OFFSET($AB$2,0,0,#REF!,1))</f>
        <v>#REF!</v>
      </c>
      <c r="AD4207" s="4" t="e">
        <f>InsurerSize(#REF!)</f>
        <v>#VALUE!</v>
      </c>
      <c r="AE4207" s="4" t="e">
        <f t="shared" si="77"/>
        <v>#VALUE!</v>
      </c>
    </row>
    <row r="4208" spans="8:31" x14ac:dyDescent="0.2">
      <c r="H4208" s="5"/>
      <c r="I4208" s="5"/>
      <c r="J4208" s="5"/>
      <c r="K4208" s="5"/>
      <c r="L4208" s="5"/>
      <c r="M4208" s="5"/>
      <c r="N4208" s="5"/>
      <c r="O4208" s="5"/>
      <c r="P4208" s="5"/>
      <c r="Q4208" s="5"/>
      <c r="R4208" s="5"/>
      <c r="S4208" s="5"/>
      <c r="T4208" s="5"/>
      <c r="U4208" s="5"/>
      <c r="V4208" s="5"/>
      <c r="W4208" s="5"/>
      <c r="X4208" s="5"/>
      <c r="Y4208" s="5"/>
      <c r="Z4208" s="5"/>
      <c r="AA4208" s="5"/>
      <c r="AC4208" t="e">
        <f ca="1">RANK(AB4208,OFFSET($AB$2,0,0,#REF!,1))</f>
        <v>#REF!</v>
      </c>
      <c r="AD4208" s="4" t="e">
        <f>InsurerSize(#REF!)</f>
        <v>#VALUE!</v>
      </c>
      <c r="AE4208" s="4" t="e">
        <f t="shared" si="77"/>
        <v>#VALUE!</v>
      </c>
    </row>
    <row r="4209" spans="8:31" x14ac:dyDescent="0.2">
      <c r="H4209" s="5"/>
      <c r="I4209" s="5"/>
      <c r="J4209" s="5"/>
      <c r="K4209" s="5"/>
      <c r="L4209" s="5"/>
      <c r="M4209" s="5"/>
      <c r="N4209" s="5"/>
      <c r="O4209" s="5"/>
      <c r="P4209" s="5"/>
      <c r="Q4209" s="5"/>
      <c r="R4209" s="5"/>
      <c r="S4209" s="5"/>
      <c r="T4209" s="5"/>
      <c r="U4209" s="5"/>
      <c r="V4209" s="5"/>
      <c r="W4209" s="5"/>
      <c r="X4209" s="5"/>
      <c r="Y4209" s="5"/>
      <c r="Z4209" s="5"/>
      <c r="AA4209" s="5"/>
      <c r="AC4209" t="e">
        <f ca="1">RANK(AB4209,OFFSET($AB$2,0,0,#REF!,1))</f>
        <v>#REF!</v>
      </c>
      <c r="AD4209" s="4" t="e">
        <f>InsurerSize(#REF!)</f>
        <v>#VALUE!</v>
      </c>
      <c r="AE4209" s="4" t="e">
        <f t="shared" si="77"/>
        <v>#VALUE!</v>
      </c>
    </row>
    <row r="4210" spans="8:31" x14ac:dyDescent="0.2">
      <c r="H4210" s="5"/>
      <c r="I4210" s="5"/>
      <c r="J4210" s="5"/>
      <c r="K4210" s="5"/>
      <c r="L4210" s="5"/>
      <c r="M4210" s="5"/>
      <c r="N4210" s="5"/>
      <c r="O4210" s="5"/>
      <c r="P4210" s="5"/>
      <c r="Q4210" s="5"/>
      <c r="R4210" s="5"/>
      <c r="S4210" s="5"/>
      <c r="T4210" s="5"/>
      <c r="U4210" s="5"/>
      <c r="V4210" s="5"/>
      <c r="W4210" s="5"/>
      <c r="X4210" s="5"/>
      <c r="Y4210" s="5"/>
      <c r="Z4210" s="5"/>
      <c r="AA4210" s="5"/>
      <c r="AC4210" t="e">
        <f ca="1">RANK(AB4210,OFFSET($AB$2,0,0,#REF!,1))</f>
        <v>#REF!</v>
      </c>
      <c r="AD4210" s="4" t="e">
        <f>InsurerSize(#REF!)</f>
        <v>#VALUE!</v>
      </c>
      <c r="AE4210" s="4" t="e">
        <f t="shared" si="77"/>
        <v>#VALUE!</v>
      </c>
    </row>
    <row r="4211" spans="8:31" x14ac:dyDescent="0.2">
      <c r="H4211" s="5"/>
      <c r="I4211" s="5"/>
      <c r="J4211" s="5"/>
      <c r="K4211" s="5"/>
      <c r="L4211" s="5"/>
      <c r="M4211" s="5"/>
      <c r="N4211" s="5"/>
      <c r="O4211" s="5"/>
      <c r="P4211" s="5"/>
      <c r="Q4211" s="5"/>
      <c r="R4211" s="5"/>
      <c r="S4211" s="5"/>
      <c r="T4211" s="5"/>
      <c r="U4211" s="5"/>
      <c r="V4211" s="5"/>
      <c r="W4211" s="5"/>
      <c r="X4211" s="5"/>
      <c r="Y4211" s="5"/>
      <c r="Z4211" s="5"/>
      <c r="AA4211" s="5"/>
      <c r="AC4211" t="e">
        <f ca="1">RANK(AB4211,OFFSET($AB$2,0,0,#REF!,1))</f>
        <v>#REF!</v>
      </c>
      <c r="AD4211" s="4" t="e">
        <f>InsurerSize(#REF!)</f>
        <v>#VALUE!</v>
      </c>
      <c r="AE4211" s="4" t="e">
        <f t="shared" si="77"/>
        <v>#VALUE!</v>
      </c>
    </row>
    <row r="4212" spans="8:31" x14ac:dyDescent="0.2">
      <c r="H4212" s="5"/>
      <c r="I4212" s="5"/>
      <c r="J4212" s="5"/>
      <c r="K4212" s="5"/>
      <c r="L4212" s="5"/>
      <c r="M4212" s="5"/>
      <c r="N4212" s="5"/>
      <c r="O4212" s="5"/>
      <c r="P4212" s="5"/>
      <c r="Q4212" s="5"/>
      <c r="R4212" s="5"/>
      <c r="S4212" s="5"/>
      <c r="T4212" s="5"/>
      <c r="U4212" s="5"/>
      <c r="V4212" s="5"/>
      <c r="W4212" s="5"/>
      <c r="X4212" s="5"/>
      <c r="Y4212" s="5"/>
      <c r="Z4212" s="5"/>
      <c r="AA4212" s="5"/>
      <c r="AC4212" t="e">
        <f ca="1">RANK(AB4212,OFFSET($AB$2,0,0,#REF!,1))</f>
        <v>#REF!</v>
      </c>
      <c r="AD4212" s="4" t="e">
        <f>InsurerSize(#REF!)</f>
        <v>#VALUE!</v>
      </c>
      <c r="AE4212" s="4" t="e">
        <f t="shared" si="77"/>
        <v>#VALUE!</v>
      </c>
    </row>
    <row r="4213" spans="8:31" x14ac:dyDescent="0.2">
      <c r="H4213" s="5"/>
      <c r="I4213" s="5"/>
      <c r="J4213" s="5"/>
      <c r="K4213" s="5"/>
      <c r="L4213" s="5"/>
      <c r="M4213" s="5"/>
      <c r="N4213" s="5"/>
      <c r="O4213" s="5"/>
      <c r="P4213" s="5"/>
      <c r="Q4213" s="5"/>
      <c r="R4213" s="5"/>
      <c r="S4213" s="5"/>
      <c r="T4213" s="5"/>
      <c r="U4213" s="5"/>
      <c r="V4213" s="5"/>
      <c r="W4213" s="5"/>
      <c r="X4213" s="5"/>
      <c r="Y4213" s="5"/>
      <c r="Z4213" s="5"/>
      <c r="AA4213" s="5"/>
      <c r="AC4213" t="e">
        <f ca="1">RANK(AB4213,OFFSET($AB$2,0,0,#REF!,1))</f>
        <v>#REF!</v>
      </c>
      <c r="AD4213" s="4" t="e">
        <f>InsurerSize(#REF!)</f>
        <v>#VALUE!</v>
      </c>
      <c r="AE4213" s="4" t="e">
        <f t="shared" si="77"/>
        <v>#VALUE!</v>
      </c>
    </row>
    <row r="4214" spans="8:31" x14ac:dyDescent="0.2">
      <c r="H4214" s="5"/>
      <c r="I4214" s="5"/>
      <c r="J4214" s="5"/>
      <c r="K4214" s="5"/>
      <c r="L4214" s="5"/>
      <c r="M4214" s="5"/>
      <c r="N4214" s="5"/>
      <c r="O4214" s="5"/>
      <c r="P4214" s="5"/>
      <c r="Q4214" s="5"/>
      <c r="R4214" s="5"/>
      <c r="S4214" s="5"/>
      <c r="T4214" s="5"/>
      <c r="U4214" s="5"/>
      <c r="V4214" s="5"/>
      <c r="W4214" s="5"/>
      <c r="X4214" s="5"/>
      <c r="Y4214" s="5"/>
      <c r="Z4214" s="5"/>
      <c r="AA4214" s="5"/>
      <c r="AC4214" t="e">
        <f ca="1">RANK(AB4214,OFFSET($AB$2,0,0,#REF!,1))</f>
        <v>#REF!</v>
      </c>
      <c r="AD4214" s="4" t="e">
        <f>InsurerSize(#REF!)</f>
        <v>#VALUE!</v>
      </c>
      <c r="AE4214" s="4" t="e">
        <f t="shared" si="77"/>
        <v>#VALUE!</v>
      </c>
    </row>
    <row r="4215" spans="8:31" x14ac:dyDescent="0.2">
      <c r="H4215" s="5"/>
      <c r="I4215" s="5"/>
      <c r="J4215" s="5"/>
      <c r="K4215" s="5"/>
      <c r="L4215" s="5"/>
      <c r="M4215" s="5"/>
      <c r="N4215" s="5"/>
      <c r="O4215" s="5"/>
      <c r="P4215" s="5"/>
      <c r="Q4215" s="5"/>
      <c r="R4215" s="5"/>
      <c r="S4215" s="5"/>
      <c r="T4215" s="5"/>
      <c r="U4215" s="5"/>
      <c r="V4215" s="5"/>
      <c r="W4215" s="5"/>
      <c r="X4215" s="5"/>
      <c r="Y4215" s="5"/>
      <c r="Z4215" s="5"/>
      <c r="AA4215" s="5"/>
      <c r="AC4215" t="e">
        <f ca="1">RANK(AB4215,OFFSET($AB$2,0,0,#REF!,1))</f>
        <v>#REF!</v>
      </c>
      <c r="AD4215" s="4" t="e">
        <f>InsurerSize(#REF!)</f>
        <v>#VALUE!</v>
      </c>
      <c r="AE4215" s="4" t="e">
        <f t="shared" si="77"/>
        <v>#VALUE!</v>
      </c>
    </row>
    <row r="4216" spans="8:31" x14ac:dyDescent="0.2">
      <c r="H4216" s="5"/>
      <c r="I4216" s="5"/>
      <c r="J4216" s="5"/>
      <c r="K4216" s="5"/>
      <c r="L4216" s="5"/>
      <c r="M4216" s="5"/>
      <c r="N4216" s="5"/>
      <c r="O4216" s="5"/>
      <c r="P4216" s="5"/>
      <c r="Q4216" s="5"/>
      <c r="R4216" s="5"/>
      <c r="S4216" s="5"/>
      <c r="T4216" s="5"/>
      <c r="U4216" s="5"/>
      <c r="V4216" s="5"/>
      <c r="W4216" s="5"/>
      <c r="X4216" s="5"/>
      <c r="Y4216" s="5"/>
      <c r="Z4216" s="5"/>
      <c r="AA4216" s="5"/>
      <c r="AC4216" t="e">
        <f ca="1">RANK(AB4216,OFFSET($AB$2,0,0,#REF!,1))</f>
        <v>#REF!</v>
      </c>
      <c r="AD4216" s="4" t="e">
        <f>InsurerSize(#REF!)</f>
        <v>#VALUE!</v>
      </c>
      <c r="AE4216" s="4" t="e">
        <f t="shared" si="77"/>
        <v>#VALUE!</v>
      </c>
    </row>
    <row r="4217" spans="8:31" x14ac:dyDescent="0.2">
      <c r="H4217" s="5"/>
      <c r="I4217" s="5"/>
      <c r="J4217" s="5"/>
      <c r="K4217" s="5"/>
      <c r="L4217" s="5"/>
      <c r="M4217" s="5"/>
      <c r="N4217" s="5"/>
      <c r="O4217" s="5"/>
      <c r="P4217" s="5"/>
      <c r="Q4217" s="5"/>
      <c r="R4217" s="5"/>
      <c r="S4217" s="5"/>
      <c r="T4217" s="5"/>
      <c r="U4217" s="5"/>
      <c r="V4217" s="5"/>
      <c r="W4217" s="5"/>
      <c r="X4217" s="5"/>
      <c r="Y4217" s="5"/>
      <c r="Z4217" s="5"/>
      <c r="AA4217" s="5"/>
      <c r="AC4217" t="e">
        <f ca="1">RANK(AB4217,OFFSET($AB$2,0,0,#REF!,1))</f>
        <v>#REF!</v>
      </c>
      <c r="AD4217" s="4" t="e">
        <f>InsurerSize(#REF!)</f>
        <v>#VALUE!</v>
      </c>
      <c r="AE4217" s="4" t="e">
        <f t="shared" si="77"/>
        <v>#VALUE!</v>
      </c>
    </row>
    <row r="4218" spans="8:31" x14ac:dyDescent="0.2">
      <c r="H4218" s="5"/>
      <c r="I4218" s="5"/>
      <c r="J4218" s="5"/>
      <c r="K4218" s="5"/>
      <c r="L4218" s="5"/>
      <c r="M4218" s="5"/>
      <c r="N4218" s="5"/>
      <c r="O4218" s="5"/>
      <c r="P4218" s="5"/>
      <c r="Q4218" s="5"/>
      <c r="R4218" s="5"/>
      <c r="S4218" s="5"/>
      <c r="T4218" s="5"/>
      <c r="U4218" s="5"/>
      <c r="V4218" s="5"/>
      <c r="W4218" s="5"/>
      <c r="X4218" s="5"/>
      <c r="Y4218" s="5"/>
      <c r="Z4218" s="5"/>
      <c r="AA4218" s="5"/>
      <c r="AC4218" t="e">
        <f ca="1">RANK(AB4218,OFFSET($AB$2,0,0,#REF!,1))</f>
        <v>#REF!</v>
      </c>
      <c r="AD4218" s="4" t="e">
        <f>InsurerSize(#REF!)</f>
        <v>#VALUE!</v>
      </c>
      <c r="AE4218" s="4" t="e">
        <f t="shared" si="77"/>
        <v>#VALUE!</v>
      </c>
    </row>
    <row r="4219" spans="8:31" x14ac:dyDescent="0.2">
      <c r="H4219" s="5"/>
      <c r="I4219" s="5"/>
      <c r="J4219" s="5"/>
      <c r="K4219" s="5"/>
      <c r="L4219" s="5"/>
      <c r="M4219" s="5"/>
      <c r="N4219" s="5"/>
      <c r="O4219" s="5"/>
      <c r="P4219" s="5"/>
      <c r="Q4219" s="5"/>
      <c r="R4219" s="5"/>
      <c r="S4219" s="5"/>
      <c r="T4219" s="5"/>
      <c r="U4219" s="5"/>
      <c r="V4219" s="5"/>
      <c r="W4219" s="5"/>
      <c r="X4219" s="5"/>
      <c r="Y4219" s="5"/>
      <c r="Z4219" s="5"/>
      <c r="AA4219" s="5"/>
      <c r="AC4219" t="e">
        <f ca="1">RANK(AB4219,OFFSET($AB$2,0,0,#REF!,1))</f>
        <v>#REF!</v>
      </c>
      <c r="AD4219" s="4" t="e">
        <f>InsurerSize(#REF!)</f>
        <v>#VALUE!</v>
      </c>
      <c r="AE4219" s="4" t="e">
        <f t="shared" si="77"/>
        <v>#VALUE!</v>
      </c>
    </row>
    <row r="4220" spans="8:31" x14ac:dyDescent="0.2">
      <c r="H4220" s="5"/>
      <c r="I4220" s="5"/>
      <c r="J4220" s="5"/>
      <c r="K4220" s="5"/>
      <c r="L4220" s="5"/>
      <c r="M4220" s="5"/>
      <c r="N4220" s="5"/>
      <c r="O4220" s="5"/>
      <c r="P4220" s="5"/>
      <c r="Q4220" s="5"/>
      <c r="R4220" s="5"/>
      <c r="S4220" s="5"/>
      <c r="T4220" s="5"/>
      <c r="U4220" s="5"/>
      <c r="V4220" s="5"/>
      <c r="W4220" s="5"/>
      <c r="X4220" s="5"/>
      <c r="Y4220" s="5"/>
      <c r="Z4220" s="5"/>
      <c r="AA4220" s="5"/>
      <c r="AC4220" t="e">
        <f ca="1">RANK(AB4220,OFFSET($AB$2,0,0,#REF!,1))</f>
        <v>#REF!</v>
      </c>
      <c r="AD4220" s="4" t="e">
        <f>InsurerSize(#REF!)</f>
        <v>#VALUE!</v>
      </c>
      <c r="AE4220" s="4" t="e">
        <f t="shared" si="77"/>
        <v>#VALUE!</v>
      </c>
    </row>
    <row r="4221" spans="8:31" x14ac:dyDescent="0.2">
      <c r="H4221" s="5"/>
      <c r="I4221" s="5"/>
      <c r="J4221" s="5"/>
      <c r="K4221" s="5"/>
      <c r="L4221" s="5"/>
      <c r="M4221" s="5"/>
      <c r="N4221" s="5"/>
      <c r="O4221" s="5"/>
      <c r="P4221" s="5"/>
      <c r="Q4221" s="5"/>
      <c r="R4221" s="5"/>
      <c r="S4221" s="5"/>
      <c r="T4221" s="5"/>
      <c r="U4221" s="5"/>
      <c r="V4221" s="5"/>
      <c r="W4221" s="5"/>
      <c r="X4221" s="5"/>
      <c r="Y4221" s="5"/>
      <c r="Z4221" s="5"/>
      <c r="AA4221" s="5"/>
      <c r="AC4221" t="e">
        <f ca="1">RANK(AB4221,OFFSET($AB$2,0,0,#REF!,1))</f>
        <v>#REF!</v>
      </c>
      <c r="AD4221" s="4" t="e">
        <f>InsurerSize(#REF!)</f>
        <v>#VALUE!</v>
      </c>
      <c r="AE4221" s="4" t="e">
        <f t="shared" si="77"/>
        <v>#VALUE!</v>
      </c>
    </row>
    <row r="4222" spans="8:31" x14ac:dyDescent="0.2">
      <c r="H4222" s="5"/>
      <c r="I4222" s="5"/>
      <c r="J4222" s="5"/>
      <c r="K4222" s="5"/>
      <c r="L4222" s="5"/>
      <c r="M4222" s="5"/>
      <c r="N4222" s="5"/>
      <c r="O4222" s="5"/>
      <c r="P4222" s="5"/>
      <c r="Q4222" s="5"/>
      <c r="R4222" s="5"/>
      <c r="S4222" s="5"/>
      <c r="T4222" s="5"/>
      <c r="U4222" s="5"/>
      <c r="V4222" s="5"/>
      <c r="W4222" s="5"/>
      <c r="X4222" s="5"/>
      <c r="Y4222" s="5"/>
      <c r="Z4222" s="5"/>
      <c r="AA4222" s="5"/>
      <c r="AC4222" t="e">
        <f ca="1">RANK(AB4222,OFFSET($AB$2,0,0,#REF!,1))</f>
        <v>#REF!</v>
      </c>
      <c r="AD4222" s="4" t="e">
        <f>InsurerSize(#REF!)</f>
        <v>#VALUE!</v>
      </c>
      <c r="AE4222" s="4" t="e">
        <f t="shared" si="77"/>
        <v>#VALUE!</v>
      </c>
    </row>
    <row r="4223" spans="8:31" x14ac:dyDescent="0.2">
      <c r="H4223" s="5"/>
      <c r="I4223" s="5"/>
      <c r="J4223" s="5"/>
      <c r="K4223" s="5"/>
      <c r="L4223" s="5"/>
      <c r="M4223" s="5"/>
      <c r="N4223" s="5"/>
      <c r="O4223" s="5"/>
      <c r="P4223" s="5"/>
      <c r="Q4223" s="5"/>
      <c r="R4223" s="5"/>
      <c r="S4223" s="5"/>
      <c r="T4223" s="5"/>
      <c r="U4223" s="5"/>
      <c r="V4223" s="5"/>
      <c r="W4223" s="5"/>
      <c r="X4223" s="5"/>
      <c r="Y4223" s="5"/>
      <c r="Z4223" s="5"/>
      <c r="AA4223" s="5"/>
      <c r="AC4223" t="e">
        <f ca="1">RANK(AB4223,OFFSET($AB$2,0,0,#REF!,1))</f>
        <v>#REF!</v>
      </c>
      <c r="AD4223" s="4" t="e">
        <f>InsurerSize(#REF!)</f>
        <v>#VALUE!</v>
      </c>
      <c r="AE4223" s="4" t="e">
        <f t="shared" si="77"/>
        <v>#VALUE!</v>
      </c>
    </row>
    <row r="4224" spans="8:31" x14ac:dyDescent="0.2">
      <c r="H4224" s="5"/>
      <c r="I4224" s="5"/>
      <c r="J4224" s="5"/>
      <c r="K4224" s="5"/>
      <c r="L4224" s="5"/>
      <c r="M4224" s="5"/>
      <c r="N4224" s="5"/>
      <c r="O4224" s="5"/>
      <c r="P4224" s="5"/>
      <c r="Q4224" s="5"/>
      <c r="R4224" s="5"/>
      <c r="S4224" s="5"/>
      <c r="T4224" s="5"/>
      <c r="U4224" s="5"/>
      <c r="V4224" s="5"/>
      <c r="W4224" s="5"/>
      <c r="X4224" s="5"/>
      <c r="Y4224" s="5"/>
      <c r="Z4224" s="5"/>
      <c r="AA4224" s="5"/>
      <c r="AC4224" t="e">
        <f ca="1">RANK(AB4224,OFFSET($AB$2,0,0,#REF!,1))</f>
        <v>#REF!</v>
      </c>
      <c r="AD4224" s="4" t="e">
        <f>InsurerSize(#REF!)</f>
        <v>#VALUE!</v>
      </c>
      <c r="AE4224" s="4" t="e">
        <f t="shared" si="77"/>
        <v>#VALUE!</v>
      </c>
    </row>
    <row r="4225" spans="8:31" x14ac:dyDescent="0.2">
      <c r="H4225" s="5"/>
      <c r="I4225" s="5"/>
      <c r="J4225" s="5"/>
      <c r="K4225" s="5"/>
      <c r="L4225" s="5"/>
      <c r="M4225" s="5"/>
      <c r="N4225" s="5"/>
      <c r="O4225" s="5"/>
      <c r="P4225" s="5"/>
      <c r="Q4225" s="5"/>
      <c r="R4225" s="5"/>
      <c r="S4225" s="5"/>
      <c r="T4225" s="5"/>
      <c r="U4225" s="5"/>
      <c r="V4225" s="5"/>
      <c r="W4225" s="5"/>
      <c r="X4225" s="5"/>
      <c r="Y4225" s="5"/>
      <c r="Z4225" s="5"/>
      <c r="AA4225" s="5"/>
      <c r="AC4225" t="e">
        <f ca="1">RANK(AB4225,OFFSET($AB$2,0,0,#REF!,1))</f>
        <v>#REF!</v>
      </c>
      <c r="AD4225" s="4" t="e">
        <f>InsurerSize(#REF!)</f>
        <v>#VALUE!</v>
      </c>
      <c r="AE4225" s="4" t="e">
        <f t="shared" si="77"/>
        <v>#VALUE!</v>
      </c>
    </row>
    <row r="4226" spans="8:31" x14ac:dyDescent="0.2">
      <c r="H4226" s="5"/>
      <c r="I4226" s="5"/>
      <c r="J4226" s="5"/>
      <c r="K4226" s="5"/>
      <c r="L4226" s="5"/>
      <c r="M4226" s="5"/>
      <c r="N4226" s="5"/>
      <c r="O4226" s="5"/>
      <c r="P4226" s="5"/>
      <c r="Q4226" s="5"/>
      <c r="R4226" s="5"/>
      <c r="S4226" s="5"/>
      <c r="T4226" s="5"/>
      <c r="U4226" s="5"/>
      <c r="V4226" s="5"/>
      <c r="W4226" s="5"/>
      <c r="X4226" s="5"/>
      <c r="Y4226" s="5"/>
      <c r="Z4226" s="5"/>
      <c r="AA4226" s="5"/>
      <c r="AC4226" t="e">
        <f ca="1">RANK(AB4226,OFFSET($AB$2,0,0,#REF!,1))</f>
        <v>#REF!</v>
      </c>
      <c r="AD4226" s="4" t="e">
        <f>InsurerSize(#REF!)</f>
        <v>#VALUE!</v>
      </c>
      <c r="AE4226" s="4" t="e">
        <f t="shared" ref="AE4226:AE4289" si="78">A4226&amp;AD4226</f>
        <v>#VALUE!</v>
      </c>
    </row>
    <row r="4227" spans="8:31" x14ac:dyDescent="0.2">
      <c r="H4227" s="5"/>
      <c r="I4227" s="5"/>
      <c r="J4227" s="5"/>
      <c r="K4227" s="5"/>
      <c r="L4227" s="5"/>
      <c r="M4227" s="5"/>
      <c r="N4227" s="5"/>
      <c r="O4227" s="5"/>
      <c r="P4227" s="5"/>
      <c r="Q4227" s="5"/>
      <c r="R4227" s="5"/>
      <c r="S4227" s="5"/>
      <c r="T4227" s="5"/>
      <c r="U4227" s="5"/>
      <c r="V4227" s="5"/>
      <c r="W4227" s="5"/>
      <c r="X4227" s="5"/>
      <c r="Y4227" s="5"/>
      <c r="Z4227" s="5"/>
      <c r="AA4227" s="5"/>
      <c r="AC4227" t="e">
        <f ca="1">RANK(AB4227,OFFSET($AB$2,0,0,#REF!,1))</f>
        <v>#REF!</v>
      </c>
      <c r="AD4227" s="4" t="e">
        <f>InsurerSize(#REF!)</f>
        <v>#VALUE!</v>
      </c>
      <c r="AE4227" s="4" t="e">
        <f t="shared" si="78"/>
        <v>#VALUE!</v>
      </c>
    </row>
    <row r="4228" spans="8:31" x14ac:dyDescent="0.2">
      <c r="H4228" s="5"/>
      <c r="I4228" s="5"/>
      <c r="J4228" s="5"/>
      <c r="K4228" s="5"/>
      <c r="L4228" s="5"/>
      <c r="M4228" s="5"/>
      <c r="N4228" s="5"/>
      <c r="O4228" s="5"/>
      <c r="P4228" s="5"/>
      <c r="Q4228" s="5"/>
      <c r="R4228" s="5"/>
      <c r="S4228" s="5"/>
      <c r="T4228" s="5"/>
      <c r="U4228" s="5"/>
      <c r="V4228" s="5"/>
      <c r="W4228" s="5"/>
      <c r="X4228" s="5"/>
      <c r="Y4228" s="5"/>
      <c r="Z4228" s="5"/>
      <c r="AA4228" s="5"/>
      <c r="AC4228" t="e">
        <f ca="1">RANK(AB4228,OFFSET($AB$2,0,0,#REF!,1))</f>
        <v>#REF!</v>
      </c>
      <c r="AD4228" s="4" t="e">
        <f>InsurerSize(#REF!)</f>
        <v>#VALUE!</v>
      </c>
      <c r="AE4228" s="4" t="e">
        <f t="shared" si="78"/>
        <v>#VALUE!</v>
      </c>
    </row>
    <row r="4229" spans="8:31" x14ac:dyDescent="0.2">
      <c r="H4229" s="5"/>
      <c r="I4229" s="5"/>
      <c r="J4229" s="5"/>
      <c r="K4229" s="5"/>
      <c r="L4229" s="5"/>
      <c r="M4229" s="5"/>
      <c r="N4229" s="5"/>
      <c r="O4229" s="5"/>
      <c r="P4229" s="5"/>
      <c r="Q4229" s="5"/>
      <c r="R4229" s="5"/>
      <c r="S4229" s="5"/>
      <c r="T4229" s="5"/>
      <c r="U4229" s="5"/>
      <c r="V4229" s="5"/>
      <c r="W4229" s="5"/>
      <c r="X4229" s="5"/>
      <c r="Y4229" s="5"/>
      <c r="Z4229" s="5"/>
      <c r="AA4229" s="5"/>
      <c r="AC4229" t="e">
        <f ca="1">RANK(AB4229,OFFSET($AB$2,0,0,#REF!,1))</f>
        <v>#REF!</v>
      </c>
      <c r="AD4229" s="4" t="e">
        <f>InsurerSize(#REF!)</f>
        <v>#VALUE!</v>
      </c>
      <c r="AE4229" s="4" t="e">
        <f t="shared" si="78"/>
        <v>#VALUE!</v>
      </c>
    </row>
    <row r="4230" spans="8:31" x14ac:dyDescent="0.2">
      <c r="H4230" s="5"/>
      <c r="I4230" s="5"/>
      <c r="J4230" s="5"/>
      <c r="K4230" s="5"/>
      <c r="L4230" s="5"/>
      <c r="M4230" s="5"/>
      <c r="N4230" s="5"/>
      <c r="O4230" s="5"/>
      <c r="P4230" s="5"/>
      <c r="Q4230" s="5"/>
      <c r="R4230" s="5"/>
      <c r="S4230" s="5"/>
      <c r="T4230" s="5"/>
      <c r="U4230" s="5"/>
      <c r="V4230" s="5"/>
      <c r="W4230" s="5"/>
      <c r="X4230" s="5"/>
      <c r="Y4230" s="5"/>
      <c r="Z4230" s="5"/>
      <c r="AA4230" s="5"/>
      <c r="AC4230" t="e">
        <f ca="1">RANK(AB4230,OFFSET($AB$2,0,0,#REF!,1))</f>
        <v>#REF!</v>
      </c>
      <c r="AD4230" s="4" t="e">
        <f>InsurerSize(#REF!)</f>
        <v>#VALUE!</v>
      </c>
      <c r="AE4230" s="4" t="e">
        <f t="shared" si="78"/>
        <v>#VALUE!</v>
      </c>
    </row>
    <row r="4231" spans="8:31" x14ac:dyDescent="0.2">
      <c r="H4231" s="5"/>
      <c r="I4231" s="5"/>
      <c r="J4231" s="5"/>
      <c r="K4231" s="5"/>
      <c r="L4231" s="5"/>
      <c r="M4231" s="5"/>
      <c r="N4231" s="5"/>
      <c r="O4231" s="5"/>
      <c r="P4231" s="5"/>
      <c r="Q4231" s="5"/>
      <c r="R4231" s="5"/>
      <c r="S4231" s="5"/>
      <c r="T4231" s="5"/>
      <c r="U4231" s="5"/>
      <c r="V4231" s="5"/>
      <c r="W4231" s="5"/>
      <c r="X4231" s="5"/>
      <c r="Y4231" s="5"/>
      <c r="Z4231" s="5"/>
      <c r="AA4231" s="5"/>
      <c r="AC4231" t="e">
        <f ca="1">RANK(AB4231,OFFSET($AB$2,0,0,#REF!,1))</f>
        <v>#REF!</v>
      </c>
      <c r="AD4231" s="4" t="e">
        <f>InsurerSize(#REF!)</f>
        <v>#VALUE!</v>
      </c>
      <c r="AE4231" s="4" t="e">
        <f t="shared" si="78"/>
        <v>#VALUE!</v>
      </c>
    </row>
    <row r="4232" spans="8:31" x14ac:dyDescent="0.2">
      <c r="H4232" s="5"/>
      <c r="I4232" s="5"/>
      <c r="J4232" s="5"/>
      <c r="K4232" s="5"/>
      <c r="L4232" s="5"/>
      <c r="M4232" s="5"/>
      <c r="N4232" s="5"/>
      <c r="O4232" s="5"/>
      <c r="P4232" s="5"/>
      <c r="Q4232" s="5"/>
      <c r="R4232" s="5"/>
      <c r="S4232" s="5"/>
      <c r="T4232" s="5"/>
      <c r="U4232" s="5"/>
      <c r="V4232" s="5"/>
      <c r="W4232" s="5"/>
      <c r="X4232" s="5"/>
      <c r="Y4232" s="5"/>
      <c r="Z4232" s="5"/>
      <c r="AA4232" s="5"/>
      <c r="AC4232" t="e">
        <f ca="1">RANK(AB4232,OFFSET($AB$2,0,0,#REF!,1))</f>
        <v>#REF!</v>
      </c>
      <c r="AD4232" s="4" t="e">
        <f>InsurerSize(#REF!)</f>
        <v>#VALUE!</v>
      </c>
      <c r="AE4232" s="4" t="e">
        <f t="shared" si="78"/>
        <v>#VALUE!</v>
      </c>
    </row>
    <row r="4233" spans="8:31" x14ac:dyDescent="0.2">
      <c r="H4233" s="5"/>
      <c r="I4233" s="5"/>
      <c r="J4233" s="5"/>
      <c r="K4233" s="5"/>
      <c r="L4233" s="5"/>
      <c r="M4233" s="5"/>
      <c r="N4233" s="5"/>
      <c r="O4233" s="5"/>
      <c r="P4233" s="5"/>
      <c r="Q4233" s="5"/>
      <c r="R4233" s="5"/>
      <c r="S4233" s="5"/>
      <c r="T4233" s="5"/>
      <c r="U4233" s="5"/>
      <c r="V4233" s="5"/>
      <c r="W4233" s="5"/>
      <c r="X4233" s="5"/>
      <c r="Y4233" s="5"/>
      <c r="Z4233" s="5"/>
      <c r="AA4233" s="5"/>
      <c r="AC4233" t="e">
        <f ca="1">RANK(AB4233,OFFSET($AB$2,0,0,#REF!,1))</f>
        <v>#REF!</v>
      </c>
      <c r="AD4233" s="4" t="e">
        <f>InsurerSize(#REF!)</f>
        <v>#VALUE!</v>
      </c>
      <c r="AE4233" s="4" t="e">
        <f t="shared" si="78"/>
        <v>#VALUE!</v>
      </c>
    </row>
    <row r="4234" spans="8:31" x14ac:dyDescent="0.2">
      <c r="H4234" s="5"/>
      <c r="I4234" s="5"/>
      <c r="J4234" s="5"/>
      <c r="K4234" s="5"/>
      <c r="L4234" s="5"/>
      <c r="M4234" s="5"/>
      <c r="N4234" s="5"/>
      <c r="O4234" s="5"/>
      <c r="P4234" s="5"/>
      <c r="Q4234" s="5"/>
      <c r="R4234" s="5"/>
      <c r="S4234" s="5"/>
      <c r="T4234" s="5"/>
      <c r="U4234" s="5"/>
      <c r="V4234" s="5"/>
      <c r="W4234" s="5"/>
      <c r="X4234" s="5"/>
      <c r="Y4234" s="5"/>
      <c r="Z4234" s="5"/>
      <c r="AA4234" s="5"/>
      <c r="AC4234" t="e">
        <f ca="1">RANK(AB4234,OFFSET($AB$2,0,0,#REF!,1))</f>
        <v>#REF!</v>
      </c>
      <c r="AD4234" s="4" t="e">
        <f>InsurerSize(#REF!)</f>
        <v>#VALUE!</v>
      </c>
      <c r="AE4234" s="4" t="e">
        <f t="shared" si="78"/>
        <v>#VALUE!</v>
      </c>
    </row>
    <row r="4235" spans="8:31" x14ac:dyDescent="0.2">
      <c r="H4235" s="5"/>
      <c r="I4235" s="5"/>
      <c r="J4235" s="5"/>
      <c r="K4235" s="5"/>
      <c r="L4235" s="5"/>
      <c r="M4235" s="5"/>
      <c r="N4235" s="5"/>
      <c r="O4235" s="5"/>
      <c r="P4235" s="5"/>
      <c r="Q4235" s="5"/>
      <c r="R4235" s="5"/>
      <c r="S4235" s="5"/>
      <c r="T4235" s="5"/>
      <c r="U4235" s="5"/>
      <c r="V4235" s="5"/>
      <c r="W4235" s="5"/>
      <c r="X4235" s="5"/>
      <c r="Y4235" s="5"/>
      <c r="Z4235" s="5"/>
      <c r="AA4235" s="5"/>
      <c r="AC4235" t="e">
        <f ca="1">RANK(AB4235,OFFSET($AB$2,0,0,#REF!,1))</f>
        <v>#REF!</v>
      </c>
      <c r="AD4235" s="4" t="e">
        <f>InsurerSize(#REF!)</f>
        <v>#VALUE!</v>
      </c>
      <c r="AE4235" s="4" t="e">
        <f t="shared" si="78"/>
        <v>#VALUE!</v>
      </c>
    </row>
    <row r="4236" spans="8:31" x14ac:dyDescent="0.2">
      <c r="H4236" s="5"/>
      <c r="I4236" s="5"/>
      <c r="J4236" s="5"/>
      <c r="K4236" s="5"/>
      <c r="L4236" s="5"/>
      <c r="M4236" s="5"/>
      <c r="N4236" s="5"/>
      <c r="O4236" s="5"/>
      <c r="P4236" s="5"/>
      <c r="Q4236" s="5"/>
      <c r="R4236" s="5"/>
      <c r="S4236" s="5"/>
      <c r="T4236" s="5"/>
      <c r="U4236" s="5"/>
      <c r="V4236" s="5"/>
      <c r="W4236" s="5"/>
      <c r="X4236" s="5"/>
      <c r="Y4236" s="5"/>
      <c r="Z4236" s="5"/>
      <c r="AA4236" s="5"/>
      <c r="AC4236" t="e">
        <f ca="1">RANK(AB4236,OFFSET($AB$2,0,0,#REF!,1))</f>
        <v>#REF!</v>
      </c>
      <c r="AD4236" s="4" t="e">
        <f>InsurerSize(#REF!)</f>
        <v>#VALUE!</v>
      </c>
      <c r="AE4236" s="4" t="e">
        <f t="shared" si="78"/>
        <v>#VALUE!</v>
      </c>
    </row>
    <row r="4237" spans="8:31" x14ac:dyDescent="0.2">
      <c r="H4237" s="5"/>
      <c r="I4237" s="5"/>
      <c r="J4237" s="5"/>
      <c r="K4237" s="5"/>
      <c r="L4237" s="5"/>
      <c r="M4237" s="5"/>
      <c r="N4237" s="5"/>
      <c r="O4237" s="5"/>
      <c r="P4237" s="5"/>
      <c r="Q4237" s="5"/>
      <c r="R4237" s="5"/>
      <c r="S4237" s="5"/>
      <c r="T4237" s="5"/>
      <c r="U4237" s="5"/>
      <c r="V4237" s="5"/>
      <c r="W4237" s="5"/>
      <c r="X4237" s="5"/>
      <c r="Y4237" s="5"/>
      <c r="Z4237" s="5"/>
      <c r="AA4237" s="5"/>
      <c r="AC4237" t="e">
        <f ca="1">RANK(AB4237,OFFSET($AB$2,0,0,#REF!,1))</f>
        <v>#REF!</v>
      </c>
      <c r="AD4237" s="4" t="e">
        <f>InsurerSize(#REF!)</f>
        <v>#VALUE!</v>
      </c>
      <c r="AE4237" s="4" t="e">
        <f t="shared" si="78"/>
        <v>#VALUE!</v>
      </c>
    </row>
    <row r="4238" spans="8:31" x14ac:dyDescent="0.2">
      <c r="H4238" s="5"/>
      <c r="I4238" s="5"/>
      <c r="J4238" s="5"/>
      <c r="K4238" s="5"/>
      <c r="L4238" s="5"/>
      <c r="M4238" s="5"/>
      <c r="N4238" s="5"/>
      <c r="O4238" s="5"/>
      <c r="P4238" s="5"/>
      <c r="Q4238" s="5"/>
      <c r="R4238" s="5"/>
      <c r="S4238" s="5"/>
      <c r="T4238" s="5"/>
      <c r="U4238" s="5"/>
      <c r="V4238" s="5"/>
      <c r="W4238" s="5"/>
      <c r="X4238" s="5"/>
      <c r="Y4238" s="5"/>
      <c r="Z4238" s="5"/>
      <c r="AA4238" s="5"/>
      <c r="AC4238" t="e">
        <f ca="1">RANK(AB4238,OFFSET($AB$2,0,0,#REF!,1))</f>
        <v>#REF!</v>
      </c>
      <c r="AD4238" s="4" t="e">
        <f>InsurerSize(#REF!)</f>
        <v>#VALUE!</v>
      </c>
      <c r="AE4238" s="4" t="e">
        <f t="shared" si="78"/>
        <v>#VALUE!</v>
      </c>
    </row>
    <row r="4239" spans="8:31" x14ac:dyDescent="0.2">
      <c r="H4239" s="5"/>
      <c r="I4239" s="5"/>
      <c r="J4239" s="5"/>
      <c r="K4239" s="5"/>
      <c r="L4239" s="5"/>
      <c r="M4239" s="5"/>
      <c r="N4239" s="5"/>
      <c r="O4239" s="5"/>
      <c r="P4239" s="5"/>
      <c r="Q4239" s="5"/>
      <c r="R4239" s="5"/>
      <c r="S4239" s="5"/>
      <c r="T4239" s="5"/>
      <c r="U4239" s="5"/>
      <c r="V4239" s="5"/>
      <c r="W4239" s="5"/>
      <c r="X4239" s="5"/>
      <c r="Y4239" s="5"/>
      <c r="Z4239" s="5"/>
      <c r="AA4239" s="5"/>
      <c r="AC4239" t="e">
        <f ca="1">RANK(AB4239,OFFSET($AB$2,0,0,#REF!,1))</f>
        <v>#REF!</v>
      </c>
      <c r="AD4239" s="4" t="e">
        <f>InsurerSize(#REF!)</f>
        <v>#VALUE!</v>
      </c>
      <c r="AE4239" s="4" t="e">
        <f t="shared" si="78"/>
        <v>#VALUE!</v>
      </c>
    </row>
    <row r="4240" spans="8:31" x14ac:dyDescent="0.2">
      <c r="H4240" s="5"/>
      <c r="I4240" s="5"/>
      <c r="J4240" s="5"/>
      <c r="K4240" s="5"/>
      <c r="L4240" s="5"/>
      <c r="M4240" s="5"/>
      <c r="N4240" s="5"/>
      <c r="O4240" s="5"/>
      <c r="P4240" s="5"/>
      <c r="Q4240" s="5"/>
      <c r="R4240" s="5"/>
      <c r="S4240" s="5"/>
      <c r="T4240" s="5"/>
      <c r="U4240" s="5"/>
      <c r="V4240" s="5"/>
      <c r="W4240" s="5"/>
      <c r="X4240" s="5"/>
      <c r="Y4240" s="5"/>
      <c r="Z4240" s="5"/>
      <c r="AA4240" s="5"/>
      <c r="AC4240" t="e">
        <f ca="1">RANK(AB4240,OFFSET($AB$2,0,0,#REF!,1))</f>
        <v>#REF!</v>
      </c>
      <c r="AD4240" s="4" t="e">
        <f>InsurerSize(#REF!)</f>
        <v>#VALUE!</v>
      </c>
      <c r="AE4240" s="4" t="e">
        <f t="shared" si="78"/>
        <v>#VALUE!</v>
      </c>
    </row>
    <row r="4241" spans="8:31" x14ac:dyDescent="0.2">
      <c r="H4241" s="5"/>
      <c r="I4241" s="5"/>
      <c r="J4241" s="5"/>
      <c r="K4241" s="5"/>
      <c r="L4241" s="5"/>
      <c r="M4241" s="5"/>
      <c r="N4241" s="5"/>
      <c r="O4241" s="5"/>
      <c r="P4241" s="5"/>
      <c r="Q4241" s="5"/>
      <c r="R4241" s="5"/>
      <c r="S4241" s="5"/>
      <c r="T4241" s="5"/>
      <c r="U4241" s="5"/>
      <c r="V4241" s="5"/>
      <c r="W4241" s="5"/>
      <c r="X4241" s="5"/>
      <c r="Y4241" s="5"/>
      <c r="Z4241" s="5"/>
      <c r="AA4241" s="5"/>
      <c r="AC4241" t="e">
        <f ca="1">RANK(AB4241,OFFSET($AB$2,0,0,#REF!,1))</f>
        <v>#REF!</v>
      </c>
      <c r="AD4241" s="4" t="e">
        <f>InsurerSize(#REF!)</f>
        <v>#VALUE!</v>
      </c>
      <c r="AE4241" s="4" t="e">
        <f t="shared" si="78"/>
        <v>#VALUE!</v>
      </c>
    </row>
    <row r="4242" spans="8:31" x14ac:dyDescent="0.2">
      <c r="H4242" s="5"/>
      <c r="I4242" s="5"/>
      <c r="J4242" s="5"/>
      <c r="K4242" s="5"/>
      <c r="L4242" s="5"/>
      <c r="M4242" s="5"/>
      <c r="N4242" s="5"/>
      <c r="O4242" s="5"/>
      <c r="P4242" s="5"/>
      <c r="Q4242" s="5"/>
      <c r="R4242" s="5"/>
      <c r="S4242" s="5"/>
      <c r="T4242" s="5"/>
      <c r="U4242" s="5"/>
      <c r="V4242" s="5"/>
      <c r="W4242" s="5"/>
      <c r="X4242" s="5"/>
      <c r="Y4242" s="5"/>
      <c r="Z4242" s="5"/>
      <c r="AA4242" s="5"/>
      <c r="AC4242" t="e">
        <f ca="1">RANK(AB4242,OFFSET($AB$2,0,0,#REF!,1))</f>
        <v>#REF!</v>
      </c>
      <c r="AD4242" s="4" t="e">
        <f>InsurerSize(#REF!)</f>
        <v>#VALUE!</v>
      </c>
      <c r="AE4242" s="4" t="e">
        <f t="shared" si="78"/>
        <v>#VALUE!</v>
      </c>
    </row>
    <row r="4243" spans="8:31" x14ac:dyDescent="0.2">
      <c r="H4243" s="5"/>
      <c r="I4243" s="5"/>
      <c r="J4243" s="5"/>
      <c r="K4243" s="5"/>
      <c r="L4243" s="5"/>
      <c r="M4243" s="5"/>
      <c r="N4243" s="5"/>
      <c r="O4243" s="5"/>
      <c r="P4243" s="5"/>
      <c r="Q4243" s="5"/>
      <c r="R4243" s="5"/>
      <c r="S4243" s="5"/>
      <c r="T4243" s="5"/>
      <c r="U4243" s="5"/>
      <c r="V4243" s="5"/>
      <c r="W4243" s="5"/>
      <c r="X4243" s="5"/>
      <c r="Y4243" s="5"/>
      <c r="Z4243" s="5"/>
      <c r="AA4243" s="5"/>
      <c r="AC4243" t="e">
        <f ca="1">RANK(AB4243,OFFSET($AB$2,0,0,#REF!,1))</f>
        <v>#REF!</v>
      </c>
      <c r="AD4243" s="4" t="e">
        <f>InsurerSize(#REF!)</f>
        <v>#VALUE!</v>
      </c>
      <c r="AE4243" s="4" t="e">
        <f t="shared" si="78"/>
        <v>#VALUE!</v>
      </c>
    </row>
    <row r="4244" spans="8:31" x14ac:dyDescent="0.2">
      <c r="H4244" s="5"/>
      <c r="I4244" s="5"/>
      <c r="J4244" s="5"/>
      <c r="K4244" s="5"/>
      <c r="L4244" s="5"/>
      <c r="M4244" s="5"/>
      <c r="N4244" s="5"/>
      <c r="O4244" s="5"/>
      <c r="P4244" s="5"/>
      <c r="Q4244" s="5"/>
      <c r="R4244" s="5"/>
      <c r="S4244" s="5"/>
      <c r="T4244" s="5"/>
      <c r="U4244" s="5"/>
      <c r="V4244" s="5"/>
      <c r="W4244" s="5"/>
      <c r="X4244" s="5"/>
      <c r="Y4244" s="5"/>
      <c r="Z4244" s="5"/>
      <c r="AA4244" s="5"/>
      <c r="AC4244" t="e">
        <f ca="1">RANK(AB4244,OFFSET($AB$2,0,0,#REF!,1))</f>
        <v>#REF!</v>
      </c>
      <c r="AD4244" s="4" t="e">
        <f>InsurerSize(#REF!)</f>
        <v>#VALUE!</v>
      </c>
      <c r="AE4244" s="4" t="e">
        <f t="shared" si="78"/>
        <v>#VALUE!</v>
      </c>
    </row>
    <row r="4245" spans="8:31" x14ac:dyDescent="0.2">
      <c r="H4245" s="5"/>
      <c r="I4245" s="5"/>
      <c r="J4245" s="5"/>
      <c r="K4245" s="5"/>
      <c r="L4245" s="5"/>
      <c r="M4245" s="5"/>
      <c r="N4245" s="5"/>
      <c r="O4245" s="5"/>
      <c r="P4245" s="5"/>
      <c r="Q4245" s="5"/>
      <c r="R4245" s="5"/>
      <c r="S4245" s="5"/>
      <c r="T4245" s="5"/>
      <c r="U4245" s="5"/>
      <c r="V4245" s="5"/>
      <c r="W4245" s="5"/>
      <c r="X4245" s="5"/>
      <c r="Y4245" s="5"/>
      <c r="Z4245" s="5"/>
      <c r="AA4245" s="5"/>
      <c r="AC4245" t="e">
        <f ca="1">RANK(AB4245,OFFSET($AB$2,0,0,#REF!,1))</f>
        <v>#REF!</v>
      </c>
      <c r="AD4245" s="4" t="e">
        <f>InsurerSize(#REF!)</f>
        <v>#VALUE!</v>
      </c>
      <c r="AE4245" s="4" t="e">
        <f t="shared" si="78"/>
        <v>#VALUE!</v>
      </c>
    </row>
    <row r="4246" spans="8:31" x14ac:dyDescent="0.2">
      <c r="H4246" s="5"/>
      <c r="I4246" s="5"/>
      <c r="J4246" s="5"/>
      <c r="K4246" s="5"/>
      <c r="L4246" s="5"/>
      <c r="M4246" s="5"/>
      <c r="N4246" s="5"/>
      <c r="O4246" s="5"/>
      <c r="P4246" s="5"/>
      <c r="Q4246" s="5"/>
      <c r="R4246" s="5"/>
      <c r="S4246" s="5"/>
      <c r="T4246" s="5"/>
      <c r="U4246" s="5"/>
      <c r="V4246" s="5"/>
      <c r="W4246" s="5"/>
      <c r="X4246" s="5"/>
      <c r="Y4246" s="5"/>
      <c r="Z4246" s="5"/>
      <c r="AA4246" s="5"/>
      <c r="AC4246" t="e">
        <f ca="1">RANK(AB4246,OFFSET($AB$2,0,0,#REF!,1))</f>
        <v>#REF!</v>
      </c>
      <c r="AD4246" s="4" t="e">
        <f>InsurerSize(#REF!)</f>
        <v>#VALUE!</v>
      </c>
      <c r="AE4246" s="4" t="e">
        <f t="shared" si="78"/>
        <v>#VALUE!</v>
      </c>
    </row>
    <row r="4247" spans="8:31" x14ac:dyDescent="0.2">
      <c r="H4247" s="5"/>
      <c r="I4247" s="5"/>
      <c r="J4247" s="5"/>
      <c r="K4247" s="5"/>
      <c r="L4247" s="5"/>
      <c r="M4247" s="5"/>
      <c r="N4247" s="5"/>
      <c r="O4247" s="5"/>
      <c r="P4247" s="5"/>
      <c r="Q4247" s="5"/>
      <c r="R4247" s="5"/>
      <c r="S4247" s="5"/>
      <c r="T4247" s="5"/>
      <c r="U4247" s="5"/>
      <c r="V4247" s="5"/>
      <c r="W4247" s="5"/>
      <c r="X4247" s="5"/>
      <c r="Y4247" s="5"/>
      <c r="Z4247" s="5"/>
      <c r="AA4247" s="5"/>
      <c r="AC4247" t="e">
        <f ca="1">RANK(AB4247,OFFSET($AB$2,0,0,#REF!,1))</f>
        <v>#REF!</v>
      </c>
      <c r="AD4247" s="4" t="e">
        <f>InsurerSize(#REF!)</f>
        <v>#VALUE!</v>
      </c>
      <c r="AE4247" s="4" t="e">
        <f t="shared" si="78"/>
        <v>#VALUE!</v>
      </c>
    </row>
    <row r="4248" spans="8:31" x14ac:dyDescent="0.2">
      <c r="H4248" s="5"/>
      <c r="I4248" s="5"/>
      <c r="J4248" s="5"/>
      <c r="K4248" s="5"/>
      <c r="L4248" s="5"/>
      <c r="M4248" s="5"/>
      <c r="N4248" s="5"/>
      <c r="O4248" s="5"/>
      <c r="P4248" s="5"/>
      <c r="Q4248" s="5"/>
      <c r="R4248" s="5"/>
      <c r="S4248" s="5"/>
      <c r="T4248" s="5"/>
      <c r="U4248" s="5"/>
      <c r="V4248" s="5"/>
      <c r="W4248" s="5"/>
      <c r="X4248" s="5"/>
      <c r="Y4248" s="5"/>
      <c r="Z4248" s="5"/>
      <c r="AA4248" s="5"/>
      <c r="AC4248" t="e">
        <f ca="1">RANK(AB4248,OFFSET($AB$2,0,0,#REF!,1))</f>
        <v>#REF!</v>
      </c>
      <c r="AD4248" s="4" t="e">
        <f>InsurerSize(#REF!)</f>
        <v>#VALUE!</v>
      </c>
      <c r="AE4248" s="4" t="e">
        <f t="shared" si="78"/>
        <v>#VALUE!</v>
      </c>
    </row>
    <row r="4249" spans="8:31" x14ac:dyDescent="0.2">
      <c r="H4249" s="5"/>
      <c r="I4249" s="5"/>
      <c r="J4249" s="5"/>
      <c r="K4249" s="5"/>
      <c r="L4249" s="5"/>
      <c r="M4249" s="5"/>
      <c r="N4249" s="5"/>
      <c r="O4249" s="5"/>
      <c r="P4249" s="5"/>
      <c r="Q4249" s="5"/>
      <c r="R4249" s="5"/>
      <c r="S4249" s="5"/>
      <c r="T4249" s="5"/>
      <c r="U4249" s="5"/>
      <c r="V4249" s="5"/>
      <c r="W4249" s="5"/>
      <c r="X4249" s="5"/>
      <c r="Y4249" s="5"/>
      <c r="Z4249" s="5"/>
      <c r="AA4249" s="5"/>
      <c r="AC4249" t="e">
        <f ca="1">RANK(AB4249,OFFSET($AB$2,0,0,#REF!,1))</f>
        <v>#REF!</v>
      </c>
      <c r="AD4249" s="4" t="e">
        <f>InsurerSize(#REF!)</f>
        <v>#VALUE!</v>
      </c>
      <c r="AE4249" s="4" t="e">
        <f t="shared" si="78"/>
        <v>#VALUE!</v>
      </c>
    </row>
    <row r="4250" spans="8:31" x14ac:dyDescent="0.2">
      <c r="H4250" s="5"/>
      <c r="I4250" s="5"/>
      <c r="J4250" s="5"/>
      <c r="K4250" s="5"/>
      <c r="L4250" s="5"/>
      <c r="M4250" s="5"/>
      <c r="N4250" s="5"/>
      <c r="O4250" s="5"/>
      <c r="P4250" s="5"/>
      <c r="Q4250" s="5"/>
      <c r="R4250" s="5"/>
      <c r="S4250" s="5"/>
      <c r="T4250" s="5"/>
      <c r="U4250" s="5"/>
      <c r="V4250" s="5"/>
      <c r="W4250" s="5"/>
      <c r="X4250" s="5"/>
      <c r="Y4250" s="5"/>
      <c r="Z4250" s="5"/>
      <c r="AA4250" s="5"/>
      <c r="AC4250" t="e">
        <f ca="1">RANK(AB4250,OFFSET($AB$2,0,0,#REF!,1))</f>
        <v>#REF!</v>
      </c>
      <c r="AD4250" s="4" t="e">
        <f>InsurerSize(#REF!)</f>
        <v>#VALUE!</v>
      </c>
      <c r="AE4250" s="4" t="e">
        <f t="shared" si="78"/>
        <v>#VALUE!</v>
      </c>
    </row>
    <row r="4251" spans="8:31" x14ac:dyDescent="0.2">
      <c r="H4251" s="5"/>
      <c r="I4251" s="5"/>
      <c r="J4251" s="5"/>
      <c r="K4251" s="5"/>
      <c r="L4251" s="5"/>
      <c r="M4251" s="5"/>
      <c r="N4251" s="5"/>
      <c r="O4251" s="5"/>
      <c r="P4251" s="5"/>
      <c r="Q4251" s="5"/>
      <c r="R4251" s="5"/>
      <c r="S4251" s="5"/>
      <c r="T4251" s="5"/>
      <c r="U4251" s="5"/>
      <c r="V4251" s="5"/>
      <c r="W4251" s="5"/>
      <c r="X4251" s="5"/>
      <c r="Y4251" s="5"/>
      <c r="Z4251" s="5"/>
      <c r="AA4251" s="5"/>
      <c r="AC4251" t="e">
        <f ca="1">RANK(AB4251,OFFSET($AB$2,0,0,#REF!,1))</f>
        <v>#REF!</v>
      </c>
      <c r="AD4251" s="4" t="e">
        <f>InsurerSize(#REF!)</f>
        <v>#VALUE!</v>
      </c>
      <c r="AE4251" s="4" t="e">
        <f t="shared" si="78"/>
        <v>#VALUE!</v>
      </c>
    </row>
    <row r="4252" spans="8:31" x14ac:dyDescent="0.2">
      <c r="H4252" s="5"/>
      <c r="I4252" s="5"/>
      <c r="J4252" s="5"/>
      <c r="K4252" s="5"/>
      <c r="L4252" s="5"/>
      <c r="M4252" s="5"/>
      <c r="N4252" s="5"/>
      <c r="O4252" s="5"/>
      <c r="P4252" s="5"/>
      <c r="Q4252" s="5"/>
      <c r="R4252" s="5"/>
      <c r="S4252" s="5"/>
      <c r="T4252" s="5"/>
      <c r="U4252" s="5"/>
      <c r="V4252" s="5"/>
      <c r="W4252" s="5"/>
      <c r="X4252" s="5"/>
      <c r="Y4252" s="5"/>
      <c r="Z4252" s="5"/>
      <c r="AA4252" s="5"/>
      <c r="AC4252" t="e">
        <f ca="1">RANK(AB4252,OFFSET($AB$2,0,0,#REF!,1))</f>
        <v>#REF!</v>
      </c>
      <c r="AD4252" s="4" t="e">
        <f>InsurerSize(#REF!)</f>
        <v>#VALUE!</v>
      </c>
      <c r="AE4252" s="4" t="e">
        <f t="shared" si="78"/>
        <v>#VALUE!</v>
      </c>
    </row>
    <row r="4253" spans="8:31" x14ac:dyDescent="0.2">
      <c r="H4253" s="5"/>
      <c r="I4253" s="5"/>
      <c r="J4253" s="5"/>
      <c r="K4253" s="5"/>
      <c r="L4253" s="5"/>
      <c r="M4253" s="5"/>
      <c r="N4253" s="5"/>
      <c r="O4253" s="5"/>
      <c r="P4253" s="5"/>
      <c r="Q4253" s="5"/>
      <c r="R4253" s="5"/>
      <c r="S4253" s="5"/>
      <c r="T4253" s="5"/>
      <c r="U4253" s="5"/>
      <c r="V4253" s="5"/>
      <c r="W4253" s="5"/>
      <c r="X4253" s="5"/>
      <c r="Y4253" s="5"/>
      <c r="Z4253" s="5"/>
      <c r="AA4253" s="5"/>
      <c r="AC4253" t="e">
        <f ca="1">RANK(AB4253,OFFSET($AB$2,0,0,#REF!,1))</f>
        <v>#REF!</v>
      </c>
      <c r="AD4253" s="4" t="e">
        <f>InsurerSize(#REF!)</f>
        <v>#VALUE!</v>
      </c>
      <c r="AE4253" s="4" t="e">
        <f t="shared" si="78"/>
        <v>#VALUE!</v>
      </c>
    </row>
    <row r="4254" spans="8:31" x14ac:dyDescent="0.2">
      <c r="H4254" s="5"/>
      <c r="I4254" s="5"/>
      <c r="J4254" s="5"/>
      <c r="K4254" s="5"/>
      <c r="L4254" s="5"/>
      <c r="M4254" s="5"/>
      <c r="N4254" s="5"/>
      <c r="O4254" s="5"/>
      <c r="P4254" s="5"/>
      <c r="Q4254" s="5"/>
      <c r="R4254" s="5"/>
      <c r="S4254" s="5"/>
      <c r="T4254" s="5"/>
      <c r="U4254" s="5"/>
      <c r="V4254" s="5"/>
      <c r="W4254" s="5"/>
      <c r="X4254" s="5"/>
      <c r="Y4254" s="5"/>
      <c r="Z4254" s="5"/>
      <c r="AA4254" s="5"/>
      <c r="AC4254" t="e">
        <f ca="1">RANK(AB4254,OFFSET($AB$2,0,0,#REF!,1))</f>
        <v>#REF!</v>
      </c>
      <c r="AD4254" s="4" t="e">
        <f>InsurerSize(#REF!)</f>
        <v>#VALUE!</v>
      </c>
      <c r="AE4254" s="4" t="e">
        <f t="shared" si="78"/>
        <v>#VALUE!</v>
      </c>
    </row>
    <row r="4255" spans="8:31" x14ac:dyDescent="0.2">
      <c r="H4255" s="5"/>
      <c r="I4255" s="5"/>
      <c r="J4255" s="5"/>
      <c r="K4255" s="5"/>
      <c r="L4255" s="5"/>
      <c r="M4255" s="5"/>
      <c r="N4255" s="5"/>
      <c r="O4255" s="5"/>
      <c r="P4255" s="5"/>
      <c r="Q4255" s="5"/>
      <c r="R4255" s="5"/>
      <c r="S4255" s="5"/>
      <c r="T4255" s="5"/>
      <c r="U4255" s="5"/>
      <c r="V4255" s="5"/>
      <c r="W4255" s="5"/>
      <c r="X4255" s="5"/>
      <c r="Y4255" s="5"/>
      <c r="Z4255" s="5"/>
      <c r="AA4255" s="5"/>
      <c r="AC4255" t="e">
        <f ca="1">RANK(AB4255,OFFSET($AB$2,0,0,#REF!,1))</f>
        <v>#REF!</v>
      </c>
      <c r="AD4255" s="4" t="e">
        <f>InsurerSize(#REF!)</f>
        <v>#VALUE!</v>
      </c>
      <c r="AE4255" s="4" t="e">
        <f t="shared" si="78"/>
        <v>#VALUE!</v>
      </c>
    </row>
    <row r="4256" spans="8:31" x14ac:dyDescent="0.2">
      <c r="H4256" s="5"/>
      <c r="I4256" s="5"/>
      <c r="J4256" s="5"/>
      <c r="K4256" s="5"/>
      <c r="L4256" s="5"/>
      <c r="M4256" s="5"/>
      <c r="N4256" s="5"/>
      <c r="O4256" s="5"/>
      <c r="P4256" s="5"/>
      <c r="Q4256" s="5"/>
      <c r="R4256" s="5"/>
      <c r="S4256" s="5"/>
      <c r="T4256" s="5"/>
      <c r="U4256" s="5"/>
      <c r="V4256" s="5"/>
      <c r="W4256" s="5"/>
      <c r="X4256" s="5"/>
      <c r="Y4256" s="5"/>
      <c r="Z4256" s="5"/>
      <c r="AA4256" s="5"/>
      <c r="AC4256" t="e">
        <f ca="1">RANK(AB4256,OFFSET($AB$2,0,0,#REF!,1))</f>
        <v>#REF!</v>
      </c>
      <c r="AD4256" s="4" t="e">
        <f>InsurerSize(#REF!)</f>
        <v>#VALUE!</v>
      </c>
      <c r="AE4256" s="4" t="e">
        <f t="shared" si="78"/>
        <v>#VALUE!</v>
      </c>
    </row>
    <row r="4257" spans="8:31" x14ac:dyDescent="0.2">
      <c r="H4257" s="5"/>
      <c r="I4257" s="5"/>
      <c r="J4257" s="5"/>
      <c r="K4257" s="5"/>
      <c r="L4257" s="5"/>
      <c r="M4257" s="5"/>
      <c r="N4257" s="5"/>
      <c r="O4257" s="5"/>
      <c r="P4257" s="5"/>
      <c r="Q4257" s="5"/>
      <c r="R4257" s="5"/>
      <c r="S4257" s="5"/>
      <c r="T4257" s="5"/>
      <c r="U4257" s="5"/>
      <c r="V4257" s="5"/>
      <c r="W4257" s="5"/>
      <c r="X4257" s="5"/>
      <c r="Y4257" s="5"/>
      <c r="Z4257" s="5"/>
      <c r="AA4257" s="5"/>
      <c r="AC4257" t="e">
        <f ca="1">RANK(AB4257,OFFSET($AB$2,0,0,#REF!,1))</f>
        <v>#REF!</v>
      </c>
      <c r="AD4257" s="4" t="e">
        <f>InsurerSize(#REF!)</f>
        <v>#VALUE!</v>
      </c>
      <c r="AE4257" s="4" t="e">
        <f t="shared" si="78"/>
        <v>#VALUE!</v>
      </c>
    </row>
    <row r="4258" spans="8:31" x14ac:dyDescent="0.2">
      <c r="H4258" s="5"/>
      <c r="I4258" s="5"/>
      <c r="J4258" s="5"/>
      <c r="K4258" s="5"/>
      <c r="L4258" s="5"/>
      <c r="M4258" s="5"/>
      <c r="N4258" s="5"/>
      <c r="O4258" s="5"/>
      <c r="P4258" s="5"/>
      <c r="Q4258" s="5"/>
      <c r="R4258" s="5"/>
      <c r="S4258" s="5"/>
      <c r="T4258" s="5"/>
      <c r="U4258" s="5"/>
      <c r="V4258" s="5"/>
      <c r="W4258" s="5"/>
      <c r="X4258" s="5"/>
      <c r="Y4258" s="5"/>
      <c r="Z4258" s="5"/>
      <c r="AA4258" s="5"/>
      <c r="AC4258" t="e">
        <f ca="1">RANK(AB4258,OFFSET($AB$2,0,0,#REF!,1))</f>
        <v>#REF!</v>
      </c>
      <c r="AD4258" s="4" t="e">
        <f>InsurerSize(#REF!)</f>
        <v>#VALUE!</v>
      </c>
      <c r="AE4258" s="4" t="e">
        <f t="shared" si="78"/>
        <v>#VALUE!</v>
      </c>
    </row>
    <row r="4259" spans="8:31" x14ac:dyDescent="0.2">
      <c r="H4259" s="5"/>
      <c r="I4259" s="5"/>
      <c r="J4259" s="5"/>
      <c r="K4259" s="5"/>
      <c r="L4259" s="5"/>
      <c r="M4259" s="5"/>
      <c r="N4259" s="5"/>
      <c r="O4259" s="5"/>
      <c r="P4259" s="5"/>
      <c r="Q4259" s="5"/>
      <c r="R4259" s="5"/>
      <c r="S4259" s="5"/>
      <c r="T4259" s="5"/>
      <c r="U4259" s="5"/>
      <c r="V4259" s="5"/>
      <c r="W4259" s="5"/>
      <c r="X4259" s="5"/>
      <c r="Y4259" s="5"/>
      <c r="Z4259" s="5"/>
      <c r="AA4259" s="5"/>
      <c r="AC4259" t="e">
        <f ca="1">RANK(AB4259,OFFSET($AB$2,0,0,#REF!,1))</f>
        <v>#REF!</v>
      </c>
      <c r="AD4259" s="4" t="e">
        <f>InsurerSize(#REF!)</f>
        <v>#VALUE!</v>
      </c>
      <c r="AE4259" s="4" t="e">
        <f t="shared" si="78"/>
        <v>#VALUE!</v>
      </c>
    </row>
    <row r="4260" spans="8:31" x14ac:dyDescent="0.2">
      <c r="H4260" s="5"/>
      <c r="I4260" s="5"/>
      <c r="J4260" s="5"/>
      <c r="K4260" s="5"/>
      <c r="L4260" s="5"/>
      <c r="M4260" s="5"/>
      <c r="N4260" s="5"/>
      <c r="O4260" s="5"/>
      <c r="P4260" s="5"/>
      <c r="Q4260" s="5"/>
      <c r="R4260" s="5"/>
      <c r="S4260" s="5"/>
      <c r="T4260" s="5"/>
      <c r="U4260" s="5"/>
      <c r="V4260" s="5"/>
      <c r="W4260" s="5"/>
      <c r="X4260" s="5"/>
      <c r="Y4260" s="5"/>
      <c r="Z4260" s="5"/>
      <c r="AA4260" s="5"/>
      <c r="AC4260" t="e">
        <f ca="1">RANK(AB4260,OFFSET($AB$2,0,0,#REF!,1))</f>
        <v>#REF!</v>
      </c>
      <c r="AD4260" s="4" t="e">
        <f>InsurerSize(#REF!)</f>
        <v>#VALUE!</v>
      </c>
      <c r="AE4260" s="4" t="e">
        <f t="shared" si="78"/>
        <v>#VALUE!</v>
      </c>
    </row>
    <row r="4261" spans="8:31" x14ac:dyDescent="0.2">
      <c r="H4261" s="5"/>
      <c r="I4261" s="5"/>
      <c r="J4261" s="5"/>
      <c r="K4261" s="5"/>
      <c r="L4261" s="5"/>
      <c r="M4261" s="5"/>
      <c r="N4261" s="5"/>
      <c r="O4261" s="5"/>
      <c r="P4261" s="5"/>
      <c r="Q4261" s="5"/>
      <c r="R4261" s="5"/>
      <c r="S4261" s="5"/>
      <c r="T4261" s="5"/>
      <c r="U4261" s="5"/>
      <c r="V4261" s="5"/>
      <c r="W4261" s="5"/>
      <c r="X4261" s="5"/>
      <c r="Y4261" s="5"/>
      <c r="Z4261" s="5"/>
      <c r="AA4261" s="5"/>
      <c r="AC4261" t="e">
        <f ca="1">RANK(AB4261,OFFSET($AB$2,0,0,#REF!,1))</f>
        <v>#REF!</v>
      </c>
      <c r="AD4261" s="4" t="e">
        <f>InsurerSize(#REF!)</f>
        <v>#VALUE!</v>
      </c>
      <c r="AE4261" s="4" t="e">
        <f t="shared" si="78"/>
        <v>#VALUE!</v>
      </c>
    </row>
    <row r="4262" spans="8:31" x14ac:dyDescent="0.2">
      <c r="H4262" s="5"/>
      <c r="I4262" s="5"/>
      <c r="J4262" s="5"/>
      <c r="K4262" s="5"/>
      <c r="L4262" s="5"/>
      <c r="M4262" s="5"/>
      <c r="N4262" s="5"/>
      <c r="O4262" s="5"/>
      <c r="P4262" s="5"/>
      <c r="Q4262" s="5"/>
      <c r="R4262" s="5"/>
      <c r="S4262" s="5"/>
      <c r="T4262" s="5"/>
      <c r="U4262" s="5"/>
      <c r="V4262" s="5"/>
      <c r="W4262" s="5"/>
      <c r="X4262" s="5"/>
      <c r="Y4262" s="5"/>
      <c r="Z4262" s="5"/>
      <c r="AA4262" s="5"/>
      <c r="AC4262" t="e">
        <f ca="1">RANK(AB4262,OFFSET($AB$2,0,0,#REF!,1))</f>
        <v>#REF!</v>
      </c>
      <c r="AD4262" s="4" t="e">
        <f>InsurerSize(#REF!)</f>
        <v>#VALUE!</v>
      </c>
      <c r="AE4262" s="4" t="e">
        <f t="shared" si="78"/>
        <v>#VALUE!</v>
      </c>
    </row>
    <row r="4263" spans="8:31" x14ac:dyDescent="0.2">
      <c r="H4263" s="5"/>
      <c r="I4263" s="5"/>
      <c r="J4263" s="5"/>
      <c r="K4263" s="5"/>
      <c r="L4263" s="5"/>
      <c r="M4263" s="5"/>
      <c r="N4263" s="5"/>
      <c r="O4263" s="5"/>
      <c r="P4263" s="5"/>
      <c r="Q4263" s="5"/>
      <c r="R4263" s="5"/>
      <c r="S4263" s="5"/>
      <c r="T4263" s="5"/>
      <c r="U4263" s="5"/>
      <c r="V4263" s="5"/>
      <c r="W4263" s="5"/>
      <c r="X4263" s="5"/>
      <c r="Y4263" s="5"/>
      <c r="Z4263" s="5"/>
      <c r="AA4263" s="5"/>
      <c r="AC4263" t="e">
        <f ca="1">RANK(AB4263,OFFSET($AB$2,0,0,#REF!,1))</f>
        <v>#REF!</v>
      </c>
      <c r="AD4263" s="4" t="e">
        <f>InsurerSize(#REF!)</f>
        <v>#VALUE!</v>
      </c>
      <c r="AE4263" s="4" t="e">
        <f t="shared" si="78"/>
        <v>#VALUE!</v>
      </c>
    </row>
    <row r="4264" spans="8:31" x14ac:dyDescent="0.2">
      <c r="H4264" s="5"/>
      <c r="I4264" s="5"/>
      <c r="J4264" s="5"/>
      <c r="K4264" s="5"/>
      <c r="L4264" s="5"/>
      <c r="M4264" s="5"/>
      <c r="N4264" s="5"/>
      <c r="O4264" s="5"/>
      <c r="P4264" s="5"/>
      <c r="Q4264" s="5"/>
      <c r="R4264" s="5"/>
      <c r="S4264" s="5"/>
      <c r="T4264" s="5"/>
      <c r="U4264" s="5"/>
      <c r="V4264" s="5"/>
      <c r="W4264" s="5"/>
      <c r="X4264" s="5"/>
      <c r="Y4264" s="5"/>
      <c r="Z4264" s="5"/>
      <c r="AA4264" s="5"/>
      <c r="AC4264" t="e">
        <f ca="1">RANK(AB4264,OFFSET($AB$2,0,0,#REF!,1))</f>
        <v>#REF!</v>
      </c>
      <c r="AD4264" s="4" t="e">
        <f>InsurerSize(#REF!)</f>
        <v>#VALUE!</v>
      </c>
      <c r="AE4264" s="4" t="e">
        <f t="shared" si="78"/>
        <v>#VALUE!</v>
      </c>
    </row>
    <row r="4265" spans="8:31" x14ac:dyDescent="0.2">
      <c r="H4265" s="5"/>
      <c r="I4265" s="5"/>
      <c r="J4265" s="5"/>
      <c r="K4265" s="5"/>
      <c r="L4265" s="5"/>
      <c r="M4265" s="5"/>
      <c r="N4265" s="5"/>
      <c r="O4265" s="5"/>
      <c r="P4265" s="5"/>
      <c r="Q4265" s="5"/>
      <c r="R4265" s="5"/>
      <c r="S4265" s="5"/>
      <c r="T4265" s="5"/>
      <c r="U4265" s="5"/>
      <c r="V4265" s="5"/>
      <c r="W4265" s="5"/>
      <c r="X4265" s="5"/>
      <c r="Y4265" s="5"/>
      <c r="Z4265" s="5"/>
      <c r="AA4265" s="5"/>
      <c r="AC4265" t="e">
        <f ca="1">RANK(AB4265,OFFSET($AB$2,0,0,#REF!,1))</f>
        <v>#REF!</v>
      </c>
      <c r="AD4265" s="4" t="e">
        <f>InsurerSize(#REF!)</f>
        <v>#VALUE!</v>
      </c>
      <c r="AE4265" s="4" t="e">
        <f t="shared" si="78"/>
        <v>#VALUE!</v>
      </c>
    </row>
    <row r="4266" spans="8:31" x14ac:dyDescent="0.2">
      <c r="H4266" s="5"/>
      <c r="I4266" s="5"/>
      <c r="J4266" s="5"/>
      <c r="K4266" s="5"/>
      <c r="L4266" s="5"/>
      <c r="M4266" s="5"/>
      <c r="N4266" s="5"/>
      <c r="O4266" s="5"/>
      <c r="P4266" s="5"/>
      <c r="Q4266" s="5"/>
      <c r="R4266" s="5"/>
      <c r="S4266" s="5"/>
      <c r="T4266" s="5"/>
      <c r="U4266" s="5"/>
      <c r="V4266" s="5"/>
      <c r="W4266" s="5"/>
      <c r="X4266" s="5"/>
      <c r="Y4266" s="5"/>
      <c r="Z4266" s="5"/>
      <c r="AA4266" s="5"/>
      <c r="AC4266" t="e">
        <f ca="1">RANK(AB4266,OFFSET($AB$2,0,0,#REF!,1))</f>
        <v>#REF!</v>
      </c>
      <c r="AD4266" s="4" t="e">
        <f>InsurerSize(#REF!)</f>
        <v>#VALUE!</v>
      </c>
      <c r="AE4266" s="4" t="e">
        <f t="shared" si="78"/>
        <v>#VALUE!</v>
      </c>
    </row>
    <row r="4267" spans="8:31" x14ac:dyDescent="0.2">
      <c r="H4267" s="5"/>
      <c r="I4267" s="5"/>
      <c r="J4267" s="5"/>
      <c r="K4267" s="5"/>
      <c r="L4267" s="5"/>
      <c r="M4267" s="5"/>
      <c r="N4267" s="5"/>
      <c r="O4267" s="5"/>
      <c r="P4267" s="5"/>
      <c r="Q4267" s="5"/>
      <c r="R4267" s="5"/>
      <c r="S4267" s="5"/>
      <c r="T4267" s="5"/>
      <c r="U4267" s="5"/>
      <c r="V4267" s="5"/>
      <c r="W4267" s="5"/>
      <c r="X4267" s="5"/>
      <c r="Y4267" s="5"/>
      <c r="Z4267" s="5"/>
      <c r="AA4267" s="5"/>
      <c r="AC4267" t="e">
        <f ca="1">RANK(AB4267,OFFSET($AB$2,0,0,#REF!,1))</f>
        <v>#REF!</v>
      </c>
      <c r="AD4267" s="4" t="e">
        <f>InsurerSize(#REF!)</f>
        <v>#VALUE!</v>
      </c>
      <c r="AE4267" s="4" t="e">
        <f t="shared" si="78"/>
        <v>#VALUE!</v>
      </c>
    </row>
    <row r="4268" spans="8:31" x14ac:dyDescent="0.2">
      <c r="H4268" s="5"/>
      <c r="I4268" s="5"/>
      <c r="J4268" s="5"/>
      <c r="K4268" s="5"/>
      <c r="L4268" s="5"/>
      <c r="M4268" s="5"/>
      <c r="N4268" s="5"/>
      <c r="O4268" s="5"/>
      <c r="P4268" s="5"/>
      <c r="Q4268" s="5"/>
      <c r="R4268" s="5"/>
      <c r="S4268" s="5"/>
      <c r="T4268" s="5"/>
      <c r="U4268" s="5"/>
      <c r="V4268" s="5"/>
      <c r="W4268" s="5"/>
      <c r="X4268" s="5"/>
      <c r="Y4268" s="5"/>
      <c r="Z4268" s="5"/>
      <c r="AA4268" s="5"/>
      <c r="AC4268" t="e">
        <f ca="1">RANK(AB4268,OFFSET($AB$2,0,0,#REF!,1))</f>
        <v>#REF!</v>
      </c>
      <c r="AD4268" s="4" t="e">
        <f>InsurerSize(#REF!)</f>
        <v>#VALUE!</v>
      </c>
      <c r="AE4268" s="4" t="e">
        <f t="shared" si="78"/>
        <v>#VALUE!</v>
      </c>
    </row>
    <row r="4269" spans="8:31" x14ac:dyDescent="0.2">
      <c r="H4269" s="5"/>
      <c r="I4269" s="5"/>
      <c r="J4269" s="5"/>
      <c r="K4269" s="5"/>
      <c r="L4269" s="5"/>
      <c r="M4269" s="5"/>
      <c r="N4269" s="5"/>
      <c r="O4269" s="5"/>
      <c r="P4269" s="5"/>
      <c r="Q4269" s="5"/>
      <c r="R4269" s="5"/>
      <c r="S4269" s="5"/>
      <c r="T4269" s="5"/>
      <c r="U4269" s="5"/>
      <c r="V4269" s="5"/>
      <c r="W4269" s="5"/>
      <c r="X4269" s="5"/>
      <c r="Y4269" s="5"/>
      <c r="Z4269" s="5"/>
      <c r="AA4269" s="5"/>
      <c r="AC4269" t="e">
        <f ca="1">RANK(AB4269,OFFSET($AB$2,0,0,#REF!,1))</f>
        <v>#REF!</v>
      </c>
      <c r="AD4269" s="4" t="e">
        <f>InsurerSize(#REF!)</f>
        <v>#VALUE!</v>
      </c>
      <c r="AE4269" s="4" t="e">
        <f t="shared" si="78"/>
        <v>#VALUE!</v>
      </c>
    </row>
    <row r="4270" spans="8:31" x14ac:dyDescent="0.2">
      <c r="H4270" s="5"/>
      <c r="I4270" s="5"/>
      <c r="J4270" s="5"/>
      <c r="K4270" s="5"/>
      <c r="L4270" s="5"/>
      <c r="M4270" s="5"/>
      <c r="N4270" s="5"/>
      <c r="O4270" s="5"/>
      <c r="P4270" s="5"/>
      <c r="Q4270" s="5"/>
      <c r="R4270" s="5"/>
      <c r="S4270" s="5"/>
      <c r="T4270" s="5"/>
      <c r="U4270" s="5"/>
      <c r="V4270" s="5"/>
      <c r="W4270" s="5"/>
      <c r="X4270" s="5"/>
      <c r="Y4270" s="5"/>
      <c r="Z4270" s="5"/>
      <c r="AA4270" s="5"/>
      <c r="AC4270" t="e">
        <f ca="1">RANK(AB4270,OFFSET($AB$2,0,0,#REF!,1))</f>
        <v>#REF!</v>
      </c>
      <c r="AD4270" s="4" t="e">
        <f>InsurerSize(#REF!)</f>
        <v>#VALUE!</v>
      </c>
      <c r="AE4270" s="4" t="e">
        <f t="shared" si="78"/>
        <v>#VALUE!</v>
      </c>
    </row>
    <row r="4271" spans="8:31" x14ac:dyDescent="0.2">
      <c r="H4271" s="5"/>
      <c r="I4271" s="5"/>
      <c r="J4271" s="5"/>
      <c r="K4271" s="5"/>
      <c r="L4271" s="5"/>
      <c r="M4271" s="5"/>
      <c r="N4271" s="5"/>
      <c r="O4271" s="5"/>
      <c r="P4271" s="5"/>
      <c r="Q4271" s="5"/>
      <c r="R4271" s="5"/>
      <c r="S4271" s="5"/>
      <c r="T4271" s="5"/>
      <c r="U4271" s="5"/>
      <c r="V4271" s="5"/>
      <c r="W4271" s="5"/>
      <c r="X4271" s="5"/>
      <c r="Y4271" s="5"/>
      <c r="Z4271" s="5"/>
      <c r="AA4271" s="5"/>
      <c r="AC4271" t="e">
        <f ca="1">RANK(AB4271,OFFSET($AB$2,0,0,#REF!,1))</f>
        <v>#REF!</v>
      </c>
      <c r="AD4271" s="4" t="e">
        <f>InsurerSize(#REF!)</f>
        <v>#VALUE!</v>
      </c>
      <c r="AE4271" s="4" t="e">
        <f t="shared" si="78"/>
        <v>#VALUE!</v>
      </c>
    </row>
    <row r="4272" spans="8:31" x14ac:dyDescent="0.2">
      <c r="H4272" s="5"/>
      <c r="I4272" s="5"/>
      <c r="J4272" s="5"/>
      <c r="K4272" s="5"/>
      <c r="L4272" s="5"/>
      <c r="M4272" s="5"/>
      <c r="N4272" s="5"/>
      <c r="O4272" s="5"/>
      <c r="P4272" s="5"/>
      <c r="Q4272" s="5"/>
      <c r="R4272" s="5"/>
      <c r="S4272" s="5"/>
      <c r="T4272" s="5"/>
      <c r="U4272" s="5"/>
      <c r="V4272" s="5"/>
      <c r="W4272" s="5"/>
      <c r="X4272" s="5"/>
      <c r="Y4272" s="5"/>
      <c r="Z4272" s="5"/>
      <c r="AA4272" s="5"/>
      <c r="AC4272" t="e">
        <f ca="1">RANK(AB4272,OFFSET($AB$2,0,0,#REF!,1))</f>
        <v>#REF!</v>
      </c>
      <c r="AD4272" s="4" t="e">
        <f>InsurerSize(#REF!)</f>
        <v>#VALUE!</v>
      </c>
      <c r="AE4272" s="4" t="e">
        <f t="shared" si="78"/>
        <v>#VALUE!</v>
      </c>
    </row>
    <row r="4273" spans="8:31" x14ac:dyDescent="0.2">
      <c r="H4273" s="5"/>
      <c r="I4273" s="5"/>
      <c r="J4273" s="5"/>
      <c r="K4273" s="5"/>
      <c r="L4273" s="5"/>
      <c r="M4273" s="5"/>
      <c r="N4273" s="5"/>
      <c r="O4273" s="5"/>
      <c r="P4273" s="5"/>
      <c r="Q4273" s="5"/>
      <c r="R4273" s="5"/>
      <c r="S4273" s="5"/>
      <c r="T4273" s="5"/>
      <c r="U4273" s="5"/>
      <c r="V4273" s="5"/>
      <c r="W4273" s="5"/>
      <c r="X4273" s="5"/>
      <c r="Y4273" s="5"/>
      <c r="Z4273" s="5"/>
      <c r="AA4273" s="5"/>
      <c r="AC4273" t="e">
        <f ca="1">RANK(AB4273,OFFSET($AB$2,0,0,#REF!,1))</f>
        <v>#REF!</v>
      </c>
      <c r="AD4273" s="4" t="e">
        <f>InsurerSize(#REF!)</f>
        <v>#VALUE!</v>
      </c>
      <c r="AE4273" s="4" t="e">
        <f t="shared" si="78"/>
        <v>#VALUE!</v>
      </c>
    </row>
    <row r="4274" spans="8:31" x14ac:dyDescent="0.2">
      <c r="H4274" s="5"/>
      <c r="I4274" s="5"/>
      <c r="J4274" s="5"/>
      <c r="K4274" s="5"/>
      <c r="L4274" s="5"/>
      <c r="M4274" s="5"/>
      <c r="N4274" s="5"/>
      <c r="O4274" s="5"/>
      <c r="P4274" s="5"/>
      <c r="Q4274" s="5"/>
      <c r="R4274" s="5"/>
      <c r="S4274" s="5"/>
      <c r="T4274" s="5"/>
      <c r="U4274" s="5"/>
      <c r="V4274" s="5"/>
      <c r="W4274" s="5"/>
      <c r="X4274" s="5"/>
      <c r="Y4274" s="5"/>
      <c r="Z4274" s="5"/>
      <c r="AA4274" s="5"/>
      <c r="AC4274" t="e">
        <f ca="1">RANK(AB4274,OFFSET($AB$2,0,0,#REF!,1))</f>
        <v>#REF!</v>
      </c>
      <c r="AD4274" s="4" t="e">
        <f>InsurerSize(#REF!)</f>
        <v>#VALUE!</v>
      </c>
      <c r="AE4274" s="4" t="e">
        <f t="shared" si="78"/>
        <v>#VALUE!</v>
      </c>
    </row>
    <row r="4275" spans="8:31" x14ac:dyDescent="0.2">
      <c r="H4275" s="5"/>
      <c r="I4275" s="5"/>
      <c r="J4275" s="5"/>
      <c r="K4275" s="5"/>
      <c r="L4275" s="5"/>
      <c r="M4275" s="5"/>
      <c r="N4275" s="5"/>
      <c r="O4275" s="5"/>
      <c r="P4275" s="5"/>
      <c r="Q4275" s="5"/>
      <c r="R4275" s="5"/>
      <c r="S4275" s="5"/>
      <c r="T4275" s="5"/>
      <c r="U4275" s="5"/>
      <c r="V4275" s="5"/>
      <c r="W4275" s="5"/>
      <c r="X4275" s="5"/>
      <c r="Y4275" s="5"/>
      <c r="Z4275" s="5"/>
      <c r="AA4275" s="5"/>
      <c r="AC4275" t="e">
        <f ca="1">RANK(AB4275,OFFSET($AB$2,0,0,#REF!,1))</f>
        <v>#REF!</v>
      </c>
      <c r="AD4275" s="4" t="e">
        <f>InsurerSize(#REF!)</f>
        <v>#VALUE!</v>
      </c>
      <c r="AE4275" s="4" t="e">
        <f t="shared" si="78"/>
        <v>#VALUE!</v>
      </c>
    </row>
    <row r="4276" spans="8:31" x14ac:dyDescent="0.2">
      <c r="H4276" s="5"/>
      <c r="I4276" s="5"/>
      <c r="J4276" s="5"/>
      <c r="K4276" s="5"/>
      <c r="L4276" s="5"/>
      <c r="M4276" s="5"/>
      <c r="N4276" s="5"/>
      <c r="O4276" s="5"/>
      <c r="P4276" s="5"/>
      <c r="Q4276" s="5"/>
      <c r="R4276" s="5"/>
      <c r="S4276" s="5"/>
      <c r="T4276" s="5"/>
      <c r="U4276" s="5"/>
      <c r="V4276" s="5"/>
      <c r="W4276" s="5"/>
      <c r="X4276" s="5"/>
      <c r="Y4276" s="5"/>
      <c r="Z4276" s="5"/>
      <c r="AA4276" s="5"/>
      <c r="AC4276" t="e">
        <f ca="1">RANK(AB4276,OFFSET($AB$2,0,0,#REF!,1))</f>
        <v>#REF!</v>
      </c>
      <c r="AD4276" s="4" t="e">
        <f>InsurerSize(#REF!)</f>
        <v>#VALUE!</v>
      </c>
      <c r="AE4276" s="4" t="e">
        <f t="shared" si="78"/>
        <v>#VALUE!</v>
      </c>
    </row>
    <row r="4277" spans="8:31" x14ac:dyDescent="0.2">
      <c r="H4277" s="5"/>
      <c r="I4277" s="5"/>
      <c r="J4277" s="5"/>
      <c r="K4277" s="5"/>
      <c r="L4277" s="5"/>
      <c r="M4277" s="5"/>
      <c r="N4277" s="5"/>
      <c r="O4277" s="5"/>
      <c r="P4277" s="5"/>
      <c r="Q4277" s="5"/>
      <c r="R4277" s="5"/>
      <c r="S4277" s="5"/>
      <c r="T4277" s="5"/>
      <c r="U4277" s="5"/>
      <c r="V4277" s="5"/>
      <c r="W4277" s="5"/>
      <c r="X4277" s="5"/>
      <c r="Y4277" s="5"/>
      <c r="Z4277" s="5"/>
      <c r="AA4277" s="5"/>
      <c r="AC4277" t="e">
        <f ca="1">RANK(AB4277,OFFSET($AB$2,0,0,#REF!,1))</f>
        <v>#REF!</v>
      </c>
      <c r="AD4277" s="4" t="e">
        <f>InsurerSize(#REF!)</f>
        <v>#VALUE!</v>
      </c>
      <c r="AE4277" s="4" t="e">
        <f t="shared" si="78"/>
        <v>#VALUE!</v>
      </c>
    </row>
    <row r="4278" spans="8:31" x14ac:dyDescent="0.2">
      <c r="H4278" s="5"/>
      <c r="I4278" s="5"/>
      <c r="J4278" s="5"/>
      <c r="K4278" s="5"/>
      <c r="L4278" s="5"/>
      <c r="M4278" s="5"/>
      <c r="N4278" s="5"/>
      <c r="O4278" s="5"/>
      <c r="P4278" s="5"/>
      <c r="Q4278" s="5"/>
      <c r="R4278" s="5"/>
      <c r="S4278" s="5"/>
      <c r="T4278" s="5"/>
      <c r="U4278" s="5"/>
      <c r="V4278" s="5"/>
      <c r="W4278" s="5"/>
      <c r="X4278" s="5"/>
      <c r="Y4278" s="5"/>
      <c r="Z4278" s="5"/>
      <c r="AA4278" s="5"/>
      <c r="AC4278" t="e">
        <f ca="1">RANK(AB4278,OFFSET($AB$2,0,0,#REF!,1))</f>
        <v>#REF!</v>
      </c>
      <c r="AD4278" s="4" t="e">
        <f>InsurerSize(#REF!)</f>
        <v>#VALUE!</v>
      </c>
      <c r="AE4278" s="4" t="e">
        <f t="shared" si="78"/>
        <v>#VALUE!</v>
      </c>
    </row>
    <row r="4279" spans="8:31" x14ac:dyDescent="0.2">
      <c r="H4279" s="5"/>
      <c r="I4279" s="5"/>
      <c r="J4279" s="5"/>
      <c r="K4279" s="5"/>
      <c r="L4279" s="5"/>
      <c r="M4279" s="5"/>
      <c r="N4279" s="5"/>
      <c r="O4279" s="5"/>
      <c r="P4279" s="5"/>
      <c r="Q4279" s="5"/>
      <c r="R4279" s="5"/>
      <c r="S4279" s="5"/>
      <c r="T4279" s="5"/>
      <c r="U4279" s="5"/>
      <c r="V4279" s="5"/>
      <c r="W4279" s="5"/>
      <c r="X4279" s="5"/>
      <c r="Y4279" s="5"/>
      <c r="Z4279" s="5"/>
      <c r="AA4279" s="5"/>
      <c r="AC4279" t="e">
        <f ca="1">RANK(AB4279,OFFSET($AB$2,0,0,#REF!,1))</f>
        <v>#REF!</v>
      </c>
      <c r="AD4279" s="4" t="e">
        <f>InsurerSize(#REF!)</f>
        <v>#VALUE!</v>
      </c>
      <c r="AE4279" s="4" t="e">
        <f t="shared" si="78"/>
        <v>#VALUE!</v>
      </c>
    </row>
    <row r="4280" spans="8:31" x14ac:dyDescent="0.2">
      <c r="H4280" s="5"/>
      <c r="I4280" s="5"/>
      <c r="J4280" s="5"/>
      <c r="K4280" s="5"/>
      <c r="L4280" s="5"/>
      <c r="M4280" s="5"/>
      <c r="N4280" s="5"/>
      <c r="O4280" s="5"/>
      <c r="P4280" s="5"/>
      <c r="Q4280" s="5"/>
      <c r="R4280" s="5"/>
      <c r="S4280" s="5"/>
      <c r="T4280" s="5"/>
      <c r="U4280" s="5"/>
      <c r="V4280" s="5"/>
      <c r="W4280" s="5"/>
      <c r="X4280" s="5"/>
      <c r="Y4280" s="5"/>
      <c r="Z4280" s="5"/>
      <c r="AA4280" s="5"/>
      <c r="AC4280" t="e">
        <f ca="1">RANK(AB4280,OFFSET($AB$2,0,0,#REF!,1))</f>
        <v>#REF!</v>
      </c>
      <c r="AD4280" s="4" t="e">
        <f>InsurerSize(#REF!)</f>
        <v>#VALUE!</v>
      </c>
      <c r="AE4280" s="4" t="e">
        <f t="shared" si="78"/>
        <v>#VALUE!</v>
      </c>
    </row>
    <row r="4281" spans="8:31" x14ac:dyDescent="0.2">
      <c r="H4281" s="5"/>
      <c r="I4281" s="5"/>
      <c r="J4281" s="5"/>
      <c r="K4281" s="5"/>
      <c r="L4281" s="5"/>
      <c r="M4281" s="5"/>
      <c r="N4281" s="5"/>
      <c r="O4281" s="5"/>
      <c r="P4281" s="5"/>
      <c r="Q4281" s="5"/>
      <c r="R4281" s="5"/>
      <c r="S4281" s="5"/>
      <c r="T4281" s="5"/>
      <c r="U4281" s="5"/>
      <c r="V4281" s="5"/>
      <c r="W4281" s="5"/>
      <c r="X4281" s="5"/>
      <c r="Y4281" s="5"/>
      <c r="Z4281" s="5"/>
      <c r="AA4281" s="5"/>
      <c r="AC4281" t="e">
        <f ca="1">RANK(AB4281,OFFSET($AB$2,0,0,#REF!,1))</f>
        <v>#REF!</v>
      </c>
      <c r="AD4281" s="4" t="e">
        <f>InsurerSize(#REF!)</f>
        <v>#VALUE!</v>
      </c>
      <c r="AE4281" s="4" t="e">
        <f t="shared" si="78"/>
        <v>#VALUE!</v>
      </c>
    </row>
    <row r="4282" spans="8:31" x14ac:dyDescent="0.2">
      <c r="H4282" s="5"/>
      <c r="I4282" s="5"/>
      <c r="J4282" s="5"/>
      <c r="K4282" s="5"/>
      <c r="L4282" s="5"/>
      <c r="M4282" s="5"/>
      <c r="N4282" s="5"/>
      <c r="O4282" s="5"/>
      <c r="P4282" s="5"/>
      <c r="Q4282" s="5"/>
      <c r="R4282" s="5"/>
      <c r="S4282" s="5"/>
      <c r="T4282" s="5"/>
      <c r="U4282" s="5"/>
      <c r="V4282" s="5"/>
      <c r="W4282" s="5"/>
      <c r="X4282" s="5"/>
      <c r="Y4282" s="5"/>
      <c r="Z4282" s="5"/>
      <c r="AA4282" s="5"/>
      <c r="AC4282" t="e">
        <f ca="1">RANK(AB4282,OFFSET($AB$2,0,0,#REF!,1))</f>
        <v>#REF!</v>
      </c>
      <c r="AD4282" s="4" t="e">
        <f>InsurerSize(#REF!)</f>
        <v>#VALUE!</v>
      </c>
      <c r="AE4282" s="4" t="e">
        <f t="shared" si="78"/>
        <v>#VALUE!</v>
      </c>
    </row>
    <row r="4283" spans="8:31" x14ac:dyDescent="0.2">
      <c r="H4283" s="5"/>
      <c r="I4283" s="5"/>
      <c r="J4283" s="5"/>
      <c r="K4283" s="5"/>
      <c r="L4283" s="5"/>
      <c r="M4283" s="5"/>
      <c r="N4283" s="5"/>
      <c r="O4283" s="5"/>
      <c r="P4283" s="5"/>
      <c r="Q4283" s="5"/>
      <c r="R4283" s="5"/>
      <c r="S4283" s="5"/>
      <c r="T4283" s="5"/>
      <c r="U4283" s="5"/>
      <c r="V4283" s="5"/>
      <c r="W4283" s="5"/>
      <c r="X4283" s="5"/>
      <c r="Y4283" s="5"/>
      <c r="Z4283" s="5"/>
      <c r="AA4283" s="5"/>
      <c r="AC4283" t="e">
        <f ca="1">RANK(AB4283,OFFSET($AB$2,0,0,#REF!,1))</f>
        <v>#REF!</v>
      </c>
      <c r="AD4283" s="4" t="e">
        <f>InsurerSize(#REF!)</f>
        <v>#VALUE!</v>
      </c>
      <c r="AE4283" s="4" t="e">
        <f t="shared" si="78"/>
        <v>#VALUE!</v>
      </c>
    </row>
    <row r="4284" spans="8:31" x14ac:dyDescent="0.2">
      <c r="H4284" s="5"/>
      <c r="I4284" s="5"/>
      <c r="J4284" s="5"/>
      <c r="K4284" s="5"/>
      <c r="L4284" s="5"/>
      <c r="M4284" s="5"/>
      <c r="N4284" s="5"/>
      <c r="O4284" s="5"/>
      <c r="P4284" s="5"/>
      <c r="Q4284" s="5"/>
      <c r="R4284" s="5"/>
      <c r="S4284" s="5"/>
      <c r="T4284" s="5"/>
      <c r="U4284" s="5"/>
      <c r="V4284" s="5"/>
      <c r="W4284" s="5"/>
      <c r="X4284" s="5"/>
      <c r="Y4284" s="5"/>
      <c r="Z4284" s="5"/>
      <c r="AA4284" s="5"/>
      <c r="AC4284" t="e">
        <f ca="1">RANK(AB4284,OFFSET($AB$2,0,0,#REF!,1))</f>
        <v>#REF!</v>
      </c>
      <c r="AD4284" s="4" t="e">
        <f>InsurerSize(#REF!)</f>
        <v>#VALUE!</v>
      </c>
      <c r="AE4284" s="4" t="e">
        <f t="shared" si="78"/>
        <v>#VALUE!</v>
      </c>
    </row>
    <row r="4285" spans="8:31" x14ac:dyDescent="0.2">
      <c r="H4285" s="5"/>
      <c r="I4285" s="5"/>
      <c r="J4285" s="5"/>
      <c r="K4285" s="5"/>
      <c r="L4285" s="5"/>
      <c r="M4285" s="5"/>
      <c r="N4285" s="5"/>
      <c r="O4285" s="5"/>
      <c r="P4285" s="5"/>
      <c r="Q4285" s="5"/>
      <c r="R4285" s="5"/>
      <c r="S4285" s="5"/>
      <c r="T4285" s="5"/>
      <c r="U4285" s="5"/>
      <c r="V4285" s="5"/>
      <c r="W4285" s="5"/>
      <c r="X4285" s="5"/>
      <c r="Y4285" s="5"/>
      <c r="Z4285" s="5"/>
      <c r="AA4285" s="5"/>
      <c r="AC4285" t="e">
        <f ca="1">RANK(AB4285,OFFSET($AB$2,0,0,#REF!,1))</f>
        <v>#REF!</v>
      </c>
      <c r="AD4285" s="4" t="e">
        <f>InsurerSize(#REF!)</f>
        <v>#VALUE!</v>
      </c>
      <c r="AE4285" s="4" t="e">
        <f t="shared" si="78"/>
        <v>#VALUE!</v>
      </c>
    </row>
    <row r="4286" spans="8:31" x14ac:dyDescent="0.2">
      <c r="H4286" s="5"/>
      <c r="I4286" s="5"/>
      <c r="J4286" s="5"/>
      <c r="K4286" s="5"/>
      <c r="L4286" s="5"/>
      <c r="M4286" s="5"/>
      <c r="N4286" s="5"/>
      <c r="O4286" s="5"/>
      <c r="P4286" s="5"/>
      <c r="Q4286" s="5"/>
      <c r="R4286" s="5"/>
      <c r="S4286" s="5"/>
      <c r="T4286" s="5"/>
      <c r="U4286" s="5"/>
      <c r="V4286" s="5"/>
      <c r="W4286" s="5"/>
      <c r="X4286" s="5"/>
      <c r="Y4286" s="5"/>
      <c r="Z4286" s="5"/>
      <c r="AA4286" s="5"/>
      <c r="AC4286" t="e">
        <f ca="1">RANK(AB4286,OFFSET($AB$2,0,0,#REF!,1))</f>
        <v>#REF!</v>
      </c>
      <c r="AD4286" s="4" t="e">
        <f>InsurerSize(#REF!)</f>
        <v>#VALUE!</v>
      </c>
      <c r="AE4286" s="4" t="e">
        <f t="shared" si="78"/>
        <v>#VALUE!</v>
      </c>
    </row>
    <row r="4287" spans="8:31" x14ac:dyDescent="0.2">
      <c r="H4287" s="5"/>
      <c r="I4287" s="5"/>
      <c r="J4287" s="5"/>
      <c r="K4287" s="5"/>
      <c r="L4287" s="5"/>
      <c r="M4287" s="5"/>
      <c r="N4287" s="5"/>
      <c r="O4287" s="5"/>
      <c r="P4287" s="5"/>
      <c r="Q4287" s="5"/>
      <c r="R4287" s="5"/>
      <c r="S4287" s="5"/>
      <c r="T4287" s="5"/>
      <c r="U4287" s="5"/>
      <c r="V4287" s="5"/>
      <c r="W4287" s="5"/>
      <c r="X4287" s="5"/>
      <c r="Y4287" s="5"/>
      <c r="Z4287" s="5"/>
      <c r="AA4287" s="5"/>
      <c r="AC4287" t="e">
        <f ca="1">RANK(AB4287,OFFSET($AB$2,0,0,#REF!,1))</f>
        <v>#REF!</v>
      </c>
      <c r="AD4287" s="4" t="e">
        <f>InsurerSize(#REF!)</f>
        <v>#VALUE!</v>
      </c>
      <c r="AE4287" s="4" t="e">
        <f t="shared" si="78"/>
        <v>#VALUE!</v>
      </c>
    </row>
    <row r="4288" spans="8:31" x14ac:dyDescent="0.2">
      <c r="H4288" s="5"/>
      <c r="I4288" s="5"/>
      <c r="J4288" s="5"/>
      <c r="K4288" s="5"/>
      <c r="L4288" s="5"/>
      <c r="M4288" s="5"/>
      <c r="N4288" s="5"/>
      <c r="O4288" s="5"/>
      <c r="P4288" s="5"/>
      <c r="Q4288" s="5"/>
      <c r="R4288" s="5"/>
      <c r="S4288" s="5"/>
      <c r="T4288" s="5"/>
      <c r="U4288" s="5"/>
      <c r="V4288" s="5"/>
      <c r="W4288" s="5"/>
      <c r="X4288" s="5"/>
      <c r="Y4288" s="5"/>
      <c r="Z4288" s="5"/>
      <c r="AA4288" s="5"/>
      <c r="AC4288" t="e">
        <f ca="1">RANK(AB4288,OFFSET($AB$2,0,0,#REF!,1))</f>
        <v>#REF!</v>
      </c>
      <c r="AD4288" s="4" t="e">
        <f>InsurerSize(#REF!)</f>
        <v>#VALUE!</v>
      </c>
      <c r="AE4288" s="4" t="e">
        <f t="shared" si="78"/>
        <v>#VALUE!</v>
      </c>
    </row>
    <row r="4289" spans="8:31" x14ac:dyDescent="0.2">
      <c r="H4289" s="5"/>
      <c r="I4289" s="5"/>
      <c r="J4289" s="5"/>
      <c r="K4289" s="5"/>
      <c r="L4289" s="5"/>
      <c r="M4289" s="5"/>
      <c r="N4289" s="5"/>
      <c r="O4289" s="5"/>
      <c r="P4289" s="5"/>
      <c r="Q4289" s="5"/>
      <c r="R4289" s="5"/>
      <c r="S4289" s="5"/>
      <c r="T4289" s="5"/>
      <c r="U4289" s="5"/>
      <c r="V4289" s="5"/>
      <c r="W4289" s="5"/>
      <c r="X4289" s="5"/>
      <c r="Y4289" s="5"/>
      <c r="Z4289" s="5"/>
      <c r="AA4289" s="5"/>
      <c r="AC4289" t="e">
        <f ca="1">RANK(AB4289,OFFSET($AB$2,0,0,#REF!,1))</f>
        <v>#REF!</v>
      </c>
      <c r="AD4289" s="4" t="e">
        <f>InsurerSize(#REF!)</f>
        <v>#VALUE!</v>
      </c>
      <c r="AE4289" s="4" t="e">
        <f t="shared" si="78"/>
        <v>#VALUE!</v>
      </c>
    </row>
    <row r="4290" spans="8:31" x14ac:dyDescent="0.2">
      <c r="H4290" s="5"/>
      <c r="I4290" s="5"/>
      <c r="J4290" s="5"/>
      <c r="K4290" s="5"/>
      <c r="L4290" s="5"/>
      <c r="M4290" s="5"/>
      <c r="N4290" s="5"/>
      <c r="O4290" s="5"/>
      <c r="P4290" s="5"/>
      <c r="Q4290" s="5"/>
      <c r="R4290" s="5"/>
      <c r="S4290" s="5"/>
      <c r="T4290" s="5"/>
      <c r="U4290" s="5"/>
      <c r="V4290" s="5"/>
      <c r="W4290" s="5"/>
      <c r="X4290" s="5"/>
      <c r="Y4290" s="5"/>
      <c r="Z4290" s="5"/>
      <c r="AA4290" s="5"/>
      <c r="AC4290" t="e">
        <f ca="1">RANK(AB4290,OFFSET($AB$2,0,0,#REF!,1))</f>
        <v>#REF!</v>
      </c>
      <c r="AD4290" s="4" t="e">
        <f>InsurerSize(#REF!)</f>
        <v>#VALUE!</v>
      </c>
      <c r="AE4290" s="4" t="e">
        <f t="shared" ref="AE4290:AE4353" si="79">A4290&amp;AD4290</f>
        <v>#VALUE!</v>
      </c>
    </row>
    <row r="4291" spans="8:31" x14ac:dyDescent="0.2">
      <c r="H4291" s="5"/>
      <c r="I4291" s="5"/>
      <c r="J4291" s="5"/>
      <c r="K4291" s="5"/>
      <c r="L4291" s="5"/>
      <c r="M4291" s="5"/>
      <c r="N4291" s="5"/>
      <c r="O4291" s="5"/>
      <c r="P4291" s="5"/>
      <c r="Q4291" s="5"/>
      <c r="R4291" s="5"/>
      <c r="S4291" s="5"/>
      <c r="T4291" s="5"/>
      <c r="U4291" s="5"/>
      <c r="V4291" s="5"/>
      <c r="W4291" s="5"/>
      <c r="X4291" s="5"/>
      <c r="Y4291" s="5"/>
      <c r="Z4291" s="5"/>
      <c r="AA4291" s="5"/>
      <c r="AC4291" t="e">
        <f ca="1">RANK(AB4291,OFFSET($AB$2,0,0,#REF!,1))</f>
        <v>#REF!</v>
      </c>
      <c r="AD4291" s="4" t="e">
        <f>InsurerSize(#REF!)</f>
        <v>#VALUE!</v>
      </c>
      <c r="AE4291" s="4" t="e">
        <f t="shared" si="79"/>
        <v>#VALUE!</v>
      </c>
    </row>
    <row r="4292" spans="8:31" x14ac:dyDescent="0.2">
      <c r="H4292" s="5"/>
      <c r="I4292" s="5"/>
      <c r="J4292" s="5"/>
      <c r="K4292" s="5"/>
      <c r="L4292" s="5"/>
      <c r="M4292" s="5"/>
      <c r="N4292" s="5"/>
      <c r="O4292" s="5"/>
      <c r="P4292" s="5"/>
      <c r="Q4292" s="5"/>
      <c r="R4292" s="5"/>
      <c r="S4292" s="5"/>
      <c r="T4292" s="5"/>
      <c r="U4292" s="5"/>
      <c r="V4292" s="5"/>
      <c r="W4292" s="5"/>
      <c r="X4292" s="5"/>
      <c r="Y4292" s="5"/>
      <c r="Z4292" s="5"/>
      <c r="AA4292" s="5"/>
      <c r="AC4292" t="e">
        <f ca="1">RANK(AB4292,OFFSET($AB$2,0,0,#REF!,1))</f>
        <v>#REF!</v>
      </c>
      <c r="AD4292" s="4" t="e">
        <f>InsurerSize(#REF!)</f>
        <v>#VALUE!</v>
      </c>
      <c r="AE4292" s="4" t="e">
        <f t="shared" si="79"/>
        <v>#VALUE!</v>
      </c>
    </row>
    <row r="4293" spans="8:31" x14ac:dyDescent="0.2">
      <c r="H4293" s="5"/>
      <c r="I4293" s="5"/>
      <c r="J4293" s="5"/>
      <c r="K4293" s="5"/>
      <c r="L4293" s="5"/>
      <c r="M4293" s="5"/>
      <c r="N4293" s="5"/>
      <c r="O4293" s="5"/>
      <c r="P4293" s="5"/>
      <c r="Q4293" s="5"/>
      <c r="R4293" s="5"/>
      <c r="S4293" s="5"/>
      <c r="T4293" s="5"/>
      <c r="U4293" s="5"/>
      <c r="V4293" s="5"/>
      <c r="W4293" s="5"/>
      <c r="X4293" s="5"/>
      <c r="Y4293" s="5"/>
      <c r="Z4293" s="5"/>
      <c r="AA4293" s="5"/>
      <c r="AC4293" t="e">
        <f ca="1">RANK(AB4293,OFFSET($AB$2,0,0,#REF!,1))</f>
        <v>#REF!</v>
      </c>
      <c r="AD4293" s="4" t="e">
        <f>InsurerSize(#REF!)</f>
        <v>#VALUE!</v>
      </c>
      <c r="AE4293" s="4" t="e">
        <f t="shared" si="79"/>
        <v>#VALUE!</v>
      </c>
    </row>
    <row r="4294" spans="8:31" x14ac:dyDescent="0.2">
      <c r="H4294" s="5"/>
      <c r="I4294" s="5"/>
      <c r="J4294" s="5"/>
      <c r="K4294" s="5"/>
      <c r="L4294" s="5"/>
      <c r="M4294" s="5"/>
      <c r="N4294" s="5"/>
      <c r="O4294" s="5"/>
      <c r="P4294" s="5"/>
      <c r="Q4294" s="5"/>
      <c r="R4294" s="5"/>
      <c r="S4294" s="5"/>
      <c r="T4294" s="5"/>
      <c r="U4294" s="5"/>
      <c r="V4294" s="5"/>
      <c r="W4294" s="5"/>
      <c r="X4294" s="5"/>
      <c r="Y4294" s="5"/>
      <c r="Z4294" s="5"/>
      <c r="AA4294" s="5"/>
      <c r="AC4294" t="e">
        <f ca="1">RANK(AB4294,OFFSET($AB$2,0,0,#REF!,1))</f>
        <v>#REF!</v>
      </c>
      <c r="AD4294" s="4" t="e">
        <f>InsurerSize(#REF!)</f>
        <v>#VALUE!</v>
      </c>
      <c r="AE4294" s="4" t="e">
        <f t="shared" si="79"/>
        <v>#VALUE!</v>
      </c>
    </row>
    <row r="4295" spans="8:31" x14ac:dyDescent="0.2">
      <c r="H4295" s="5"/>
      <c r="I4295" s="5"/>
      <c r="J4295" s="5"/>
      <c r="K4295" s="5"/>
      <c r="L4295" s="5"/>
      <c r="M4295" s="5"/>
      <c r="N4295" s="5"/>
      <c r="O4295" s="5"/>
      <c r="P4295" s="5"/>
      <c r="Q4295" s="5"/>
      <c r="R4295" s="5"/>
      <c r="S4295" s="5"/>
      <c r="T4295" s="5"/>
      <c r="U4295" s="5"/>
      <c r="V4295" s="5"/>
      <c r="W4295" s="5"/>
      <c r="X4295" s="5"/>
      <c r="Y4295" s="5"/>
      <c r="Z4295" s="5"/>
      <c r="AA4295" s="5"/>
      <c r="AC4295" t="e">
        <f ca="1">RANK(AB4295,OFFSET($AB$2,0,0,#REF!,1))</f>
        <v>#REF!</v>
      </c>
      <c r="AD4295" s="4" t="e">
        <f>InsurerSize(#REF!)</f>
        <v>#VALUE!</v>
      </c>
      <c r="AE4295" s="4" t="e">
        <f t="shared" si="79"/>
        <v>#VALUE!</v>
      </c>
    </row>
    <row r="4296" spans="8:31" x14ac:dyDescent="0.2">
      <c r="H4296" s="5"/>
      <c r="I4296" s="5"/>
      <c r="J4296" s="5"/>
      <c r="K4296" s="5"/>
      <c r="L4296" s="5"/>
      <c r="M4296" s="5"/>
      <c r="N4296" s="5"/>
      <c r="O4296" s="5"/>
      <c r="P4296" s="5"/>
      <c r="Q4296" s="5"/>
      <c r="R4296" s="5"/>
      <c r="S4296" s="5"/>
      <c r="T4296" s="5"/>
      <c r="U4296" s="5"/>
      <c r="V4296" s="5"/>
      <c r="W4296" s="5"/>
      <c r="X4296" s="5"/>
      <c r="Y4296" s="5"/>
      <c r="Z4296" s="5"/>
      <c r="AA4296" s="5"/>
      <c r="AC4296" t="e">
        <f ca="1">RANK(AB4296,OFFSET($AB$2,0,0,#REF!,1))</f>
        <v>#REF!</v>
      </c>
      <c r="AD4296" s="4" t="e">
        <f>InsurerSize(#REF!)</f>
        <v>#VALUE!</v>
      </c>
      <c r="AE4296" s="4" t="e">
        <f t="shared" si="79"/>
        <v>#VALUE!</v>
      </c>
    </row>
    <row r="4297" spans="8:31" x14ac:dyDescent="0.2">
      <c r="H4297" s="5"/>
      <c r="I4297" s="5"/>
      <c r="J4297" s="5"/>
      <c r="K4297" s="5"/>
      <c r="L4297" s="5"/>
      <c r="M4297" s="5"/>
      <c r="N4297" s="5"/>
      <c r="O4297" s="5"/>
      <c r="P4297" s="5"/>
      <c r="Q4297" s="5"/>
      <c r="R4297" s="5"/>
      <c r="S4297" s="5"/>
      <c r="T4297" s="5"/>
      <c r="U4297" s="5"/>
      <c r="V4297" s="5"/>
      <c r="W4297" s="5"/>
      <c r="X4297" s="5"/>
      <c r="Y4297" s="5"/>
      <c r="Z4297" s="5"/>
      <c r="AA4297" s="5"/>
      <c r="AC4297" t="e">
        <f ca="1">RANK(AB4297,OFFSET($AB$2,0,0,#REF!,1))</f>
        <v>#REF!</v>
      </c>
      <c r="AD4297" s="4" t="e">
        <f>InsurerSize(#REF!)</f>
        <v>#VALUE!</v>
      </c>
      <c r="AE4297" s="4" t="e">
        <f t="shared" si="79"/>
        <v>#VALUE!</v>
      </c>
    </row>
    <row r="4298" spans="8:31" x14ac:dyDescent="0.2">
      <c r="H4298" s="5"/>
      <c r="I4298" s="5"/>
      <c r="J4298" s="5"/>
      <c r="K4298" s="5"/>
      <c r="L4298" s="5"/>
      <c r="M4298" s="5"/>
      <c r="N4298" s="5"/>
      <c r="O4298" s="5"/>
      <c r="P4298" s="5"/>
      <c r="Q4298" s="5"/>
      <c r="R4298" s="5"/>
      <c r="S4298" s="5"/>
      <c r="T4298" s="5"/>
      <c r="U4298" s="5"/>
      <c r="V4298" s="5"/>
      <c r="W4298" s="5"/>
      <c r="X4298" s="5"/>
      <c r="Y4298" s="5"/>
      <c r="Z4298" s="5"/>
      <c r="AA4298" s="5"/>
      <c r="AC4298" t="e">
        <f ca="1">RANK(AB4298,OFFSET($AB$2,0,0,#REF!,1))</f>
        <v>#REF!</v>
      </c>
      <c r="AD4298" s="4" t="e">
        <f>InsurerSize(#REF!)</f>
        <v>#VALUE!</v>
      </c>
      <c r="AE4298" s="4" t="e">
        <f t="shared" si="79"/>
        <v>#VALUE!</v>
      </c>
    </row>
    <row r="4299" spans="8:31" x14ac:dyDescent="0.2">
      <c r="H4299" s="5"/>
      <c r="I4299" s="5"/>
      <c r="J4299" s="5"/>
      <c r="K4299" s="5"/>
      <c r="L4299" s="5"/>
      <c r="M4299" s="5"/>
      <c r="N4299" s="5"/>
      <c r="O4299" s="5"/>
      <c r="P4299" s="5"/>
      <c r="Q4299" s="5"/>
      <c r="R4299" s="5"/>
      <c r="S4299" s="5"/>
      <c r="T4299" s="5"/>
      <c r="U4299" s="5"/>
      <c r="V4299" s="5"/>
      <c r="W4299" s="5"/>
      <c r="X4299" s="5"/>
      <c r="Y4299" s="5"/>
      <c r="Z4299" s="5"/>
      <c r="AA4299" s="5"/>
      <c r="AC4299" t="e">
        <f ca="1">RANK(AB4299,OFFSET($AB$2,0,0,#REF!,1))</f>
        <v>#REF!</v>
      </c>
      <c r="AD4299" s="4" t="e">
        <f>InsurerSize(#REF!)</f>
        <v>#VALUE!</v>
      </c>
      <c r="AE4299" s="4" t="e">
        <f t="shared" si="79"/>
        <v>#VALUE!</v>
      </c>
    </row>
    <row r="4300" spans="8:31" x14ac:dyDescent="0.2">
      <c r="H4300" s="5"/>
      <c r="I4300" s="5"/>
      <c r="J4300" s="5"/>
      <c r="K4300" s="5"/>
      <c r="L4300" s="5"/>
      <c r="M4300" s="5"/>
      <c r="N4300" s="5"/>
      <c r="O4300" s="5"/>
      <c r="P4300" s="5"/>
      <c r="Q4300" s="5"/>
      <c r="R4300" s="5"/>
      <c r="S4300" s="5"/>
      <c r="T4300" s="5"/>
      <c r="U4300" s="5"/>
      <c r="V4300" s="5"/>
      <c r="W4300" s="5"/>
      <c r="X4300" s="5"/>
      <c r="Y4300" s="5"/>
      <c r="Z4300" s="5"/>
      <c r="AA4300" s="5"/>
      <c r="AC4300" t="e">
        <f ca="1">RANK(AB4300,OFFSET($AB$2,0,0,#REF!,1))</f>
        <v>#REF!</v>
      </c>
      <c r="AD4300" s="4" t="e">
        <f>InsurerSize(#REF!)</f>
        <v>#VALUE!</v>
      </c>
      <c r="AE4300" s="4" t="e">
        <f t="shared" si="79"/>
        <v>#VALUE!</v>
      </c>
    </row>
    <row r="4301" spans="8:31" x14ac:dyDescent="0.2">
      <c r="H4301" s="5"/>
      <c r="I4301" s="5"/>
      <c r="J4301" s="5"/>
      <c r="K4301" s="5"/>
      <c r="L4301" s="5"/>
      <c r="M4301" s="5"/>
      <c r="N4301" s="5"/>
      <c r="O4301" s="5"/>
      <c r="P4301" s="5"/>
      <c r="Q4301" s="5"/>
      <c r="R4301" s="5"/>
      <c r="S4301" s="5"/>
      <c r="T4301" s="5"/>
      <c r="U4301" s="5"/>
      <c r="V4301" s="5"/>
      <c r="W4301" s="5"/>
      <c r="X4301" s="5"/>
      <c r="Y4301" s="5"/>
      <c r="Z4301" s="5"/>
      <c r="AA4301" s="5"/>
      <c r="AC4301" t="e">
        <f ca="1">RANK(AB4301,OFFSET($AB$2,0,0,#REF!,1))</f>
        <v>#REF!</v>
      </c>
      <c r="AD4301" s="4" t="e">
        <f>InsurerSize(#REF!)</f>
        <v>#VALUE!</v>
      </c>
      <c r="AE4301" s="4" t="e">
        <f t="shared" si="79"/>
        <v>#VALUE!</v>
      </c>
    </row>
    <row r="4302" spans="8:31" x14ac:dyDescent="0.2">
      <c r="H4302" s="5"/>
      <c r="I4302" s="5"/>
      <c r="J4302" s="5"/>
      <c r="K4302" s="5"/>
      <c r="L4302" s="5"/>
      <c r="M4302" s="5"/>
      <c r="N4302" s="5"/>
      <c r="O4302" s="5"/>
      <c r="P4302" s="5"/>
      <c r="Q4302" s="5"/>
      <c r="R4302" s="5"/>
      <c r="S4302" s="5"/>
      <c r="T4302" s="5"/>
      <c r="U4302" s="5"/>
      <c r="V4302" s="5"/>
      <c r="W4302" s="5"/>
      <c r="X4302" s="5"/>
      <c r="Y4302" s="5"/>
      <c r="Z4302" s="5"/>
      <c r="AA4302" s="5"/>
      <c r="AC4302" t="e">
        <f ca="1">RANK(AB4302,OFFSET($AB$2,0,0,#REF!,1))</f>
        <v>#REF!</v>
      </c>
      <c r="AD4302" s="4" t="e">
        <f>InsurerSize(#REF!)</f>
        <v>#VALUE!</v>
      </c>
      <c r="AE4302" s="4" t="e">
        <f t="shared" si="79"/>
        <v>#VALUE!</v>
      </c>
    </row>
    <row r="4303" spans="8:31" x14ac:dyDescent="0.2">
      <c r="H4303" s="5"/>
      <c r="I4303" s="5"/>
      <c r="J4303" s="5"/>
      <c r="K4303" s="5"/>
      <c r="L4303" s="5"/>
      <c r="M4303" s="5"/>
      <c r="N4303" s="5"/>
      <c r="O4303" s="5"/>
      <c r="P4303" s="5"/>
      <c r="Q4303" s="5"/>
      <c r="R4303" s="5"/>
      <c r="S4303" s="5"/>
      <c r="T4303" s="5"/>
      <c r="U4303" s="5"/>
      <c r="V4303" s="5"/>
      <c r="W4303" s="5"/>
      <c r="X4303" s="5"/>
      <c r="Y4303" s="5"/>
      <c r="Z4303" s="5"/>
      <c r="AA4303" s="5"/>
      <c r="AC4303" t="e">
        <f ca="1">RANK(AB4303,OFFSET($AB$2,0,0,#REF!,1))</f>
        <v>#REF!</v>
      </c>
      <c r="AD4303" s="4" t="e">
        <f>InsurerSize(#REF!)</f>
        <v>#VALUE!</v>
      </c>
      <c r="AE4303" s="4" t="e">
        <f t="shared" si="79"/>
        <v>#VALUE!</v>
      </c>
    </row>
    <row r="4304" spans="8:31" x14ac:dyDescent="0.2">
      <c r="H4304" s="5"/>
      <c r="I4304" s="5"/>
      <c r="J4304" s="5"/>
      <c r="K4304" s="5"/>
      <c r="L4304" s="5"/>
      <c r="M4304" s="5"/>
      <c r="N4304" s="5"/>
      <c r="O4304" s="5"/>
      <c r="P4304" s="5"/>
      <c r="Q4304" s="5"/>
      <c r="R4304" s="5"/>
      <c r="S4304" s="5"/>
      <c r="T4304" s="5"/>
      <c r="U4304" s="5"/>
      <c r="V4304" s="5"/>
      <c r="W4304" s="5"/>
      <c r="X4304" s="5"/>
      <c r="Y4304" s="5"/>
      <c r="Z4304" s="5"/>
      <c r="AA4304" s="5"/>
      <c r="AC4304" t="e">
        <f ca="1">RANK(AB4304,OFFSET($AB$2,0,0,#REF!,1))</f>
        <v>#REF!</v>
      </c>
      <c r="AD4304" s="4" t="e">
        <f>InsurerSize(#REF!)</f>
        <v>#VALUE!</v>
      </c>
      <c r="AE4304" s="4" t="e">
        <f t="shared" si="79"/>
        <v>#VALUE!</v>
      </c>
    </row>
    <row r="4305" spans="8:31" x14ac:dyDescent="0.2">
      <c r="H4305" s="5"/>
      <c r="I4305" s="5"/>
      <c r="J4305" s="5"/>
      <c r="K4305" s="5"/>
      <c r="L4305" s="5"/>
      <c r="M4305" s="5"/>
      <c r="N4305" s="5"/>
      <c r="O4305" s="5"/>
      <c r="P4305" s="5"/>
      <c r="Q4305" s="5"/>
      <c r="R4305" s="5"/>
      <c r="S4305" s="5"/>
      <c r="T4305" s="5"/>
      <c r="U4305" s="5"/>
      <c r="V4305" s="5"/>
      <c r="W4305" s="5"/>
      <c r="X4305" s="5"/>
      <c r="Y4305" s="5"/>
      <c r="Z4305" s="5"/>
      <c r="AA4305" s="5"/>
      <c r="AC4305" t="e">
        <f ca="1">RANK(AB4305,OFFSET($AB$2,0,0,#REF!,1))</f>
        <v>#REF!</v>
      </c>
      <c r="AD4305" s="4" t="e">
        <f>InsurerSize(#REF!)</f>
        <v>#VALUE!</v>
      </c>
      <c r="AE4305" s="4" t="e">
        <f t="shared" si="79"/>
        <v>#VALUE!</v>
      </c>
    </row>
    <row r="4306" spans="8:31" x14ac:dyDescent="0.2">
      <c r="H4306" s="5"/>
      <c r="I4306" s="5"/>
      <c r="J4306" s="5"/>
      <c r="K4306" s="5"/>
      <c r="L4306" s="5"/>
      <c r="M4306" s="5"/>
      <c r="N4306" s="5"/>
      <c r="O4306" s="5"/>
      <c r="P4306" s="5"/>
      <c r="Q4306" s="5"/>
      <c r="R4306" s="5"/>
      <c r="S4306" s="5"/>
      <c r="T4306" s="5"/>
      <c r="U4306" s="5"/>
      <c r="V4306" s="5"/>
      <c r="W4306" s="5"/>
      <c r="X4306" s="5"/>
      <c r="Y4306" s="5"/>
      <c r="Z4306" s="5"/>
      <c r="AA4306" s="5"/>
      <c r="AC4306" t="e">
        <f ca="1">RANK(AB4306,OFFSET($AB$2,0,0,#REF!,1))</f>
        <v>#REF!</v>
      </c>
      <c r="AD4306" s="4" t="e">
        <f>InsurerSize(#REF!)</f>
        <v>#VALUE!</v>
      </c>
      <c r="AE4306" s="4" t="e">
        <f t="shared" si="79"/>
        <v>#VALUE!</v>
      </c>
    </row>
    <row r="4307" spans="8:31" x14ac:dyDescent="0.2">
      <c r="H4307" s="5"/>
      <c r="I4307" s="5"/>
      <c r="J4307" s="5"/>
      <c r="K4307" s="5"/>
      <c r="L4307" s="5"/>
      <c r="M4307" s="5"/>
      <c r="N4307" s="5"/>
      <c r="O4307" s="5"/>
      <c r="P4307" s="5"/>
      <c r="Q4307" s="5"/>
      <c r="R4307" s="5"/>
      <c r="S4307" s="5"/>
      <c r="T4307" s="5"/>
      <c r="U4307" s="5"/>
      <c r="V4307" s="5"/>
      <c r="W4307" s="5"/>
      <c r="X4307" s="5"/>
      <c r="Y4307" s="5"/>
      <c r="Z4307" s="5"/>
      <c r="AA4307" s="5"/>
      <c r="AC4307" t="e">
        <f ca="1">RANK(AB4307,OFFSET($AB$2,0,0,#REF!,1))</f>
        <v>#REF!</v>
      </c>
      <c r="AD4307" s="4" t="e">
        <f>InsurerSize(#REF!)</f>
        <v>#VALUE!</v>
      </c>
      <c r="AE4307" s="4" t="e">
        <f t="shared" si="79"/>
        <v>#VALUE!</v>
      </c>
    </row>
    <row r="4308" spans="8:31" x14ac:dyDescent="0.2">
      <c r="H4308" s="5"/>
      <c r="I4308" s="5"/>
      <c r="J4308" s="5"/>
      <c r="K4308" s="5"/>
      <c r="L4308" s="5"/>
      <c r="M4308" s="5"/>
      <c r="N4308" s="5"/>
      <c r="O4308" s="5"/>
      <c r="P4308" s="5"/>
      <c r="Q4308" s="5"/>
      <c r="R4308" s="5"/>
      <c r="S4308" s="5"/>
      <c r="T4308" s="5"/>
      <c r="U4308" s="5"/>
      <c r="V4308" s="5"/>
      <c r="W4308" s="5"/>
      <c r="X4308" s="5"/>
      <c r="Y4308" s="5"/>
      <c r="Z4308" s="5"/>
      <c r="AA4308" s="5"/>
      <c r="AC4308" t="e">
        <f ca="1">RANK(AB4308,OFFSET($AB$2,0,0,#REF!,1))</f>
        <v>#REF!</v>
      </c>
      <c r="AD4308" s="4" t="e">
        <f>InsurerSize(#REF!)</f>
        <v>#VALUE!</v>
      </c>
      <c r="AE4308" s="4" t="e">
        <f t="shared" si="79"/>
        <v>#VALUE!</v>
      </c>
    </row>
    <row r="4309" spans="8:31" x14ac:dyDescent="0.2">
      <c r="H4309" s="5"/>
      <c r="I4309" s="5"/>
      <c r="J4309" s="5"/>
      <c r="K4309" s="5"/>
      <c r="L4309" s="5"/>
      <c r="M4309" s="5"/>
      <c r="N4309" s="5"/>
      <c r="O4309" s="5"/>
      <c r="P4309" s="5"/>
      <c r="Q4309" s="5"/>
      <c r="R4309" s="5"/>
      <c r="S4309" s="5"/>
      <c r="T4309" s="5"/>
      <c r="U4309" s="5"/>
      <c r="V4309" s="5"/>
      <c r="W4309" s="5"/>
      <c r="X4309" s="5"/>
      <c r="Y4309" s="5"/>
      <c r="Z4309" s="5"/>
      <c r="AA4309" s="5"/>
      <c r="AC4309" t="e">
        <f ca="1">RANK(AB4309,OFFSET($AB$2,0,0,#REF!,1))</f>
        <v>#REF!</v>
      </c>
      <c r="AD4309" s="4" t="e">
        <f>InsurerSize(#REF!)</f>
        <v>#VALUE!</v>
      </c>
      <c r="AE4309" s="4" t="e">
        <f t="shared" si="79"/>
        <v>#VALUE!</v>
      </c>
    </row>
    <row r="4310" spans="8:31" x14ac:dyDescent="0.2">
      <c r="H4310" s="5"/>
      <c r="I4310" s="5"/>
      <c r="J4310" s="5"/>
      <c r="K4310" s="5"/>
      <c r="L4310" s="5"/>
      <c r="M4310" s="5"/>
      <c r="N4310" s="5"/>
      <c r="O4310" s="5"/>
      <c r="P4310" s="5"/>
      <c r="Q4310" s="5"/>
      <c r="R4310" s="5"/>
      <c r="S4310" s="5"/>
      <c r="T4310" s="5"/>
      <c r="U4310" s="5"/>
      <c r="V4310" s="5"/>
      <c r="W4310" s="5"/>
      <c r="X4310" s="5"/>
      <c r="Y4310" s="5"/>
      <c r="Z4310" s="5"/>
      <c r="AA4310" s="5"/>
      <c r="AC4310" t="e">
        <f ca="1">RANK(AB4310,OFFSET($AB$2,0,0,#REF!,1))</f>
        <v>#REF!</v>
      </c>
      <c r="AD4310" s="4" t="e">
        <f>InsurerSize(#REF!)</f>
        <v>#VALUE!</v>
      </c>
      <c r="AE4310" s="4" t="e">
        <f t="shared" si="79"/>
        <v>#VALUE!</v>
      </c>
    </row>
    <row r="4311" spans="8:31" x14ac:dyDescent="0.2">
      <c r="H4311" s="5"/>
      <c r="I4311" s="5"/>
      <c r="J4311" s="5"/>
      <c r="K4311" s="5"/>
      <c r="L4311" s="5"/>
      <c r="M4311" s="5"/>
      <c r="N4311" s="5"/>
      <c r="O4311" s="5"/>
      <c r="P4311" s="5"/>
      <c r="Q4311" s="5"/>
      <c r="R4311" s="5"/>
      <c r="S4311" s="5"/>
      <c r="T4311" s="5"/>
      <c r="U4311" s="5"/>
      <c r="V4311" s="5"/>
      <c r="W4311" s="5"/>
      <c r="X4311" s="5"/>
      <c r="Y4311" s="5"/>
      <c r="Z4311" s="5"/>
      <c r="AA4311" s="5"/>
      <c r="AC4311" t="e">
        <f ca="1">RANK(AB4311,OFFSET($AB$2,0,0,#REF!,1))</f>
        <v>#REF!</v>
      </c>
      <c r="AD4311" s="4" t="e">
        <f>InsurerSize(#REF!)</f>
        <v>#VALUE!</v>
      </c>
      <c r="AE4311" s="4" t="e">
        <f t="shared" si="79"/>
        <v>#VALUE!</v>
      </c>
    </row>
    <row r="4312" spans="8:31" x14ac:dyDescent="0.2">
      <c r="H4312" s="5"/>
      <c r="I4312" s="5"/>
      <c r="J4312" s="5"/>
      <c r="K4312" s="5"/>
      <c r="L4312" s="5"/>
      <c r="M4312" s="5"/>
      <c r="N4312" s="5"/>
      <c r="O4312" s="5"/>
      <c r="P4312" s="5"/>
      <c r="Q4312" s="5"/>
      <c r="R4312" s="5"/>
      <c r="S4312" s="5"/>
      <c r="T4312" s="5"/>
      <c r="U4312" s="5"/>
      <c r="V4312" s="5"/>
      <c r="W4312" s="5"/>
      <c r="X4312" s="5"/>
      <c r="Y4312" s="5"/>
      <c r="Z4312" s="5"/>
      <c r="AA4312" s="5"/>
      <c r="AC4312" t="e">
        <f ca="1">RANK(AB4312,OFFSET($AB$2,0,0,#REF!,1))</f>
        <v>#REF!</v>
      </c>
      <c r="AD4312" s="4" t="e">
        <f>InsurerSize(#REF!)</f>
        <v>#VALUE!</v>
      </c>
      <c r="AE4312" s="4" t="e">
        <f t="shared" si="79"/>
        <v>#VALUE!</v>
      </c>
    </row>
    <row r="4313" spans="8:31" x14ac:dyDescent="0.2">
      <c r="H4313" s="5"/>
      <c r="I4313" s="5"/>
      <c r="J4313" s="5"/>
      <c r="K4313" s="5"/>
      <c r="L4313" s="5"/>
      <c r="M4313" s="5"/>
      <c r="N4313" s="5"/>
      <c r="O4313" s="5"/>
      <c r="P4313" s="5"/>
      <c r="Q4313" s="5"/>
      <c r="R4313" s="5"/>
      <c r="S4313" s="5"/>
      <c r="T4313" s="5"/>
      <c r="U4313" s="5"/>
      <c r="V4313" s="5"/>
      <c r="W4313" s="5"/>
      <c r="X4313" s="5"/>
      <c r="Y4313" s="5"/>
      <c r="Z4313" s="5"/>
      <c r="AA4313" s="5"/>
      <c r="AC4313" t="e">
        <f ca="1">RANK(AB4313,OFFSET($AB$2,0,0,#REF!,1))</f>
        <v>#REF!</v>
      </c>
      <c r="AD4313" s="4" t="e">
        <f>InsurerSize(#REF!)</f>
        <v>#VALUE!</v>
      </c>
      <c r="AE4313" s="4" t="e">
        <f t="shared" si="79"/>
        <v>#VALUE!</v>
      </c>
    </row>
    <row r="4314" spans="8:31" x14ac:dyDescent="0.2">
      <c r="H4314" s="5"/>
      <c r="I4314" s="5"/>
      <c r="J4314" s="5"/>
      <c r="K4314" s="5"/>
      <c r="L4314" s="5"/>
      <c r="M4314" s="5"/>
      <c r="N4314" s="5"/>
      <c r="O4314" s="5"/>
      <c r="P4314" s="5"/>
      <c r="Q4314" s="5"/>
      <c r="R4314" s="5"/>
      <c r="S4314" s="5"/>
      <c r="T4314" s="5"/>
      <c r="U4314" s="5"/>
      <c r="V4314" s="5"/>
      <c r="W4314" s="5"/>
      <c r="X4314" s="5"/>
      <c r="Y4314" s="5"/>
      <c r="Z4314" s="5"/>
      <c r="AA4314" s="5"/>
      <c r="AC4314" t="e">
        <f ca="1">RANK(AB4314,OFFSET($AB$2,0,0,#REF!,1))</f>
        <v>#REF!</v>
      </c>
      <c r="AD4314" s="4" t="e">
        <f>InsurerSize(#REF!)</f>
        <v>#VALUE!</v>
      </c>
      <c r="AE4314" s="4" t="e">
        <f t="shared" si="79"/>
        <v>#VALUE!</v>
      </c>
    </row>
    <row r="4315" spans="8:31" x14ac:dyDescent="0.2">
      <c r="H4315" s="5"/>
      <c r="I4315" s="5"/>
      <c r="J4315" s="5"/>
      <c r="K4315" s="5"/>
      <c r="L4315" s="5"/>
      <c r="M4315" s="5"/>
      <c r="N4315" s="5"/>
      <c r="O4315" s="5"/>
      <c r="P4315" s="5"/>
      <c r="Q4315" s="5"/>
      <c r="R4315" s="5"/>
      <c r="S4315" s="5"/>
      <c r="T4315" s="5"/>
      <c r="U4315" s="5"/>
      <c r="V4315" s="5"/>
      <c r="W4315" s="5"/>
      <c r="X4315" s="5"/>
      <c r="Y4315" s="5"/>
      <c r="Z4315" s="5"/>
      <c r="AA4315" s="5"/>
      <c r="AC4315" t="e">
        <f ca="1">RANK(AB4315,OFFSET($AB$2,0,0,#REF!,1))</f>
        <v>#REF!</v>
      </c>
      <c r="AD4315" s="4" t="e">
        <f>InsurerSize(#REF!)</f>
        <v>#VALUE!</v>
      </c>
      <c r="AE4315" s="4" t="e">
        <f t="shared" si="79"/>
        <v>#VALUE!</v>
      </c>
    </row>
    <row r="4316" spans="8:31" x14ac:dyDescent="0.2">
      <c r="H4316" s="5"/>
      <c r="I4316" s="5"/>
      <c r="J4316" s="5"/>
      <c r="K4316" s="5"/>
      <c r="L4316" s="5"/>
      <c r="M4316" s="5"/>
      <c r="N4316" s="5"/>
      <c r="O4316" s="5"/>
      <c r="P4316" s="5"/>
      <c r="Q4316" s="5"/>
      <c r="R4316" s="5"/>
      <c r="S4316" s="5"/>
      <c r="T4316" s="5"/>
      <c r="U4316" s="5"/>
      <c r="V4316" s="5"/>
      <c r="W4316" s="5"/>
      <c r="X4316" s="5"/>
      <c r="Y4316" s="5"/>
      <c r="Z4316" s="5"/>
      <c r="AA4316" s="5"/>
      <c r="AC4316" t="e">
        <f ca="1">RANK(AB4316,OFFSET($AB$2,0,0,#REF!,1))</f>
        <v>#REF!</v>
      </c>
      <c r="AD4316" s="4" t="e">
        <f>InsurerSize(#REF!)</f>
        <v>#VALUE!</v>
      </c>
      <c r="AE4316" s="4" t="e">
        <f t="shared" si="79"/>
        <v>#VALUE!</v>
      </c>
    </row>
    <row r="4317" spans="8:31" x14ac:dyDescent="0.2">
      <c r="H4317" s="5"/>
      <c r="I4317" s="5"/>
      <c r="J4317" s="5"/>
      <c r="K4317" s="5"/>
      <c r="L4317" s="5"/>
      <c r="M4317" s="5"/>
      <c r="N4317" s="5"/>
      <c r="O4317" s="5"/>
      <c r="P4317" s="5"/>
      <c r="Q4317" s="5"/>
      <c r="R4317" s="5"/>
      <c r="S4317" s="5"/>
      <c r="T4317" s="5"/>
      <c r="U4317" s="5"/>
      <c r="V4317" s="5"/>
      <c r="W4317" s="5"/>
      <c r="X4317" s="5"/>
      <c r="Y4317" s="5"/>
      <c r="Z4317" s="5"/>
      <c r="AA4317" s="5"/>
      <c r="AC4317" t="e">
        <f ca="1">RANK(AB4317,OFFSET($AB$2,0,0,#REF!,1))</f>
        <v>#REF!</v>
      </c>
      <c r="AD4317" s="4" t="e">
        <f>InsurerSize(#REF!)</f>
        <v>#VALUE!</v>
      </c>
      <c r="AE4317" s="4" t="e">
        <f t="shared" si="79"/>
        <v>#VALUE!</v>
      </c>
    </row>
    <row r="4318" spans="8:31" x14ac:dyDescent="0.2">
      <c r="H4318" s="5"/>
      <c r="I4318" s="5"/>
      <c r="J4318" s="5"/>
      <c r="K4318" s="5"/>
      <c r="L4318" s="5"/>
      <c r="M4318" s="5"/>
      <c r="N4318" s="5"/>
      <c r="O4318" s="5"/>
      <c r="P4318" s="5"/>
      <c r="Q4318" s="5"/>
      <c r="R4318" s="5"/>
      <c r="S4318" s="5"/>
      <c r="T4318" s="5"/>
      <c r="U4318" s="5"/>
      <c r="V4318" s="5"/>
      <c r="W4318" s="5"/>
      <c r="X4318" s="5"/>
      <c r="Y4318" s="5"/>
      <c r="Z4318" s="5"/>
      <c r="AA4318" s="5"/>
      <c r="AC4318" t="e">
        <f ca="1">RANK(AB4318,OFFSET($AB$2,0,0,#REF!,1))</f>
        <v>#REF!</v>
      </c>
      <c r="AD4318" s="4" t="e">
        <f>InsurerSize(#REF!)</f>
        <v>#VALUE!</v>
      </c>
      <c r="AE4318" s="4" t="e">
        <f t="shared" si="79"/>
        <v>#VALUE!</v>
      </c>
    </row>
    <row r="4319" spans="8:31" x14ac:dyDescent="0.2">
      <c r="H4319" s="5"/>
      <c r="I4319" s="5"/>
      <c r="J4319" s="5"/>
      <c r="K4319" s="5"/>
      <c r="L4319" s="5"/>
      <c r="M4319" s="5"/>
      <c r="N4319" s="5"/>
      <c r="O4319" s="5"/>
      <c r="P4319" s="5"/>
      <c r="Q4319" s="5"/>
      <c r="R4319" s="5"/>
      <c r="S4319" s="5"/>
      <c r="T4319" s="5"/>
      <c r="U4319" s="5"/>
      <c r="V4319" s="5"/>
      <c r="W4319" s="5"/>
      <c r="X4319" s="5"/>
      <c r="Y4319" s="5"/>
      <c r="Z4319" s="5"/>
      <c r="AA4319" s="5"/>
      <c r="AC4319" t="e">
        <f ca="1">RANK(AB4319,OFFSET($AB$2,0,0,#REF!,1))</f>
        <v>#REF!</v>
      </c>
      <c r="AD4319" s="4" t="e">
        <f>InsurerSize(#REF!)</f>
        <v>#VALUE!</v>
      </c>
      <c r="AE4319" s="4" t="e">
        <f t="shared" si="79"/>
        <v>#VALUE!</v>
      </c>
    </row>
    <row r="4320" spans="8:31" x14ac:dyDescent="0.2">
      <c r="H4320" s="5"/>
      <c r="I4320" s="5"/>
      <c r="J4320" s="5"/>
      <c r="K4320" s="5"/>
      <c r="L4320" s="5"/>
      <c r="M4320" s="5"/>
      <c r="N4320" s="5"/>
      <c r="O4320" s="5"/>
      <c r="P4320" s="5"/>
      <c r="Q4320" s="5"/>
      <c r="R4320" s="5"/>
      <c r="S4320" s="5"/>
      <c r="T4320" s="5"/>
      <c r="U4320" s="5"/>
      <c r="V4320" s="5"/>
      <c r="W4320" s="5"/>
      <c r="X4320" s="5"/>
      <c r="Y4320" s="5"/>
      <c r="Z4320" s="5"/>
      <c r="AA4320" s="5"/>
      <c r="AC4320" t="e">
        <f ca="1">RANK(AB4320,OFFSET($AB$2,0,0,#REF!,1))</f>
        <v>#REF!</v>
      </c>
      <c r="AD4320" s="4" t="e">
        <f>InsurerSize(#REF!)</f>
        <v>#VALUE!</v>
      </c>
      <c r="AE4320" s="4" t="e">
        <f t="shared" si="79"/>
        <v>#VALUE!</v>
      </c>
    </row>
    <row r="4321" spans="8:31" x14ac:dyDescent="0.2">
      <c r="H4321" s="5"/>
      <c r="I4321" s="5"/>
      <c r="J4321" s="5"/>
      <c r="K4321" s="5"/>
      <c r="L4321" s="5"/>
      <c r="M4321" s="5"/>
      <c r="N4321" s="5"/>
      <c r="O4321" s="5"/>
      <c r="P4321" s="5"/>
      <c r="Q4321" s="5"/>
      <c r="R4321" s="5"/>
      <c r="S4321" s="5"/>
      <c r="T4321" s="5"/>
      <c r="U4321" s="5"/>
      <c r="V4321" s="5"/>
      <c r="W4321" s="5"/>
      <c r="X4321" s="5"/>
      <c r="Y4321" s="5"/>
      <c r="Z4321" s="5"/>
      <c r="AA4321" s="5"/>
      <c r="AC4321" t="e">
        <f ca="1">RANK(AB4321,OFFSET($AB$2,0,0,#REF!,1))</f>
        <v>#REF!</v>
      </c>
      <c r="AD4321" s="4" t="e">
        <f>InsurerSize(#REF!)</f>
        <v>#VALUE!</v>
      </c>
      <c r="AE4321" s="4" t="e">
        <f t="shared" si="79"/>
        <v>#VALUE!</v>
      </c>
    </row>
    <row r="4322" spans="8:31" x14ac:dyDescent="0.2">
      <c r="H4322" s="5"/>
      <c r="I4322" s="5"/>
      <c r="J4322" s="5"/>
      <c r="K4322" s="5"/>
      <c r="L4322" s="5"/>
      <c r="M4322" s="5"/>
      <c r="N4322" s="5"/>
      <c r="O4322" s="5"/>
      <c r="P4322" s="5"/>
      <c r="Q4322" s="5"/>
      <c r="R4322" s="5"/>
      <c r="S4322" s="5"/>
      <c r="T4322" s="5"/>
      <c r="U4322" s="5"/>
      <c r="V4322" s="5"/>
      <c r="W4322" s="5"/>
      <c r="X4322" s="5"/>
      <c r="Y4322" s="5"/>
      <c r="Z4322" s="5"/>
      <c r="AA4322" s="5"/>
      <c r="AC4322" t="e">
        <f ca="1">RANK(AB4322,OFFSET($AB$2,0,0,#REF!,1))</f>
        <v>#REF!</v>
      </c>
      <c r="AD4322" s="4" t="e">
        <f>InsurerSize(#REF!)</f>
        <v>#VALUE!</v>
      </c>
      <c r="AE4322" s="4" t="e">
        <f t="shared" si="79"/>
        <v>#VALUE!</v>
      </c>
    </row>
    <row r="4323" spans="8:31" x14ac:dyDescent="0.2">
      <c r="H4323" s="5"/>
      <c r="I4323" s="5"/>
      <c r="J4323" s="5"/>
      <c r="K4323" s="5"/>
      <c r="L4323" s="5"/>
      <c r="M4323" s="5"/>
      <c r="N4323" s="5"/>
      <c r="O4323" s="5"/>
      <c r="P4323" s="5"/>
      <c r="Q4323" s="5"/>
      <c r="R4323" s="5"/>
      <c r="S4323" s="5"/>
      <c r="T4323" s="5"/>
      <c r="U4323" s="5"/>
      <c r="V4323" s="5"/>
      <c r="W4323" s="5"/>
      <c r="X4323" s="5"/>
      <c r="Y4323" s="5"/>
      <c r="Z4323" s="5"/>
      <c r="AA4323" s="5"/>
      <c r="AC4323" t="e">
        <f ca="1">RANK(AB4323,OFFSET($AB$2,0,0,#REF!,1))</f>
        <v>#REF!</v>
      </c>
      <c r="AD4323" s="4" t="e">
        <f>InsurerSize(#REF!)</f>
        <v>#VALUE!</v>
      </c>
      <c r="AE4323" s="4" t="e">
        <f t="shared" si="79"/>
        <v>#VALUE!</v>
      </c>
    </row>
    <row r="4324" spans="8:31" x14ac:dyDescent="0.2">
      <c r="H4324" s="5"/>
      <c r="I4324" s="5"/>
      <c r="J4324" s="5"/>
      <c r="K4324" s="5"/>
      <c r="L4324" s="5"/>
      <c r="M4324" s="5"/>
      <c r="N4324" s="5"/>
      <c r="O4324" s="5"/>
      <c r="P4324" s="5"/>
      <c r="Q4324" s="5"/>
      <c r="R4324" s="5"/>
      <c r="S4324" s="5"/>
      <c r="T4324" s="5"/>
      <c r="U4324" s="5"/>
      <c r="V4324" s="5"/>
      <c r="W4324" s="5"/>
      <c r="X4324" s="5"/>
      <c r="Y4324" s="5"/>
      <c r="Z4324" s="5"/>
      <c r="AA4324" s="5"/>
      <c r="AC4324" t="e">
        <f ca="1">RANK(AB4324,OFFSET($AB$2,0,0,#REF!,1))</f>
        <v>#REF!</v>
      </c>
      <c r="AD4324" s="4" t="e">
        <f>InsurerSize(#REF!)</f>
        <v>#VALUE!</v>
      </c>
      <c r="AE4324" s="4" t="e">
        <f t="shared" si="79"/>
        <v>#VALUE!</v>
      </c>
    </row>
    <row r="4325" spans="8:31" x14ac:dyDescent="0.2">
      <c r="H4325" s="5"/>
      <c r="I4325" s="5"/>
      <c r="J4325" s="5"/>
      <c r="K4325" s="5"/>
      <c r="L4325" s="5"/>
      <c r="M4325" s="5"/>
      <c r="N4325" s="5"/>
      <c r="O4325" s="5"/>
      <c r="P4325" s="5"/>
      <c r="Q4325" s="5"/>
      <c r="R4325" s="5"/>
      <c r="S4325" s="5"/>
      <c r="T4325" s="5"/>
      <c r="U4325" s="5"/>
      <c r="V4325" s="5"/>
      <c r="W4325" s="5"/>
      <c r="X4325" s="5"/>
      <c r="Y4325" s="5"/>
      <c r="Z4325" s="5"/>
      <c r="AA4325" s="5"/>
      <c r="AC4325" t="e">
        <f ca="1">RANK(AB4325,OFFSET($AB$2,0,0,#REF!,1))</f>
        <v>#REF!</v>
      </c>
      <c r="AD4325" s="4" t="e">
        <f>InsurerSize(#REF!)</f>
        <v>#VALUE!</v>
      </c>
      <c r="AE4325" s="4" t="e">
        <f t="shared" si="79"/>
        <v>#VALUE!</v>
      </c>
    </row>
    <row r="4326" spans="8:31" x14ac:dyDescent="0.2">
      <c r="H4326" s="5"/>
      <c r="I4326" s="5"/>
      <c r="J4326" s="5"/>
      <c r="K4326" s="5"/>
      <c r="L4326" s="5"/>
      <c r="M4326" s="5"/>
      <c r="N4326" s="5"/>
      <c r="O4326" s="5"/>
      <c r="P4326" s="5"/>
      <c r="Q4326" s="5"/>
      <c r="R4326" s="5"/>
      <c r="S4326" s="5"/>
      <c r="T4326" s="5"/>
      <c r="U4326" s="5"/>
      <c r="V4326" s="5"/>
      <c r="W4326" s="5"/>
      <c r="X4326" s="5"/>
      <c r="Y4326" s="5"/>
      <c r="Z4326" s="5"/>
      <c r="AA4326" s="5"/>
      <c r="AC4326" t="e">
        <f ca="1">RANK(AB4326,OFFSET($AB$2,0,0,#REF!,1))</f>
        <v>#REF!</v>
      </c>
      <c r="AD4326" s="4" t="e">
        <f>InsurerSize(#REF!)</f>
        <v>#VALUE!</v>
      </c>
      <c r="AE4326" s="4" t="e">
        <f t="shared" si="79"/>
        <v>#VALUE!</v>
      </c>
    </row>
    <row r="4327" spans="8:31" x14ac:dyDescent="0.2">
      <c r="H4327" s="5"/>
      <c r="I4327" s="5"/>
      <c r="J4327" s="5"/>
      <c r="K4327" s="5"/>
      <c r="L4327" s="5"/>
      <c r="M4327" s="5"/>
      <c r="N4327" s="5"/>
      <c r="O4327" s="5"/>
      <c r="P4327" s="5"/>
      <c r="Q4327" s="5"/>
      <c r="R4327" s="5"/>
      <c r="S4327" s="5"/>
      <c r="T4327" s="5"/>
      <c r="U4327" s="5"/>
      <c r="V4327" s="5"/>
      <c r="W4327" s="5"/>
      <c r="X4327" s="5"/>
      <c r="Y4327" s="5"/>
      <c r="Z4327" s="5"/>
      <c r="AA4327" s="5"/>
      <c r="AC4327" t="e">
        <f ca="1">RANK(AB4327,OFFSET($AB$2,0,0,#REF!,1))</f>
        <v>#REF!</v>
      </c>
      <c r="AD4327" s="4" t="e">
        <f>InsurerSize(#REF!)</f>
        <v>#VALUE!</v>
      </c>
      <c r="AE4327" s="4" t="e">
        <f t="shared" si="79"/>
        <v>#VALUE!</v>
      </c>
    </row>
    <row r="4328" spans="8:31" x14ac:dyDescent="0.2">
      <c r="H4328" s="5"/>
      <c r="I4328" s="5"/>
      <c r="J4328" s="5"/>
      <c r="K4328" s="5"/>
      <c r="L4328" s="5"/>
      <c r="M4328" s="5"/>
      <c r="N4328" s="5"/>
      <c r="O4328" s="5"/>
      <c r="P4328" s="5"/>
      <c r="Q4328" s="5"/>
      <c r="R4328" s="5"/>
      <c r="S4328" s="5"/>
      <c r="T4328" s="5"/>
      <c r="U4328" s="5"/>
      <c r="V4328" s="5"/>
      <c r="W4328" s="5"/>
      <c r="X4328" s="5"/>
      <c r="Y4328" s="5"/>
      <c r="Z4328" s="5"/>
      <c r="AA4328" s="5"/>
      <c r="AC4328" t="e">
        <f ca="1">RANK(AB4328,OFFSET($AB$2,0,0,#REF!,1))</f>
        <v>#REF!</v>
      </c>
      <c r="AD4328" s="4" t="e">
        <f>InsurerSize(#REF!)</f>
        <v>#VALUE!</v>
      </c>
      <c r="AE4328" s="4" t="e">
        <f t="shared" si="79"/>
        <v>#VALUE!</v>
      </c>
    </row>
    <row r="4329" spans="8:31" x14ac:dyDescent="0.2">
      <c r="H4329" s="5"/>
      <c r="I4329" s="5"/>
      <c r="J4329" s="5"/>
      <c r="K4329" s="5"/>
      <c r="L4329" s="5"/>
      <c r="M4329" s="5"/>
      <c r="N4329" s="5"/>
      <c r="O4329" s="5"/>
      <c r="P4329" s="5"/>
      <c r="Q4329" s="5"/>
      <c r="R4329" s="5"/>
      <c r="S4329" s="5"/>
      <c r="T4329" s="5"/>
      <c r="U4329" s="5"/>
      <c r="V4329" s="5"/>
      <c r="W4329" s="5"/>
      <c r="X4329" s="5"/>
      <c r="Y4329" s="5"/>
      <c r="Z4329" s="5"/>
      <c r="AA4329" s="5"/>
      <c r="AC4329" t="e">
        <f ca="1">RANK(AB4329,OFFSET($AB$2,0,0,#REF!,1))</f>
        <v>#REF!</v>
      </c>
      <c r="AD4329" s="4" t="e">
        <f>InsurerSize(#REF!)</f>
        <v>#VALUE!</v>
      </c>
      <c r="AE4329" s="4" t="e">
        <f t="shared" si="79"/>
        <v>#VALUE!</v>
      </c>
    </row>
    <row r="4330" spans="8:31" x14ac:dyDescent="0.2">
      <c r="H4330" s="5"/>
      <c r="I4330" s="5"/>
      <c r="J4330" s="5"/>
      <c r="K4330" s="5"/>
      <c r="L4330" s="5"/>
      <c r="M4330" s="5"/>
      <c r="N4330" s="5"/>
      <c r="O4330" s="5"/>
      <c r="P4330" s="5"/>
      <c r="Q4330" s="5"/>
      <c r="R4330" s="5"/>
      <c r="S4330" s="5"/>
      <c r="T4330" s="5"/>
      <c r="U4330" s="5"/>
      <c r="V4330" s="5"/>
      <c r="W4330" s="5"/>
      <c r="X4330" s="5"/>
      <c r="Y4330" s="5"/>
      <c r="Z4330" s="5"/>
      <c r="AA4330" s="5"/>
      <c r="AC4330" t="e">
        <f ca="1">RANK(AB4330,OFFSET($AB$2,0,0,#REF!,1))</f>
        <v>#REF!</v>
      </c>
      <c r="AD4330" s="4" t="e">
        <f>InsurerSize(#REF!)</f>
        <v>#VALUE!</v>
      </c>
      <c r="AE4330" s="4" t="e">
        <f t="shared" si="79"/>
        <v>#VALUE!</v>
      </c>
    </row>
    <row r="4331" spans="8:31" x14ac:dyDescent="0.2">
      <c r="H4331" s="5"/>
      <c r="I4331" s="5"/>
      <c r="J4331" s="5"/>
      <c r="K4331" s="5"/>
      <c r="L4331" s="5"/>
      <c r="M4331" s="5"/>
      <c r="N4331" s="5"/>
      <c r="O4331" s="5"/>
      <c r="P4331" s="5"/>
      <c r="Q4331" s="5"/>
      <c r="R4331" s="5"/>
      <c r="S4331" s="5"/>
      <c r="T4331" s="5"/>
      <c r="U4331" s="5"/>
      <c r="V4331" s="5"/>
      <c r="W4331" s="5"/>
      <c r="X4331" s="5"/>
      <c r="Y4331" s="5"/>
      <c r="Z4331" s="5"/>
      <c r="AA4331" s="5"/>
      <c r="AC4331" t="e">
        <f ca="1">RANK(AB4331,OFFSET($AB$2,0,0,#REF!,1))</f>
        <v>#REF!</v>
      </c>
      <c r="AD4331" s="4" t="e">
        <f>InsurerSize(#REF!)</f>
        <v>#VALUE!</v>
      </c>
      <c r="AE4331" s="4" t="e">
        <f t="shared" si="79"/>
        <v>#VALUE!</v>
      </c>
    </row>
    <row r="4332" spans="8:31" x14ac:dyDescent="0.2">
      <c r="H4332" s="5"/>
      <c r="I4332" s="5"/>
      <c r="J4332" s="5"/>
      <c r="K4332" s="5"/>
      <c r="L4332" s="5"/>
      <c r="M4332" s="5"/>
      <c r="N4332" s="5"/>
      <c r="O4332" s="5"/>
      <c r="P4332" s="5"/>
      <c r="Q4332" s="5"/>
      <c r="R4332" s="5"/>
      <c r="S4332" s="5"/>
      <c r="T4332" s="5"/>
      <c r="U4332" s="5"/>
      <c r="V4332" s="5"/>
      <c r="W4332" s="5"/>
      <c r="X4332" s="5"/>
      <c r="Y4332" s="5"/>
      <c r="Z4332" s="5"/>
      <c r="AA4332" s="5"/>
      <c r="AC4332" t="e">
        <f ca="1">RANK(AB4332,OFFSET($AB$2,0,0,#REF!,1))</f>
        <v>#REF!</v>
      </c>
      <c r="AD4332" s="4" t="e">
        <f>InsurerSize(#REF!)</f>
        <v>#VALUE!</v>
      </c>
      <c r="AE4332" s="4" t="e">
        <f t="shared" si="79"/>
        <v>#VALUE!</v>
      </c>
    </row>
    <row r="4333" spans="8:31" x14ac:dyDescent="0.2">
      <c r="H4333" s="5"/>
      <c r="I4333" s="5"/>
      <c r="J4333" s="5"/>
      <c r="K4333" s="5"/>
      <c r="L4333" s="5"/>
      <c r="M4333" s="5"/>
      <c r="N4333" s="5"/>
      <c r="O4333" s="5"/>
      <c r="P4333" s="5"/>
      <c r="Q4333" s="5"/>
      <c r="R4333" s="5"/>
      <c r="S4333" s="5"/>
      <c r="T4333" s="5"/>
      <c r="U4333" s="5"/>
      <c r="V4333" s="5"/>
      <c r="W4333" s="5"/>
      <c r="X4333" s="5"/>
      <c r="Y4333" s="5"/>
      <c r="Z4333" s="5"/>
      <c r="AA4333" s="5"/>
      <c r="AC4333" t="e">
        <f ca="1">RANK(AB4333,OFFSET($AB$2,0,0,#REF!,1))</f>
        <v>#REF!</v>
      </c>
      <c r="AD4333" s="4" t="e">
        <f>InsurerSize(#REF!)</f>
        <v>#VALUE!</v>
      </c>
      <c r="AE4333" s="4" t="e">
        <f t="shared" si="79"/>
        <v>#VALUE!</v>
      </c>
    </row>
    <row r="4334" spans="8:31" x14ac:dyDescent="0.2">
      <c r="H4334" s="5"/>
      <c r="I4334" s="5"/>
      <c r="J4334" s="5"/>
      <c r="K4334" s="5"/>
      <c r="L4334" s="5"/>
      <c r="M4334" s="5"/>
      <c r="N4334" s="5"/>
      <c r="O4334" s="5"/>
      <c r="P4334" s="5"/>
      <c r="Q4334" s="5"/>
      <c r="R4334" s="5"/>
      <c r="S4334" s="5"/>
      <c r="T4334" s="5"/>
      <c r="U4334" s="5"/>
      <c r="V4334" s="5"/>
      <c r="W4334" s="5"/>
      <c r="X4334" s="5"/>
      <c r="Y4334" s="5"/>
      <c r="Z4334" s="5"/>
      <c r="AA4334" s="5"/>
      <c r="AC4334" t="e">
        <f ca="1">RANK(AB4334,OFFSET($AB$2,0,0,#REF!,1))</f>
        <v>#REF!</v>
      </c>
      <c r="AD4334" s="4" t="e">
        <f>InsurerSize(#REF!)</f>
        <v>#VALUE!</v>
      </c>
      <c r="AE4334" s="4" t="e">
        <f t="shared" si="79"/>
        <v>#VALUE!</v>
      </c>
    </row>
    <row r="4335" spans="8:31" x14ac:dyDescent="0.2">
      <c r="H4335" s="5"/>
      <c r="I4335" s="5"/>
      <c r="J4335" s="5"/>
      <c r="K4335" s="5"/>
      <c r="L4335" s="5"/>
      <c r="M4335" s="5"/>
      <c r="N4335" s="5"/>
      <c r="O4335" s="5"/>
      <c r="P4335" s="5"/>
      <c r="Q4335" s="5"/>
      <c r="R4335" s="5"/>
      <c r="S4335" s="5"/>
      <c r="T4335" s="5"/>
      <c r="U4335" s="5"/>
      <c r="V4335" s="5"/>
      <c r="W4335" s="5"/>
      <c r="X4335" s="5"/>
      <c r="Y4335" s="5"/>
      <c r="Z4335" s="5"/>
      <c r="AA4335" s="5"/>
      <c r="AC4335" t="e">
        <f ca="1">RANK(AB4335,OFFSET($AB$2,0,0,#REF!,1))</f>
        <v>#REF!</v>
      </c>
      <c r="AD4335" s="4" t="e">
        <f>InsurerSize(#REF!)</f>
        <v>#VALUE!</v>
      </c>
      <c r="AE4335" s="4" t="e">
        <f t="shared" si="79"/>
        <v>#VALUE!</v>
      </c>
    </row>
    <row r="4336" spans="8:31" x14ac:dyDescent="0.2">
      <c r="H4336" s="5"/>
      <c r="I4336" s="5"/>
      <c r="J4336" s="5"/>
      <c r="K4336" s="5"/>
      <c r="L4336" s="5"/>
      <c r="M4336" s="5"/>
      <c r="N4336" s="5"/>
      <c r="O4336" s="5"/>
      <c r="P4336" s="5"/>
      <c r="Q4336" s="5"/>
      <c r="R4336" s="5"/>
      <c r="S4336" s="5"/>
      <c r="T4336" s="5"/>
      <c r="U4336" s="5"/>
      <c r="V4336" s="5"/>
      <c r="W4336" s="5"/>
      <c r="X4336" s="5"/>
      <c r="Y4336" s="5"/>
      <c r="Z4336" s="5"/>
      <c r="AA4336" s="5"/>
      <c r="AC4336" t="e">
        <f ca="1">RANK(AB4336,OFFSET($AB$2,0,0,#REF!,1))</f>
        <v>#REF!</v>
      </c>
      <c r="AD4336" s="4" t="e">
        <f>InsurerSize(#REF!)</f>
        <v>#VALUE!</v>
      </c>
      <c r="AE4336" s="4" t="e">
        <f t="shared" si="79"/>
        <v>#VALUE!</v>
      </c>
    </row>
    <row r="4337" spans="8:31" x14ac:dyDescent="0.2">
      <c r="H4337" s="5"/>
      <c r="I4337" s="5"/>
      <c r="J4337" s="5"/>
      <c r="K4337" s="5"/>
      <c r="L4337" s="5"/>
      <c r="M4337" s="5"/>
      <c r="N4337" s="5"/>
      <c r="O4337" s="5"/>
      <c r="P4337" s="5"/>
      <c r="Q4337" s="5"/>
      <c r="R4337" s="5"/>
      <c r="S4337" s="5"/>
      <c r="T4337" s="5"/>
      <c r="U4337" s="5"/>
      <c r="V4337" s="5"/>
      <c r="W4337" s="5"/>
      <c r="X4337" s="5"/>
      <c r="Y4337" s="5"/>
      <c r="Z4337" s="5"/>
      <c r="AA4337" s="5"/>
      <c r="AC4337" t="e">
        <f ca="1">RANK(AB4337,OFFSET($AB$2,0,0,#REF!,1))</f>
        <v>#REF!</v>
      </c>
      <c r="AD4337" s="4" t="e">
        <f>InsurerSize(#REF!)</f>
        <v>#VALUE!</v>
      </c>
      <c r="AE4337" s="4" t="e">
        <f t="shared" si="79"/>
        <v>#VALUE!</v>
      </c>
    </row>
    <row r="4338" spans="8:31" x14ac:dyDescent="0.2">
      <c r="H4338" s="5"/>
      <c r="I4338" s="5"/>
      <c r="J4338" s="5"/>
      <c r="K4338" s="5"/>
      <c r="L4338" s="5"/>
      <c r="M4338" s="5"/>
      <c r="N4338" s="5"/>
      <c r="O4338" s="5"/>
      <c r="P4338" s="5"/>
      <c r="Q4338" s="5"/>
      <c r="R4338" s="5"/>
      <c r="S4338" s="5"/>
      <c r="T4338" s="5"/>
      <c r="U4338" s="5"/>
      <c r="V4338" s="5"/>
      <c r="W4338" s="5"/>
      <c r="X4338" s="5"/>
      <c r="Y4338" s="5"/>
      <c r="Z4338" s="5"/>
      <c r="AA4338" s="5"/>
      <c r="AC4338" t="e">
        <f ca="1">RANK(AB4338,OFFSET($AB$2,0,0,#REF!,1))</f>
        <v>#REF!</v>
      </c>
      <c r="AD4338" s="4" t="e">
        <f>InsurerSize(#REF!)</f>
        <v>#VALUE!</v>
      </c>
      <c r="AE4338" s="4" t="e">
        <f t="shared" si="79"/>
        <v>#VALUE!</v>
      </c>
    </row>
    <row r="4339" spans="8:31" x14ac:dyDescent="0.2">
      <c r="H4339" s="5"/>
      <c r="I4339" s="5"/>
      <c r="J4339" s="5"/>
      <c r="K4339" s="5"/>
      <c r="L4339" s="5"/>
      <c r="M4339" s="5"/>
      <c r="N4339" s="5"/>
      <c r="O4339" s="5"/>
      <c r="P4339" s="5"/>
      <c r="Q4339" s="5"/>
      <c r="R4339" s="5"/>
      <c r="S4339" s="5"/>
      <c r="T4339" s="5"/>
      <c r="U4339" s="5"/>
      <c r="V4339" s="5"/>
      <c r="W4339" s="5"/>
      <c r="X4339" s="5"/>
      <c r="Y4339" s="5"/>
      <c r="Z4339" s="5"/>
      <c r="AA4339" s="5"/>
      <c r="AC4339" t="e">
        <f ca="1">RANK(AB4339,OFFSET($AB$2,0,0,#REF!,1))</f>
        <v>#REF!</v>
      </c>
      <c r="AD4339" s="4" t="e">
        <f>InsurerSize(#REF!)</f>
        <v>#VALUE!</v>
      </c>
      <c r="AE4339" s="4" t="e">
        <f t="shared" si="79"/>
        <v>#VALUE!</v>
      </c>
    </row>
    <row r="4340" spans="8:31" x14ac:dyDescent="0.2">
      <c r="H4340" s="5"/>
      <c r="I4340" s="5"/>
      <c r="J4340" s="5"/>
      <c r="K4340" s="5"/>
      <c r="L4340" s="5"/>
      <c r="M4340" s="5"/>
      <c r="N4340" s="5"/>
      <c r="O4340" s="5"/>
      <c r="P4340" s="5"/>
      <c r="Q4340" s="5"/>
      <c r="R4340" s="5"/>
      <c r="S4340" s="5"/>
      <c r="T4340" s="5"/>
      <c r="U4340" s="5"/>
      <c r="V4340" s="5"/>
      <c r="W4340" s="5"/>
      <c r="X4340" s="5"/>
      <c r="Y4340" s="5"/>
      <c r="Z4340" s="5"/>
      <c r="AA4340" s="5"/>
      <c r="AC4340" t="e">
        <f ca="1">RANK(AB4340,OFFSET($AB$2,0,0,#REF!,1))</f>
        <v>#REF!</v>
      </c>
      <c r="AD4340" s="4" t="e">
        <f>InsurerSize(#REF!)</f>
        <v>#VALUE!</v>
      </c>
      <c r="AE4340" s="4" t="e">
        <f t="shared" si="79"/>
        <v>#VALUE!</v>
      </c>
    </row>
    <row r="4341" spans="8:31" x14ac:dyDescent="0.2">
      <c r="H4341" s="5"/>
      <c r="I4341" s="5"/>
      <c r="J4341" s="5"/>
      <c r="K4341" s="5"/>
      <c r="L4341" s="5"/>
      <c r="M4341" s="5"/>
      <c r="N4341" s="5"/>
      <c r="O4341" s="5"/>
      <c r="P4341" s="5"/>
      <c r="Q4341" s="5"/>
      <c r="R4341" s="5"/>
      <c r="S4341" s="5"/>
      <c r="T4341" s="5"/>
      <c r="U4341" s="5"/>
      <c r="V4341" s="5"/>
      <c r="W4341" s="5"/>
      <c r="X4341" s="5"/>
      <c r="Y4341" s="5"/>
      <c r="Z4341" s="5"/>
      <c r="AA4341" s="5"/>
      <c r="AC4341" t="e">
        <f ca="1">RANK(AB4341,OFFSET($AB$2,0,0,#REF!,1))</f>
        <v>#REF!</v>
      </c>
      <c r="AD4341" s="4" t="e">
        <f>InsurerSize(#REF!)</f>
        <v>#VALUE!</v>
      </c>
      <c r="AE4341" s="4" t="e">
        <f t="shared" si="79"/>
        <v>#VALUE!</v>
      </c>
    </row>
    <row r="4342" spans="8:31" x14ac:dyDescent="0.2">
      <c r="H4342" s="5"/>
      <c r="I4342" s="5"/>
      <c r="J4342" s="5"/>
      <c r="K4342" s="5"/>
      <c r="L4342" s="5"/>
      <c r="M4342" s="5"/>
      <c r="N4342" s="5"/>
      <c r="O4342" s="5"/>
      <c r="P4342" s="5"/>
      <c r="Q4342" s="5"/>
      <c r="R4342" s="5"/>
      <c r="S4342" s="5"/>
      <c r="T4342" s="5"/>
      <c r="U4342" s="5"/>
      <c r="V4342" s="5"/>
      <c r="W4342" s="5"/>
      <c r="X4342" s="5"/>
      <c r="Y4342" s="5"/>
      <c r="Z4342" s="5"/>
      <c r="AA4342" s="5"/>
      <c r="AC4342" t="e">
        <f ca="1">RANK(AB4342,OFFSET($AB$2,0,0,#REF!,1))</f>
        <v>#REF!</v>
      </c>
      <c r="AD4342" s="4" t="e">
        <f>InsurerSize(#REF!)</f>
        <v>#VALUE!</v>
      </c>
      <c r="AE4342" s="4" t="e">
        <f t="shared" si="79"/>
        <v>#VALUE!</v>
      </c>
    </row>
    <row r="4343" spans="8:31" x14ac:dyDescent="0.2">
      <c r="H4343" s="5"/>
      <c r="I4343" s="5"/>
      <c r="J4343" s="5"/>
      <c r="K4343" s="5"/>
      <c r="L4343" s="5"/>
      <c r="M4343" s="5"/>
      <c r="N4343" s="5"/>
      <c r="O4343" s="5"/>
      <c r="P4343" s="5"/>
      <c r="Q4343" s="5"/>
      <c r="R4343" s="5"/>
      <c r="S4343" s="5"/>
      <c r="T4343" s="5"/>
      <c r="U4343" s="5"/>
      <c r="V4343" s="5"/>
      <c r="W4343" s="5"/>
      <c r="X4343" s="5"/>
      <c r="Y4343" s="5"/>
      <c r="Z4343" s="5"/>
      <c r="AA4343" s="5"/>
      <c r="AC4343" t="e">
        <f ca="1">RANK(AB4343,OFFSET($AB$2,0,0,#REF!,1))</f>
        <v>#REF!</v>
      </c>
      <c r="AD4343" s="4" t="e">
        <f>InsurerSize(#REF!)</f>
        <v>#VALUE!</v>
      </c>
      <c r="AE4343" s="4" t="e">
        <f t="shared" si="79"/>
        <v>#VALUE!</v>
      </c>
    </row>
    <row r="4344" spans="8:31" x14ac:dyDescent="0.2">
      <c r="H4344" s="5"/>
      <c r="I4344" s="5"/>
      <c r="J4344" s="5"/>
      <c r="K4344" s="5"/>
      <c r="L4344" s="5"/>
      <c r="M4344" s="5"/>
      <c r="N4344" s="5"/>
      <c r="O4344" s="5"/>
      <c r="P4344" s="5"/>
      <c r="Q4344" s="5"/>
      <c r="R4344" s="5"/>
      <c r="S4344" s="5"/>
      <c r="T4344" s="5"/>
      <c r="U4344" s="5"/>
      <c r="V4344" s="5"/>
      <c r="W4344" s="5"/>
      <c r="X4344" s="5"/>
      <c r="Y4344" s="5"/>
      <c r="Z4344" s="5"/>
      <c r="AA4344" s="5"/>
      <c r="AC4344" t="e">
        <f ca="1">RANK(AB4344,OFFSET($AB$2,0,0,#REF!,1))</f>
        <v>#REF!</v>
      </c>
      <c r="AD4344" s="4" t="e">
        <f>InsurerSize(#REF!)</f>
        <v>#VALUE!</v>
      </c>
      <c r="AE4344" s="4" t="e">
        <f t="shared" si="79"/>
        <v>#VALUE!</v>
      </c>
    </row>
    <row r="4345" spans="8:31" x14ac:dyDescent="0.2">
      <c r="H4345" s="5"/>
      <c r="I4345" s="5"/>
      <c r="J4345" s="5"/>
      <c r="K4345" s="5"/>
      <c r="L4345" s="5"/>
      <c r="M4345" s="5"/>
      <c r="N4345" s="5"/>
      <c r="O4345" s="5"/>
      <c r="P4345" s="5"/>
      <c r="Q4345" s="5"/>
      <c r="R4345" s="5"/>
      <c r="S4345" s="5"/>
      <c r="T4345" s="5"/>
      <c r="U4345" s="5"/>
      <c r="V4345" s="5"/>
      <c r="W4345" s="5"/>
      <c r="X4345" s="5"/>
      <c r="Y4345" s="5"/>
      <c r="Z4345" s="5"/>
      <c r="AA4345" s="5"/>
      <c r="AC4345" t="e">
        <f ca="1">RANK(AB4345,OFFSET($AB$2,0,0,#REF!,1))</f>
        <v>#REF!</v>
      </c>
      <c r="AD4345" s="4" t="e">
        <f>InsurerSize(#REF!)</f>
        <v>#VALUE!</v>
      </c>
      <c r="AE4345" s="4" t="e">
        <f t="shared" si="79"/>
        <v>#VALUE!</v>
      </c>
    </row>
    <row r="4346" spans="8:31" x14ac:dyDescent="0.2">
      <c r="H4346" s="5"/>
      <c r="I4346" s="5"/>
      <c r="J4346" s="5"/>
      <c r="K4346" s="5"/>
      <c r="L4346" s="5"/>
      <c r="M4346" s="5"/>
      <c r="N4346" s="5"/>
      <c r="O4346" s="5"/>
      <c r="P4346" s="5"/>
      <c r="Q4346" s="5"/>
      <c r="R4346" s="5"/>
      <c r="S4346" s="5"/>
      <c r="T4346" s="5"/>
      <c r="U4346" s="5"/>
      <c r="V4346" s="5"/>
      <c r="W4346" s="5"/>
      <c r="X4346" s="5"/>
      <c r="Y4346" s="5"/>
      <c r="Z4346" s="5"/>
      <c r="AA4346" s="5"/>
      <c r="AC4346" t="e">
        <f ca="1">RANK(AB4346,OFFSET($AB$2,0,0,#REF!,1))</f>
        <v>#REF!</v>
      </c>
      <c r="AD4346" s="4" t="e">
        <f>InsurerSize(#REF!)</f>
        <v>#VALUE!</v>
      </c>
      <c r="AE4346" s="4" t="e">
        <f t="shared" si="79"/>
        <v>#VALUE!</v>
      </c>
    </row>
    <row r="4347" spans="8:31" x14ac:dyDescent="0.2">
      <c r="H4347" s="5"/>
      <c r="I4347" s="5"/>
      <c r="J4347" s="5"/>
      <c r="K4347" s="5"/>
      <c r="L4347" s="5"/>
      <c r="M4347" s="5"/>
      <c r="N4347" s="5"/>
      <c r="O4347" s="5"/>
      <c r="P4347" s="5"/>
      <c r="Q4347" s="5"/>
      <c r="R4347" s="5"/>
      <c r="S4347" s="5"/>
      <c r="T4347" s="5"/>
      <c r="U4347" s="5"/>
      <c r="V4347" s="5"/>
      <c r="W4347" s="5"/>
      <c r="X4347" s="5"/>
      <c r="Y4347" s="5"/>
      <c r="Z4347" s="5"/>
      <c r="AA4347" s="5"/>
      <c r="AC4347" t="e">
        <f ca="1">RANK(AB4347,OFFSET($AB$2,0,0,#REF!,1))</f>
        <v>#REF!</v>
      </c>
      <c r="AD4347" s="4" t="e">
        <f>InsurerSize(#REF!)</f>
        <v>#VALUE!</v>
      </c>
      <c r="AE4347" s="4" t="e">
        <f t="shared" si="79"/>
        <v>#VALUE!</v>
      </c>
    </row>
    <row r="4348" spans="8:31" x14ac:dyDescent="0.2">
      <c r="H4348" s="5"/>
      <c r="I4348" s="5"/>
      <c r="J4348" s="5"/>
      <c r="K4348" s="5"/>
      <c r="L4348" s="5"/>
      <c r="M4348" s="5"/>
      <c r="N4348" s="5"/>
      <c r="O4348" s="5"/>
      <c r="P4348" s="5"/>
      <c r="Q4348" s="5"/>
      <c r="R4348" s="5"/>
      <c r="S4348" s="5"/>
      <c r="T4348" s="5"/>
      <c r="U4348" s="5"/>
      <c r="V4348" s="5"/>
      <c r="W4348" s="5"/>
      <c r="X4348" s="5"/>
      <c r="Y4348" s="5"/>
      <c r="Z4348" s="5"/>
      <c r="AA4348" s="5"/>
      <c r="AC4348" t="e">
        <f ca="1">RANK(AB4348,OFFSET($AB$2,0,0,#REF!,1))</f>
        <v>#REF!</v>
      </c>
      <c r="AD4348" s="4" t="e">
        <f>InsurerSize(#REF!)</f>
        <v>#VALUE!</v>
      </c>
      <c r="AE4348" s="4" t="e">
        <f t="shared" si="79"/>
        <v>#VALUE!</v>
      </c>
    </row>
    <row r="4349" spans="8:31" x14ac:dyDescent="0.2">
      <c r="H4349" s="5"/>
      <c r="I4349" s="5"/>
      <c r="J4349" s="5"/>
      <c r="K4349" s="5"/>
      <c r="L4349" s="5"/>
      <c r="M4349" s="5"/>
      <c r="N4349" s="5"/>
      <c r="O4349" s="5"/>
      <c r="P4349" s="5"/>
      <c r="Q4349" s="5"/>
      <c r="R4349" s="5"/>
      <c r="S4349" s="5"/>
      <c r="T4349" s="5"/>
      <c r="U4349" s="5"/>
      <c r="V4349" s="5"/>
      <c r="W4349" s="5"/>
      <c r="X4349" s="5"/>
      <c r="Y4349" s="5"/>
      <c r="Z4349" s="5"/>
      <c r="AA4349" s="5"/>
      <c r="AC4349" t="e">
        <f ca="1">RANK(AB4349,OFFSET($AB$2,0,0,#REF!,1))</f>
        <v>#REF!</v>
      </c>
      <c r="AD4349" s="4" t="e">
        <f>InsurerSize(#REF!)</f>
        <v>#VALUE!</v>
      </c>
      <c r="AE4349" s="4" t="e">
        <f t="shared" si="79"/>
        <v>#VALUE!</v>
      </c>
    </row>
    <row r="4350" spans="8:31" x14ac:dyDescent="0.2">
      <c r="H4350" s="5"/>
      <c r="I4350" s="5"/>
      <c r="J4350" s="5"/>
      <c r="K4350" s="5"/>
      <c r="L4350" s="5"/>
      <c r="M4350" s="5"/>
      <c r="N4350" s="5"/>
      <c r="O4350" s="5"/>
      <c r="P4350" s="5"/>
      <c r="Q4350" s="5"/>
      <c r="R4350" s="5"/>
      <c r="S4350" s="5"/>
      <c r="T4350" s="5"/>
      <c r="U4350" s="5"/>
      <c r="V4350" s="5"/>
      <c r="W4350" s="5"/>
      <c r="X4350" s="5"/>
      <c r="Y4350" s="5"/>
      <c r="Z4350" s="5"/>
      <c r="AA4350" s="5"/>
      <c r="AC4350" t="e">
        <f ca="1">RANK(AB4350,OFFSET($AB$2,0,0,#REF!,1))</f>
        <v>#REF!</v>
      </c>
      <c r="AD4350" s="4" t="e">
        <f>InsurerSize(#REF!)</f>
        <v>#VALUE!</v>
      </c>
      <c r="AE4350" s="4" t="e">
        <f t="shared" si="79"/>
        <v>#VALUE!</v>
      </c>
    </row>
    <row r="4351" spans="8:31" x14ac:dyDescent="0.2">
      <c r="H4351" s="5"/>
      <c r="I4351" s="5"/>
      <c r="J4351" s="5"/>
      <c r="K4351" s="5"/>
      <c r="L4351" s="5"/>
      <c r="M4351" s="5"/>
      <c r="N4351" s="5"/>
      <c r="O4351" s="5"/>
      <c r="P4351" s="5"/>
      <c r="Q4351" s="5"/>
      <c r="R4351" s="5"/>
      <c r="S4351" s="5"/>
      <c r="T4351" s="5"/>
      <c r="U4351" s="5"/>
      <c r="V4351" s="5"/>
      <c r="W4351" s="5"/>
      <c r="X4351" s="5"/>
      <c r="Y4351" s="5"/>
      <c r="Z4351" s="5"/>
      <c r="AA4351" s="5"/>
      <c r="AC4351" t="e">
        <f ca="1">RANK(AB4351,OFFSET($AB$2,0,0,#REF!,1))</f>
        <v>#REF!</v>
      </c>
      <c r="AD4351" s="4" t="e">
        <f>InsurerSize(#REF!)</f>
        <v>#VALUE!</v>
      </c>
      <c r="AE4351" s="4" t="e">
        <f t="shared" si="79"/>
        <v>#VALUE!</v>
      </c>
    </row>
    <row r="4352" spans="8:31" x14ac:dyDescent="0.2">
      <c r="H4352" s="5"/>
      <c r="I4352" s="5"/>
      <c r="J4352" s="5"/>
      <c r="K4352" s="5"/>
      <c r="L4352" s="5"/>
      <c r="M4352" s="5"/>
      <c r="N4352" s="5"/>
      <c r="O4352" s="5"/>
      <c r="P4352" s="5"/>
      <c r="Q4352" s="5"/>
      <c r="R4352" s="5"/>
      <c r="S4352" s="5"/>
      <c r="T4352" s="5"/>
      <c r="U4352" s="5"/>
      <c r="V4352" s="5"/>
      <c r="W4352" s="5"/>
      <c r="X4352" s="5"/>
      <c r="Y4352" s="5"/>
      <c r="Z4352" s="5"/>
      <c r="AA4352" s="5"/>
      <c r="AC4352" t="e">
        <f ca="1">RANK(AB4352,OFFSET($AB$2,0,0,#REF!,1))</f>
        <v>#REF!</v>
      </c>
      <c r="AD4352" s="4" t="e">
        <f>InsurerSize(#REF!)</f>
        <v>#VALUE!</v>
      </c>
      <c r="AE4352" s="4" t="e">
        <f t="shared" si="79"/>
        <v>#VALUE!</v>
      </c>
    </row>
    <row r="4353" spans="8:31" x14ac:dyDescent="0.2">
      <c r="H4353" s="5"/>
      <c r="I4353" s="5"/>
      <c r="J4353" s="5"/>
      <c r="K4353" s="5"/>
      <c r="L4353" s="5"/>
      <c r="M4353" s="5"/>
      <c r="N4353" s="5"/>
      <c r="O4353" s="5"/>
      <c r="P4353" s="5"/>
      <c r="Q4353" s="5"/>
      <c r="R4353" s="5"/>
      <c r="S4353" s="5"/>
      <c r="T4353" s="5"/>
      <c r="U4353" s="5"/>
      <c r="V4353" s="5"/>
      <c r="W4353" s="5"/>
      <c r="X4353" s="5"/>
      <c r="Y4353" s="5"/>
      <c r="Z4353" s="5"/>
      <c r="AA4353" s="5"/>
      <c r="AC4353" t="e">
        <f ca="1">RANK(AB4353,OFFSET($AB$2,0,0,#REF!,1))</f>
        <v>#REF!</v>
      </c>
      <c r="AD4353" s="4" t="e">
        <f>InsurerSize(#REF!)</f>
        <v>#VALUE!</v>
      </c>
      <c r="AE4353" s="4" t="e">
        <f t="shared" si="79"/>
        <v>#VALUE!</v>
      </c>
    </row>
    <row r="4354" spans="8:31" x14ac:dyDescent="0.2">
      <c r="H4354" s="5"/>
      <c r="I4354" s="5"/>
      <c r="J4354" s="5"/>
      <c r="K4354" s="5"/>
      <c r="L4354" s="5"/>
      <c r="M4354" s="5"/>
      <c r="N4354" s="5"/>
      <c r="O4354" s="5"/>
      <c r="P4354" s="5"/>
      <c r="Q4354" s="5"/>
      <c r="R4354" s="5"/>
      <c r="S4354" s="5"/>
      <c r="T4354" s="5"/>
      <c r="U4354" s="5"/>
      <c r="V4354" s="5"/>
      <c r="W4354" s="5"/>
      <c r="X4354" s="5"/>
      <c r="Y4354" s="5"/>
      <c r="Z4354" s="5"/>
      <c r="AA4354" s="5"/>
      <c r="AC4354" t="e">
        <f ca="1">RANK(AB4354,OFFSET($AB$2,0,0,#REF!,1))</f>
        <v>#REF!</v>
      </c>
      <c r="AD4354" s="4" t="e">
        <f>InsurerSize(#REF!)</f>
        <v>#VALUE!</v>
      </c>
      <c r="AE4354" s="4" t="e">
        <f t="shared" ref="AE4354:AE4417" si="80">A4354&amp;AD4354</f>
        <v>#VALUE!</v>
      </c>
    </row>
    <row r="4355" spans="8:31" x14ac:dyDescent="0.2">
      <c r="H4355" s="5"/>
      <c r="I4355" s="5"/>
      <c r="J4355" s="5"/>
      <c r="K4355" s="5"/>
      <c r="L4355" s="5"/>
      <c r="M4355" s="5"/>
      <c r="N4355" s="5"/>
      <c r="O4355" s="5"/>
      <c r="P4355" s="5"/>
      <c r="Q4355" s="5"/>
      <c r="R4355" s="5"/>
      <c r="S4355" s="5"/>
      <c r="T4355" s="5"/>
      <c r="U4355" s="5"/>
      <c r="V4355" s="5"/>
      <c r="W4355" s="5"/>
      <c r="X4355" s="5"/>
      <c r="Y4355" s="5"/>
      <c r="Z4355" s="5"/>
      <c r="AA4355" s="5"/>
      <c r="AC4355" t="e">
        <f ca="1">RANK(AB4355,OFFSET($AB$2,0,0,#REF!,1))</f>
        <v>#REF!</v>
      </c>
      <c r="AD4355" s="4" t="e">
        <f>InsurerSize(#REF!)</f>
        <v>#VALUE!</v>
      </c>
      <c r="AE4355" s="4" t="e">
        <f t="shared" si="80"/>
        <v>#VALUE!</v>
      </c>
    </row>
    <row r="4356" spans="8:31" x14ac:dyDescent="0.2">
      <c r="H4356" s="5"/>
      <c r="I4356" s="5"/>
      <c r="J4356" s="5"/>
      <c r="K4356" s="5"/>
      <c r="L4356" s="5"/>
      <c r="M4356" s="5"/>
      <c r="N4356" s="5"/>
      <c r="O4356" s="5"/>
      <c r="P4356" s="5"/>
      <c r="Q4356" s="5"/>
      <c r="R4356" s="5"/>
      <c r="S4356" s="5"/>
      <c r="T4356" s="5"/>
      <c r="U4356" s="5"/>
      <c r="V4356" s="5"/>
      <c r="W4356" s="5"/>
      <c r="X4356" s="5"/>
      <c r="Y4356" s="5"/>
      <c r="Z4356" s="5"/>
      <c r="AA4356" s="5"/>
      <c r="AC4356" t="e">
        <f ca="1">RANK(AB4356,OFFSET($AB$2,0,0,#REF!,1))</f>
        <v>#REF!</v>
      </c>
      <c r="AD4356" s="4" t="e">
        <f>InsurerSize(#REF!)</f>
        <v>#VALUE!</v>
      </c>
      <c r="AE4356" s="4" t="e">
        <f t="shared" si="80"/>
        <v>#VALUE!</v>
      </c>
    </row>
    <row r="4357" spans="8:31" x14ac:dyDescent="0.2">
      <c r="H4357" s="5"/>
      <c r="I4357" s="5"/>
      <c r="J4357" s="5"/>
      <c r="K4357" s="5"/>
      <c r="L4357" s="5"/>
      <c r="M4357" s="5"/>
      <c r="N4357" s="5"/>
      <c r="O4357" s="5"/>
      <c r="P4357" s="5"/>
      <c r="Q4357" s="5"/>
      <c r="R4357" s="5"/>
      <c r="S4357" s="5"/>
      <c r="T4357" s="5"/>
      <c r="U4357" s="5"/>
      <c r="V4357" s="5"/>
      <c r="W4357" s="5"/>
      <c r="X4357" s="5"/>
      <c r="Y4357" s="5"/>
      <c r="Z4357" s="5"/>
      <c r="AA4357" s="5"/>
      <c r="AC4357" t="e">
        <f ca="1">RANK(AB4357,OFFSET($AB$2,0,0,#REF!,1))</f>
        <v>#REF!</v>
      </c>
      <c r="AD4357" s="4" t="e">
        <f>InsurerSize(#REF!)</f>
        <v>#VALUE!</v>
      </c>
      <c r="AE4357" s="4" t="e">
        <f t="shared" si="80"/>
        <v>#VALUE!</v>
      </c>
    </row>
    <row r="4358" spans="8:31" x14ac:dyDescent="0.2">
      <c r="H4358" s="5"/>
      <c r="I4358" s="5"/>
      <c r="J4358" s="5"/>
      <c r="K4358" s="5"/>
      <c r="L4358" s="5"/>
      <c r="M4358" s="5"/>
      <c r="N4358" s="5"/>
      <c r="O4358" s="5"/>
      <c r="P4358" s="5"/>
      <c r="Q4358" s="5"/>
      <c r="R4358" s="5"/>
      <c r="S4358" s="5"/>
      <c r="T4358" s="5"/>
      <c r="U4358" s="5"/>
      <c r="V4358" s="5"/>
      <c r="W4358" s="5"/>
      <c r="X4358" s="5"/>
      <c r="Y4358" s="5"/>
      <c r="Z4358" s="5"/>
      <c r="AA4358" s="5"/>
      <c r="AC4358" t="e">
        <f ca="1">RANK(AB4358,OFFSET($AB$2,0,0,#REF!,1))</f>
        <v>#REF!</v>
      </c>
      <c r="AD4358" s="4" t="e">
        <f>InsurerSize(#REF!)</f>
        <v>#VALUE!</v>
      </c>
      <c r="AE4358" s="4" t="e">
        <f t="shared" si="80"/>
        <v>#VALUE!</v>
      </c>
    </row>
    <row r="4359" spans="8:31" x14ac:dyDescent="0.2">
      <c r="H4359" s="5"/>
      <c r="I4359" s="5"/>
      <c r="J4359" s="5"/>
      <c r="K4359" s="5"/>
      <c r="L4359" s="5"/>
      <c r="M4359" s="5"/>
      <c r="N4359" s="5"/>
      <c r="O4359" s="5"/>
      <c r="P4359" s="5"/>
      <c r="Q4359" s="5"/>
      <c r="R4359" s="5"/>
      <c r="S4359" s="5"/>
      <c r="T4359" s="5"/>
      <c r="U4359" s="5"/>
      <c r="V4359" s="5"/>
      <c r="W4359" s="5"/>
      <c r="X4359" s="5"/>
      <c r="Y4359" s="5"/>
      <c r="Z4359" s="5"/>
      <c r="AA4359" s="5"/>
      <c r="AC4359" t="e">
        <f ca="1">RANK(AB4359,OFFSET($AB$2,0,0,#REF!,1))</f>
        <v>#REF!</v>
      </c>
      <c r="AD4359" s="4" t="e">
        <f>InsurerSize(#REF!)</f>
        <v>#VALUE!</v>
      </c>
      <c r="AE4359" s="4" t="e">
        <f t="shared" si="80"/>
        <v>#VALUE!</v>
      </c>
    </row>
    <row r="4360" spans="8:31" x14ac:dyDescent="0.2">
      <c r="H4360" s="5"/>
      <c r="I4360" s="5"/>
      <c r="J4360" s="5"/>
      <c r="K4360" s="5"/>
      <c r="L4360" s="5"/>
      <c r="M4360" s="5"/>
      <c r="N4360" s="5"/>
      <c r="O4360" s="5"/>
      <c r="P4360" s="5"/>
      <c r="Q4360" s="5"/>
      <c r="R4360" s="5"/>
      <c r="S4360" s="5"/>
      <c r="T4360" s="5"/>
      <c r="U4360" s="5"/>
      <c r="V4360" s="5"/>
      <c r="W4360" s="5"/>
      <c r="X4360" s="5"/>
      <c r="Y4360" s="5"/>
      <c r="Z4360" s="5"/>
      <c r="AA4360" s="5"/>
      <c r="AC4360" t="e">
        <f ca="1">RANK(AB4360,OFFSET($AB$2,0,0,#REF!,1))</f>
        <v>#REF!</v>
      </c>
      <c r="AD4360" s="4" t="e">
        <f>InsurerSize(#REF!)</f>
        <v>#VALUE!</v>
      </c>
      <c r="AE4360" s="4" t="e">
        <f t="shared" si="80"/>
        <v>#VALUE!</v>
      </c>
    </row>
    <row r="4361" spans="8:31" x14ac:dyDescent="0.2">
      <c r="H4361" s="5"/>
      <c r="I4361" s="5"/>
      <c r="J4361" s="5"/>
      <c r="K4361" s="5"/>
      <c r="L4361" s="5"/>
      <c r="M4361" s="5"/>
      <c r="N4361" s="5"/>
      <c r="O4361" s="5"/>
      <c r="P4361" s="5"/>
      <c r="Q4361" s="5"/>
      <c r="R4361" s="5"/>
      <c r="S4361" s="5"/>
      <c r="T4361" s="5"/>
      <c r="U4361" s="5"/>
      <c r="V4361" s="5"/>
      <c r="W4361" s="5"/>
      <c r="X4361" s="5"/>
      <c r="Y4361" s="5"/>
      <c r="Z4361" s="5"/>
      <c r="AA4361" s="5"/>
      <c r="AC4361" t="e">
        <f ca="1">RANK(AB4361,OFFSET($AB$2,0,0,#REF!,1))</f>
        <v>#REF!</v>
      </c>
      <c r="AD4361" s="4" t="e">
        <f>InsurerSize(#REF!)</f>
        <v>#VALUE!</v>
      </c>
      <c r="AE4361" s="4" t="e">
        <f t="shared" si="80"/>
        <v>#VALUE!</v>
      </c>
    </row>
    <row r="4362" spans="8:31" x14ac:dyDescent="0.2">
      <c r="H4362" s="5"/>
      <c r="I4362" s="5"/>
      <c r="J4362" s="5"/>
      <c r="K4362" s="5"/>
      <c r="L4362" s="5"/>
      <c r="M4362" s="5"/>
      <c r="N4362" s="5"/>
      <c r="O4362" s="5"/>
      <c r="P4362" s="5"/>
      <c r="Q4362" s="5"/>
      <c r="R4362" s="5"/>
      <c r="S4362" s="5"/>
      <c r="T4362" s="5"/>
      <c r="U4362" s="5"/>
      <c r="V4362" s="5"/>
      <c r="W4362" s="5"/>
      <c r="X4362" s="5"/>
      <c r="Y4362" s="5"/>
      <c r="Z4362" s="5"/>
      <c r="AA4362" s="5"/>
      <c r="AC4362" t="e">
        <f ca="1">RANK(AB4362,OFFSET($AB$2,0,0,#REF!,1))</f>
        <v>#REF!</v>
      </c>
      <c r="AD4362" s="4" t="e">
        <f>InsurerSize(#REF!)</f>
        <v>#VALUE!</v>
      </c>
      <c r="AE4362" s="4" t="e">
        <f t="shared" si="80"/>
        <v>#VALUE!</v>
      </c>
    </row>
    <row r="4363" spans="8:31" x14ac:dyDescent="0.2">
      <c r="H4363" s="5"/>
      <c r="I4363" s="5"/>
      <c r="J4363" s="5"/>
      <c r="K4363" s="5"/>
      <c r="L4363" s="5"/>
      <c r="M4363" s="5"/>
      <c r="N4363" s="5"/>
      <c r="O4363" s="5"/>
      <c r="P4363" s="5"/>
      <c r="Q4363" s="5"/>
      <c r="R4363" s="5"/>
      <c r="S4363" s="5"/>
      <c r="T4363" s="5"/>
      <c r="U4363" s="5"/>
      <c r="V4363" s="5"/>
      <c r="W4363" s="5"/>
      <c r="X4363" s="5"/>
      <c r="Y4363" s="5"/>
      <c r="Z4363" s="5"/>
      <c r="AA4363" s="5"/>
      <c r="AC4363" t="e">
        <f ca="1">RANK(AB4363,OFFSET($AB$2,0,0,#REF!,1))</f>
        <v>#REF!</v>
      </c>
      <c r="AD4363" s="4" t="e">
        <f>InsurerSize(#REF!)</f>
        <v>#VALUE!</v>
      </c>
      <c r="AE4363" s="4" t="e">
        <f t="shared" si="80"/>
        <v>#VALUE!</v>
      </c>
    </row>
    <row r="4364" spans="8:31" x14ac:dyDescent="0.2">
      <c r="H4364" s="5"/>
      <c r="I4364" s="5"/>
      <c r="J4364" s="5"/>
      <c r="K4364" s="5"/>
      <c r="L4364" s="5"/>
      <c r="M4364" s="5"/>
      <c r="N4364" s="5"/>
      <c r="O4364" s="5"/>
      <c r="P4364" s="5"/>
      <c r="Q4364" s="5"/>
      <c r="R4364" s="5"/>
      <c r="S4364" s="5"/>
      <c r="T4364" s="5"/>
      <c r="U4364" s="5"/>
      <c r="V4364" s="5"/>
      <c r="W4364" s="5"/>
      <c r="X4364" s="5"/>
      <c r="Y4364" s="5"/>
      <c r="Z4364" s="5"/>
      <c r="AA4364" s="5"/>
      <c r="AC4364" t="e">
        <f ca="1">RANK(AB4364,OFFSET($AB$2,0,0,#REF!,1))</f>
        <v>#REF!</v>
      </c>
      <c r="AD4364" s="4" t="e">
        <f>InsurerSize(#REF!)</f>
        <v>#VALUE!</v>
      </c>
      <c r="AE4364" s="4" t="e">
        <f t="shared" si="80"/>
        <v>#VALUE!</v>
      </c>
    </row>
    <row r="4365" spans="8:31" x14ac:dyDescent="0.2">
      <c r="H4365" s="5"/>
      <c r="I4365" s="5"/>
      <c r="J4365" s="5"/>
      <c r="K4365" s="5"/>
      <c r="L4365" s="5"/>
      <c r="M4365" s="5"/>
      <c r="N4365" s="5"/>
      <c r="O4365" s="5"/>
      <c r="P4365" s="5"/>
      <c r="Q4365" s="5"/>
      <c r="R4365" s="5"/>
      <c r="S4365" s="5"/>
      <c r="T4365" s="5"/>
      <c r="U4365" s="5"/>
      <c r="V4365" s="5"/>
      <c r="W4365" s="5"/>
      <c r="X4365" s="5"/>
      <c r="Y4365" s="5"/>
      <c r="Z4365" s="5"/>
      <c r="AA4365" s="5"/>
      <c r="AC4365" t="e">
        <f ca="1">RANK(AB4365,OFFSET($AB$2,0,0,#REF!,1))</f>
        <v>#REF!</v>
      </c>
      <c r="AD4365" s="4" t="e">
        <f>InsurerSize(#REF!)</f>
        <v>#VALUE!</v>
      </c>
      <c r="AE4365" s="4" t="e">
        <f t="shared" si="80"/>
        <v>#VALUE!</v>
      </c>
    </row>
    <row r="4366" spans="8:31" x14ac:dyDescent="0.2">
      <c r="H4366" s="5"/>
      <c r="I4366" s="5"/>
      <c r="J4366" s="5"/>
      <c r="K4366" s="5"/>
      <c r="L4366" s="5"/>
      <c r="M4366" s="5"/>
      <c r="N4366" s="5"/>
      <c r="O4366" s="5"/>
      <c r="P4366" s="5"/>
      <c r="Q4366" s="5"/>
      <c r="R4366" s="5"/>
      <c r="S4366" s="5"/>
      <c r="T4366" s="5"/>
      <c r="U4366" s="5"/>
      <c r="V4366" s="5"/>
      <c r="W4366" s="5"/>
      <c r="X4366" s="5"/>
      <c r="Y4366" s="5"/>
      <c r="Z4366" s="5"/>
      <c r="AA4366" s="5"/>
      <c r="AC4366" t="e">
        <f ca="1">RANK(AB4366,OFFSET($AB$2,0,0,#REF!,1))</f>
        <v>#REF!</v>
      </c>
      <c r="AD4366" s="4" t="e">
        <f>InsurerSize(#REF!)</f>
        <v>#VALUE!</v>
      </c>
      <c r="AE4366" s="4" t="e">
        <f t="shared" si="80"/>
        <v>#VALUE!</v>
      </c>
    </row>
    <row r="4367" spans="8:31" x14ac:dyDescent="0.2">
      <c r="H4367" s="5"/>
      <c r="I4367" s="5"/>
      <c r="J4367" s="5"/>
      <c r="K4367" s="5"/>
      <c r="L4367" s="5"/>
      <c r="M4367" s="5"/>
      <c r="N4367" s="5"/>
      <c r="O4367" s="5"/>
      <c r="P4367" s="5"/>
      <c r="Q4367" s="5"/>
      <c r="R4367" s="5"/>
      <c r="S4367" s="5"/>
      <c r="T4367" s="5"/>
      <c r="U4367" s="5"/>
      <c r="V4367" s="5"/>
      <c r="W4367" s="5"/>
      <c r="X4367" s="5"/>
      <c r="Y4367" s="5"/>
      <c r="Z4367" s="5"/>
      <c r="AA4367" s="5"/>
      <c r="AC4367" t="e">
        <f ca="1">RANK(AB4367,OFFSET($AB$2,0,0,#REF!,1))</f>
        <v>#REF!</v>
      </c>
      <c r="AD4367" s="4" t="e">
        <f>InsurerSize(#REF!)</f>
        <v>#VALUE!</v>
      </c>
      <c r="AE4367" s="4" t="e">
        <f t="shared" si="80"/>
        <v>#VALUE!</v>
      </c>
    </row>
    <row r="4368" spans="8:31" x14ac:dyDescent="0.2">
      <c r="H4368" s="5"/>
      <c r="I4368" s="5"/>
      <c r="J4368" s="5"/>
      <c r="K4368" s="5"/>
      <c r="L4368" s="5"/>
      <c r="M4368" s="5"/>
      <c r="N4368" s="5"/>
      <c r="O4368" s="5"/>
      <c r="P4368" s="5"/>
      <c r="Q4368" s="5"/>
      <c r="R4368" s="5"/>
      <c r="S4368" s="5"/>
      <c r="T4368" s="5"/>
      <c r="U4368" s="5"/>
      <c r="V4368" s="5"/>
      <c r="W4368" s="5"/>
      <c r="X4368" s="5"/>
      <c r="Y4368" s="5"/>
      <c r="Z4368" s="5"/>
      <c r="AA4368" s="5"/>
      <c r="AC4368" t="e">
        <f ca="1">RANK(AB4368,OFFSET($AB$2,0,0,#REF!,1))</f>
        <v>#REF!</v>
      </c>
      <c r="AD4368" s="4" t="e">
        <f>InsurerSize(#REF!)</f>
        <v>#VALUE!</v>
      </c>
      <c r="AE4368" s="4" t="e">
        <f t="shared" si="80"/>
        <v>#VALUE!</v>
      </c>
    </row>
    <row r="4369" spans="8:31" x14ac:dyDescent="0.2">
      <c r="H4369" s="5"/>
      <c r="I4369" s="5"/>
      <c r="J4369" s="5"/>
      <c r="K4369" s="5"/>
      <c r="L4369" s="5"/>
      <c r="M4369" s="5"/>
      <c r="N4369" s="5"/>
      <c r="O4369" s="5"/>
      <c r="P4369" s="5"/>
      <c r="Q4369" s="5"/>
      <c r="R4369" s="5"/>
      <c r="S4369" s="5"/>
      <c r="T4369" s="5"/>
      <c r="U4369" s="5"/>
      <c r="V4369" s="5"/>
      <c r="W4369" s="5"/>
      <c r="X4369" s="5"/>
      <c r="Y4369" s="5"/>
      <c r="Z4369" s="5"/>
      <c r="AA4369" s="5"/>
      <c r="AC4369" t="e">
        <f ca="1">RANK(AB4369,OFFSET($AB$2,0,0,#REF!,1))</f>
        <v>#REF!</v>
      </c>
      <c r="AD4369" s="4" t="e">
        <f>InsurerSize(#REF!)</f>
        <v>#VALUE!</v>
      </c>
      <c r="AE4369" s="4" t="e">
        <f t="shared" si="80"/>
        <v>#VALUE!</v>
      </c>
    </row>
    <row r="4370" spans="8:31" x14ac:dyDescent="0.2">
      <c r="H4370" s="5"/>
      <c r="I4370" s="5"/>
      <c r="J4370" s="5"/>
      <c r="K4370" s="5"/>
      <c r="L4370" s="5"/>
      <c r="M4370" s="5"/>
      <c r="N4370" s="5"/>
      <c r="O4370" s="5"/>
      <c r="P4370" s="5"/>
      <c r="Q4370" s="5"/>
      <c r="R4370" s="5"/>
      <c r="S4370" s="5"/>
      <c r="T4370" s="5"/>
      <c r="U4370" s="5"/>
      <c r="V4370" s="5"/>
      <c r="W4370" s="5"/>
      <c r="X4370" s="5"/>
      <c r="Y4370" s="5"/>
      <c r="Z4370" s="5"/>
      <c r="AA4370" s="5"/>
      <c r="AC4370" t="e">
        <f ca="1">RANK(AB4370,OFFSET($AB$2,0,0,#REF!,1))</f>
        <v>#REF!</v>
      </c>
      <c r="AD4370" s="4" t="e">
        <f>InsurerSize(#REF!)</f>
        <v>#VALUE!</v>
      </c>
      <c r="AE4370" s="4" t="e">
        <f t="shared" si="80"/>
        <v>#VALUE!</v>
      </c>
    </row>
    <row r="4371" spans="8:31" x14ac:dyDescent="0.2">
      <c r="H4371" s="5"/>
      <c r="I4371" s="5"/>
      <c r="J4371" s="5"/>
      <c r="K4371" s="5"/>
      <c r="L4371" s="5"/>
      <c r="M4371" s="5"/>
      <c r="N4371" s="5"/>
      <c r="O4371" s="5"/>
      <c r="P4371" s="5"/>
      <c r="Q4371" s="5"/>
      <c r="R4371" s="5"/>
      <c r="S4371" s="5"/>
      <c r="T4371" s="5"/>
      <c r="U4371" s="5"/>
      <c r="V4371" s="5"/>
      <c r="W4371" s="5"/>
      <c r="X4371" s="5"/>
      <c r="Y4371" s="5"/>
      <c r="Z4371" s="5"/>
      <c r="AA4371" s="5"/>
      <c r="AC4371" t="e">
        <f ca="1">RANK(AB4371,OFFSET($AB$2,0,0,#REF!,1))</f>
        <v>#REF!</v>
      </c>
      <c r="AD4371" s="4" t="e">
        <f>InsurerSize(#REF!)</f>
        <v>#VALUE!</v>
      </c>
      <c r="AE4371" s="4" t="e">
        <f t="shared" si="80"/>
        <v>#VALUE!</v>
      </c>
    </row>
    <row r="4372" spans="8:31" x14ac:dyDescent="0.2">
      <c r="H4372" s="5"/>
      <c r="I4372" s="5"/>
      <c r="J4372" s="5"/>
      <c r="K4372" s="5"/>
      <c r="L4372" s="5"/>
      <c r="M4372" s="5"/>
      <c r="N4372" s="5"/>
      <c r="O4372" s="5"/>
      <c r="P4372" s="5"/>
      <c r="Q4372" s="5"/>
      <c r="R4372" s="5"/>
      <c r="S4372" s="5"/>
      <c r="T4372" s="5"/>
      <c r="U4372" s="5"/>
      <c r="V4372" s="5"/>
      <c r="W4372" s="5"/>
      <c r="X4372" s="5"/>
      <c r="Y4372" s="5"/>
      <c r="Z4372" s="5"/>
      <c r="AA4372" s="5"/>
      <c r="AC4372" t="e">
        <f ca="1">RANK(AB4372,OFFSET($AB$2,0,0,#REF!,1))</f>
        <v>#REF!</v>
      </c>
      <c r="AD4372" s="4" t="e">
        <f>InsurerSize(#REF!)</f>
        <v>#VALUE!</v>
      </c>
      <c r="AE4372" s="4" t="e">
        <f t="shared" si="80"/>
        <v>#VALUE!</v>
      </c>
    </row>
    <row r="4373" spans="8:31" x14ac:dyDescent="0.2">
      <c r="H4373" s="5"/>
      <c r="I4373" s="5"/>
      <c r="J4373" s="5"/>
      <c r="K4373" s="5"/>
      <c r="L4373" s="5"/>
      <c r="M4373" s="5"/>
      <c r="N4373" s="5"/>
      <c r="O4373" s="5"/>
      <c r="P4373" s="5"/>
      <c r="Q4373" s="5"/>
      <c r="R4373" s="5"/>
      <c r="S4373" s="5"/>
      <c r="T4373" s="5"/>
      <c r="U4373" s="5"/>
      <c r="V4373" s="5"/>
      <c r="W4373" s="5"/>
      <c r="X4373" s="5"/>
      <c r="Y4373" s="5"/>
      <c r="Z4373" s="5"/>
      <c r="AA4373" s="5"/>
      <c r="AC4373" t="e">
        <f ca="1">RANK(AB4373,OFFSET($AB$2,0,0,#REF!,1))</f>
        <v>#REF!</v>
      </c>
      <c r="AD4373" s="4" t="e">
        <f>InsurerSize(#REF!)</f>
        <v>#VALUE!</v>
      </c>
      <c r="AE4373" s="4" t="e">
        <f t="shared" si="80"/>
        <v>#VALUE!</v>
      </c>
    </row>
    <row r="4374" spans="8:31" x14ac:dyDescent="0.2">
      <c r="H4374" s="5"/>
      <c r="I4374" s="5"/>
      <c r="J4374" s="5"/>
      <c r="K4374" s="5"/>
      <c r="L4374" s="5"/>
      <c r="M4374" s="5"/>
      <c r="N4374" s="5"/>
      <c r="O4374" s="5"/>
      <c r="P4374" s="5"/>
      <c r="Q4374" s="5"/>
      <c r="R4374" s="5"/>
      <c r="S4374" s="5"/>
      <c r="T4374" s="5"/>
      <c r="U4374" s="5"/>
      <c r="V4374" s="5"/>
      <c r="W4374" s="5"/>
      <c r="X4374" s="5"/>
      <c r="Y4374" s="5"/>
      <c r="Z4374" s="5"/>
      <c r="AA4374" s="5"/>
      <c r="AC4374" t="e">
        <f ca="1">RANK(AB4374,OFFSET($AB$2,0,0,#REF!,1))</f>
        <v>#REF!</v>
      </c>
      <c r="AD4374" s="4" t="e">
        <f>InsurerSize(#REF!)</f>
        <v>#VALUE!</v>
      </c>
      <c r="AE4374" s="4" t="e">
        <f t="shared" si="80"/>
        <v>#VALUE!</v>
      </c>
    </row>
    <row r="4375" spans="8:31" x14ac:dyDescent="0.2">
      <c r="H4375" s="5"/>
      <c r="I4375" s="5"/>
      <c r="J4375" s="5"/>
      <c r="K4375" s="5"/>
      <c r="L4375" s="5"/>
      <c r="M4375" s="5"/>
      <c r="N4375" s="5"/>
      <c r="O4375" s="5"/>
      <c r="P4375" s="5"/>
      <c r="Q4375" s="5"/>
      <c r="R4375" s="5"/>
      <c r="S4375" s="5"/>
      <c r="T4375" s="5"/>
      <c r="U4375" s="5"/>
      <c r="V4375" s="5"/>
      <c r="W4375" s="5"/>
      <c r="X4375" s="5"/>
      <c r="Y4375" s="5"/>
      <c r="Z4375" s="5"/>
      <c r="AA4375" s="5"/>
      <c r="AC4375" t="e">
        <f ca="1">RANK(AB4375,OFFSET($AB$2,0,0,#REF!,1))</f>
        <v>#REF!</v>
      </c>
      <c r="AD4375" s="4" t="e">
        <f>InsurerSize(#REF!)</f>
        <v>#VALUE!</v>
      </c>
      <c r="AE4375" s="4" t="e">
        <f t="shared" si="80"/>
        <v>#VALUE!</v>
      </c>
    </row>
    <row r="4376" spans="8:31" x14ac:dyDescent="0.2">
      <c r="H4376" s="5"/>
      <c r="I4376" s="5"/>
      <c r="J4376" s="5"/>
      <c r="K4376" s="5"/>
      <c r="L4376" s="5"/>
      <c r="M4376" s="5"/>
      <c r="N4376" s="5"/>
      <c r="O4376" s="5"/>
      <c r="P4376" s="5"/>
      <c r="Q4376" s="5"/>
      <c r="R4376" s="5"/>
      <c r="S4376" s="5"/>
      <c r="T4376" s="5"/>
      <c r="U4376" s="5"/>
      <c r="V4376" s="5"/>
      <c r="W4376" s="5"/>
      <c r="X4376" s="5"/>
      <c r="Y4376" s="5"/>
      <c r="Z4376" s="5"/>
      <c r="AA4376" s="5"/>
      <c r="AC4376" t="e">
        <f ca="1">RANK(AB4376,OFFSET($AB$2,0,0,#REF!,1))</f>
        <v>#REF!</v>
      </c>
      <c r="AD4376" s="4" t="e">
        <f>InsurerSize(#REF!)</f>
        <v>#VALUE!</v>
      </c>
      <c r="AE4376" s="4" t="e">
        <f t="shared" si="80"/>
        <v>#VALUE!</v>
      </c>
    </row>
    <row r="4377" spans="8:31" x14ac:dyDescent="0.2">
      <c r="H4377" s="5"/>
      <c r="I4377" s="5"/>
      <c r="J4377" s="5"/>
      <c r="K4377" s="5"/>
      <c r="L4377" s="5"/>
      <c r="M4377" s="5"/>
      <c r="N4377" s="5"/>
      <c r="O4377" s="5"/>
      <c r="P4377" s="5"/>
      <c r="Q4377" s="5"/>
      <c r="R4377" s="5"/>
      <c r="S4377" s="5"/>
      <c r="T4377" s="5"/>
      <c r="U4377" s="5"/>
      <c r="V4377" s="5"/>
      <c r="W4377" s="5"/>
      <c r="X4377" s="5"/>
      <c r="Y4377" s="5"/>
      <c r="Z4377" s="5"/>
      <c r="AA4377" s="5"/>
      <c r="AC4377" t="e">
        <f ca="1">RANK(AB4377,OFFSET($AB$2,0,0,#REF!,1))</f>
        <v>#REF!</v>
      </c>
      <c r="AD4377" s="4" t="e">
        <f>InsurerSize(#REF!)</f>
        <v>#VALUE!</v>
      </c>
      <c r="AE4377" s="4" t="e">
        <f t="shared" si="80"/>
        <v>#VALUE!</v>
      </c>
    </row>
    <row r="4378" spans="8:31" x14ac:dyDescent="0.2">
      <c r="H4378" s="5"/>
      <c r="I4378" s="5"/>
      <c r="J4378" s="5"/>
      <c r="K4378" s="5"/>
      <c r="L4378" s="5"/>
      <c r="M4378" s="5"/>
      <c r="N4378" s="5"/>
      <c r="O4378" s="5"/>
      <c r="P4378" s="5"/>
      <c r="Q4378" s="5"/>
      <c r="R4378" s="5"/>
      <c r="S4378" s="5"/>
      <c r="T4378" s="5"/>
      <c r="U4378" s="5"/>
      <c r="V4378" s="5"/>
      <c r="W4378" s="5"/>
      <c r="X4378" s="5"/>
      <c r="Y4378" s="5"/>
      <c r="Z4378" s="5"/>
      <c r="AA4378" s="5"/>
      <c r="AC4378" t="e">
        <f ca="1">RANK(AB4378,OFFSET($AB$2,0,0,#REF!,1))</f>
        <v>#REF!</v>
      </c>
      <c r="AD4378" s="4" t="e">
        <f>InsurerSize(#REF!)</f>
        <v>#VALUE!</v>
      </c>
      <c r="AE4378" s="4" t="e">
        <f t="shared" si="80"/>
        <v>#VALUE!</v>
      </c>
    </row>
    <row r="4379" spans="8:31" x14ac:dyDescent="0.2">
      <c r="H4379" s="5"/>
      <c r="I4379" s="5"/>
      <c r="J4379" s="5"/>
      <c r="K4379" s="5"/>
      <c r="L4379" s="5"/>
      <c r="M4379" s="5"/>
      <c r="N4379" s="5"/>
      <c r="O4379" s="5"/>
      <c r="P4379" s="5"/>
      <c r="Q4379" s="5"/>
      <c r="R4379" s="5"/>
      <c r="S4379" s="5"/>
      <c r="T4379" s="5"/>
      <c r="U4379" s="5"/>
      <c r="V4379" s="5"/>
      <c r="W4379" s="5"/>
      <c r="X4379" s="5"/>
      <c r="Y4379" s="5"/>
      <c r="Z4379" s="5"/>
      <c r="AA4379" s="5"/>
      <c r="AC4379" t="e">
        <f ca="1">RANK(AB4379,OFFSET($AB$2,0,0,#REF!,1))</f>
        <v>#REF!</v>
      </c>
      <c r="AD4379" s="4" t="e">
        <f>InsurerSize(#REF!)</f>
        <v>#VALUE!</v>
      </c>
      <c r="AE4379" s="4" t="e">
        <f t="shared" si="80"/>
        <v>#VALUE!</v>
      </c>
    </row>
    <row r="4380" spans="8:31" x14ac:dyDescent="0.2">
      <c r="H4380" s="5"/>
      <c r="I4380" s="5"/>
      <c r="J4380" s="5"/>
      <c r="K4380" s="5"/>
      <c r="L4380" s="5"/>
      <c r="M4380" s="5"/>
      <c r="N4380" s="5"/>
      <c r="O4380" s="5"/>
      <c r="P4380" s="5"/>
      <c r="Q4380" s="5"/>
      <c r="R4380" s="5"/>
      <c r="S4380" s="5"/>
      <c r="T4380" s="5"/>
      <c r="U4380" s="5"/>
      <c r="V4380" s="5"/>
      <c r="W4380" s="5"/>
      <c r="X4380" s="5"/>
      <c r="Y4380" s="5"/>
      <c r="Z4380" s="5"/>
      <c r="AA4380" s="5"/>
      <c r="AC4380" t="e">
        <f ca="1">RANK(AB4380,OFFSET($AB$2,0,0,#REF!,1))</f>
        <v>#REF!</v>
      </c>
      <c r="AD4380" s="4" t="e">
        <f>InsurerSize(#REF!)</f>
        <v>#VALUE!</v>
      </c>
      <c r="AE4380" s="4" t="e">
        <f t="shared" si="80"/>
        <v>#VALUE!</v>
      </c>
    </row>
    <row r="4381" spans="8:31" x14ac:dyDescent="0.2">
      <c r="H4381" s="5"/>
      <c r="I4381" s="5"/>
      <c r="J4381" s="5"/>
      <c r="K4381" s="5"/>
      <c r="L4381" s="5"/>
      <c r="M4381" s="5"/>
      <c r="N4381" s="5"/>
      <c r="O4381" s="5"/>
      <c r="P4381" s="5"/>
      <c r="Q4381" s="5"/>
      <c r="R4381" s="5"/>
      <c r="S4381" s="5"/>
      <c r="T4381" s="5"/>
      <c r="U4381" s="5"/>
      <c r="V4381" s="5"/>
      <c r="W4381" s="5"/>
      <c r="X4381" s="5"/>
      <c r="Y4381" s="5"/>
      <c r="Z4381" s="5"/>
      <c r="AA4381" s="5"/>
      <c r="AC4381" t="e">
        <f ca="1">RANK(AB4381,OFFSET($AB$2,0,0,#REF!,1))</f>
        <v>#REF!</v>
      </c>
      <c r="AD4381" s="4" t="e">
        <f>InsurerSize(#REF!)</f>
        <v>#VALUE!</v>
      </c>
      <c r="AE4381" s="4" t="e">
        <f t="shared" si="80"/>
        <v>#VALUE!</v>
      </c>
    </row>
    <row r="4382" spans="8:31" x14ac:dyDescent="0.2">
      <c r="H4382" s="5"/>
      <c r="I4382" s="5"/>
      <c r="J4382" s="5"/>
      <c r="K4382" s="5"/>
      <c r="L4382" s="5"/>
      <c r="M4382" s="5"/>
      <c r="N4382" s="5"/>
      <c r="O4382" s="5"/>
      <c r="P4382" s="5"/>
      <c r="Q4382" s="5"/>
      <c r="R4382" s="5"/>
      <c r="S4382" s="5"/>
      <c r="T4382" s="5"/>
      <c r="U4382" s="5"/>
      <c r="V4382" s="5"/>
      <c r="W4382" s="5"/>
      <c r="X4382" s="5"/>
      <c r="Y4382" s="5"/>
      <c r="Z4382" s="5"/>
      <c r="AA4382" s="5"/>
      <c r="AC4382" t="e">
        <f ca="1">RANK(AB4382,OFFSET($AB$2,0,0,#REF!,1))</f>
        <v>#REF!</v>
      </c>
      <c r="AD4382" s="4" t="e">
        <f>InsurerSize(#REF!)</f>
        <v>#VALUE!</v>
      </c>
      <c r="AE4382" s="4" t="e">
        <f t="shared" si="80"/>
        <v>#VALUE!</v>
      </c>
    </row>
    <row r="4383" spans="8:31" x14ac:dyDescent="0.2">
      <c r="H4383" s="5"/>
      <c r="I4383" s="5"/>
      <c r="J4383" s="5"/>
      <c r="K4383" s="5"/>
      <c r="L4383" s="5"/>
      <c r="M4383" s="5"/>
      <c r="N4383" s="5"/>
      <c r="O4383" s="5"/>
      <c r="P4383" s="5"/>
      <c r="Q4383" s="5"/>
      <c r="R4383" s="5"/>
      <c r="S4383" s="5"/>
      <c r="T4383" s="5"/>
      <c r="U4383" s="5"/>
      <c r="V4383" s="5"/>
      <c r="W4383" s="5"/>
      <c r="X4383" s="5"/>
      <c r="Y4383" s="5"/>
      <c r="Z4383" s="5"/>
      <c r="AA4383" s="5"/>
      <c r="AC4383" t="e">
        <f ca="1">RANK(AB4383,OFFSET($AB$2,0,0,#REF!,1))</f>
        <v>#REF!</v>
      </c>
      <c r="AD4383" s="4" t="e">
        <f>InsurerSize(#REF!)</f>
        <v>#VALUE!</v>
      </c>
      <c r="AE4383" s="4" t="e">
        <f t="shared" si="80"/>
        <v>#VALUE!</v>
      </c>
    </row>
    <row r="4384" spans="8:31" x14ac:dyDescent="0.2">
      <c r="H4384" s="5"/>
      <c r="I4384" s="5"/>
      <c r="J4384" s="5"/>
      <c r="K4384" s="5"/>
      <c r="L4384" s="5"/>
      <c r="M4384" s="5"/>
      <c r="N4384" s="5"/>
      <c r="O4384" s="5"/>
      <c r="P4384" s="5"/>
      <c r="Q4384" s="5"/>
      <c r="R4384" s="5"/>
      <c r="S4384" s="5"/>
      <c r="T4384" s="5"/>
      <c r="U4384" s="5"/>
      <c r="V4384" s="5"/>
      <c r="W4384" s="5"/>
      <c r="X4384" s="5"/>
      <c r="Y4384" s="5"/>
      <c r="Z4384" s="5"/>
      <c r="AA4384" s="5"/>
      <c r="AC4384" t="e">
        <f ca="1">RANK(AB4384,OFFSET($AB$2,0,0,#REF!,1))</f>
        <v>#REF!</v>
      </c>
      <c r="AD4384" s="4" t="e">
        <f>InsurerSize(#REF!)</f>
        <v>#VALUE!</v>
      </c>
      <c r="AE4384" s="4" t="e">
        <f t="shared" si="80"/>
        <v>#VALUE!</v>
      </c>
    </row>
    <row r="4385" spans="8:31" x14ac:dyDescent="0.2">
      <c r="H4385" s="5"/>
      <c r="I4385" s="5"/>
      <c r="J4385" s="5"/>
      <c r="K4385" s="5"/>
      <c r="L4385" s="5"/>
      <c r="M4385" s="5"/>
      <c r="N4385" s="5"/>
      <c r="O4385" s="5"/>
      <c r="P4385" s="5"/>
      <c r="Q4385" s="5"/>
      <c r="R4385" s="5"/>
      <c r="S4385" s="5"/>
      <c r="T4385" s="5"/>
      <c r="U4385" s="5"/>
      <c r="V4385" s="5"/>
      <c r="W4385" s="5"/>
      <c r="X4385" s="5"/>
      <c r="Y4385" s="5"/>
      <c r="Z4385" s="5"/>
      <c r="AA4385" s="5"/>
      <c r="AC4385" t="e">
        <f ca="1">RANK(AB4385,OFFSET($AB$2,0,0,#REF!,1))</f>
        <v>#REF!</v>
      </c>
      <c r="AD4385" s="4" t="e">
        <f>InsurerSize(#REF!)</f>
        <v>#VALUE!</v>
      </c>
      <c r="AE4385" s="4" t="e">
        <f t="shared" si="80"/>
        <v>#VALUE!</v>
      </c>
    </row>
    <row r="4386" spans="8:31" x14ac:dyDescent="0.2">
      <c r="H4386" s="5"/>
      <c r="I4386" s="5"/>
      <c r="J4386" s="5"/>
      <c r="K4386" s="5"/>
      <c r="L4386" s="5"/>
      <c r="M4386" s="5"/>
      <c r="N4386" s="5"/>
      <c r="O4386" s="5"/>
      <c r="P4386" s="5"/>
      <c r="Q4386" s="5"/>
      <c r="R4386" s="5"/>
      <c r="S4386" s="5"/>
      <c r="T4386" s="5"/>
      <c r="U4386" s="5"/>
      <c r="V4386" s="5"/>
      <c r="W4386" s="5"/>
      <c r="X4386" s="5"/>
      <c r="Y4386" s="5"/>
      <c r="Z4386" s="5"/>
      <c r="AA4386" s="5"/>
      <c r="AC4386" t="e">
        <f ca="1">RANK(AB4386,OFFSET($AB$2,0,0,#REF!,1))</f>
        <v>#REF!</v>
      </c>
      <c r="AD4386" s="4" t="e">
        <f>InsurerSize(#REF!)</f>
        <v>#VALUE!</v>
      </c>
      <c r="AE4386" s="4" t="e">
        <f t="shared" si="80"/>
        <v>#VALUE!</v>
      </c>
    </row>
    <row r="4387" spans="8:31" x14ac:dyDescent="0.2">
      <c r="H4387" s="5"/>
      <c r="I4387" s="5"/>
      <c r="J4387" s="5"/>
      <c r="K4387" s="5"/>
      <c r="L4387" s="5"/>
      <c r="M4387" s="5"/>
      <c r="N4387" s="5"/>
      <c r="O4387" s="5"/>
      <c r="P4387" s="5"/>
      <c r="Q4387" s="5"/>
      <c r="R4387" s="5"/>
      <c r="S4387" s="5"/>
      <c r="T4387" s="5"/>
      <c r="U4387" s="5"/>
      <c r="V4387" s="5"/>
      <c r="W4387" s="5"/>
      <c r="X4387" s="5"/>
      <c r="Y4387" s="5"/>
      <c r="Z4387" s="5"/>
      <c r="AA4387" s="5"/>
      <c r="AC4387" t="e">
        <f ca="1">RANK(AB4387,OFFSET($AB$2,0,0,#REF!,1))</f>
        <v>#REF!</v>
      </c>
      <c r="AD4387" s="4" t="e">
        <f>InsurerSize(#REF!)</f>
        <v>#VALUE!</v>
      </c>
      <c r="AE4387" s="4" t="e">
        <f t="shared" si="80"/>
        <v>#VALUE!</v>
      </c>
    </row>
    <row r="4388" spans="8:31" x14ac:dyDescent="0.2">
      <c r="H4388" s="5"/>
      <c r="I4388" s="5"/>
      <c r="J4388" s="5"/>
      <c r="K4388" s="5"/>
      <c r="L4388" s="5"/>
      <c r="M4388" s="5"/>
      <c r="N4388" s="5"/>
      <c r="O4388" s="5"/>
      <c r="P4388" s="5"/>
      <c r="Q4388" s="5"/>
      <c r="R4388" s="5"/>
      <c r="S4388" s="5"/>
      <c r="T4388" s="5"/>
      <c r="U4388" s="5"/>
      <c r="V4388" s="5"/>
      <c r="W4388" s="5"/>
      <c r="X4388" s="5"/>
      <c r="Y4388" s="5"/>
      <c r="Z4388" s="5"/>
      <c r="AA4388" s="5"/>
      <c r="AC4388" t="e">
        <f ca="1">RANK(AB4388,OFFSET($AB$2,0,0,#REF!,1))</f>
        <v>#REF!</v>
      </c>
      <c r="AD4388" s="4" t="e">
        <f>InsurerSize(#REF!)</f>
        <v>#VALUE!</v>
      </c>
      <c r="AE4388" s="4" t="e">
        <f t="shared" si="80"/>
        <v>#VALUE!</v>
      </c>
    </row>
    <row r="4389" spans="8:31" x14ac:dyDescent="0.2">
      <c r="H4389" s="5"/>
      <c r="I4389" s="5"/>
      <c r="J4389" s="5"/>
      <c r="K4389" s="5"/>
      <c r="L4389" s="5"/>
      <c r="M4389" s="5"/>
      <c r="N4389" s="5"/>
      <c r="O4389" s="5"/>
      <c r="P4389" s="5"/>
      <c r="Q4389" s="5"/>
      <c r="R4389" s="5"/>
      <c r="S4389" s="5"/>
      <c r="T4389" s="5"/>
      <c r="U4389" s="5"/>
      <c r="V4389" s="5"/>
      <c r="W4389" s="5"/>
      <c r="X4389" s="5"/>
      <c r="Y4389" s="5"/>
      <c r="Z4389" s="5"/>
      <c r="AA4389" s="5"/>
      <c r="AC4389" t="e">
        <f ca="1">RANK(AB4389,OFFSET($AB$2,0,0,#REF!,1))</f>
        <v>#REF!</v>
      </c>
      <c r="AD4389" s="4" t="e">
        <f>InsurerSize(#REF!)</f>
        <v>#VALUE!</v>
      </c>
      <c r="AE4389" s="4" t="e">
        <f t="shared" si="80"/>
        <v>#VALUE!</v>
      </c>
    </row>
    <row r="4390" spans="8:31" x14ac:dyDescent="0.2">
      <c r="H4390" s="5"/>
      <c r="I4390" s="5"/>
      <c r="J4390" s="5"/>
      <c r="K4390" s="5"/>
      <c r="L4390" s="5"/>
      <c r="M4390" s="5"/>
      <c r="N4390" s="5"/>
      <c r="O4390" s="5"/>
      <c r="P4390" s="5"/>
      <c r="Q4390" s="5"/>
      <c r="R4390" s="5"/>
      <c r="S4390" s="5"/>
      <c r="T4390" s="5"/>
      <c r="U4390" s="5"/>
      <c r="V4390" s="5"/>
      <c r="W4390" s="5"/>
      <c r="X4390" s="5"/>
      <c r="Y4390" s="5"/>
      <c r="Z4390" s="5"/>
      <c r="AA4390" s="5"/>
      <c r="AC4390" t="e">
        <f ca="1">RANK(AB4390,OFFSET($AB$2,0,0,#REF!,1))</f>
        <v>#REF!</v>
      </c>
      <c r="AD4390" s="4" t="e">
        <f>InsurerSize(#REF!)</f>
        <v>#VALUE!</v>
      </c>
      <c r="AE4390" s="4" t="e">
        <f t="shared" si="80"/>
        <v>#VALUE!</v>
      </c>
    </row>
    <row r="4391" spans="8:31" x14ac:dyDescent="0.2">
      <c r="H4391" s="5"/>
      <c r="I4391" s="5"/>
      <c r="J4391" s="5"/>
      <c r="K4391" s="5"/>
      <c r="L4391" s="5"/>
      <c r="M4391" s="5"/>
      <c r="N4391" s="5"/>
      <c r="O4391" s="5"/>
      <c r="P4391" s="5"/>
      <c r="Q4391" s="5"/>
      <c r="R4391" s="5"/>
      <c r="S4391" s="5"/>
      <c r="T4391" s="5"/>
      <c r="U4391" s="5"/>
      <c r="V4391" s="5"/>
      <c r="W4391" s="5"/>
      <c r="X4391" s="5"/>
      <c r="Y4391" s="5"/>
      <c r="Z4391" s="5"/>
      <c r="AA4391" s="5"/>
      <c r="AC4391" t="e">
        <f ca="1">RANK(AB4391,OFFSET($AB$2,0,0,#REF!,1))</f>
        <v>#REF!</v>
      </c>
      <c r="AD4391" s="4" t="e">
        <f>InsurerSize(#REF!)</f>
        <v>#VALUE!</v>
      </c>
      <c r="AE4391" s="4" t="e">
        <f t="shared" si="80"/>
        <v>#VALUE!</v>
      </c>
    </row>
    <row r="4392" spans="8:31" x14ac:dyDescent="0.2">
      <c r="H4392" s="5"/>
      <c r="I4392" s="5"/>
      <c r="J4392" s="5"/>
      <c r="K4392" s="5"/>
      <c r="L4392" s="5"/>
      <c r="M4392" s="5"/>
      <c r="N4392" s="5"/>
      <c r="O4392" s="5"/>
      <c r="P4392" s="5"/>
      <c r="Q4392" s="5"/>
      <c r="R4392" s="5"/>
      <c r="S4392" s="5"/>
      <c r="T4392" s="5"/>
      <c r="U4392" s="5"/>
      <c r="V4392" s="5"/>
      <c r="W4392" s="5"/>
      <c r="X4392" s="5"/>
      <c r="Y4392" s="5"/>
      <c r="Z4392" s="5"/>
      <c r="AA4392" s="5"/>
      <c r="AC4392" t="e">
        <f ca="1">RANK(AB4392,OFFSET($AB$2,0,0,#REF!,1))</f>
        <v>#REF!</v>
      </c>
      <c r="AD4392" s="4" t="e">
        <f>InsurerSize(#REF!)</f>
        <v>#VALUE!</v>
      </c>
      <c r="AE4392" s="4" t="e">
        <f t="shared" si="80"/>
        <v>#VALUE!</v>
      </c>
    </row>
    <row r="4393" spans="8:31" x14ac:dyDescent="0.2">
      <c r="H4393" s="5"/>
      <c r="I4393" s="5"/>
      <c r="J4393" s="5"/>
      <c r="K4393" s="5"/>
      <c r="L4393" s="5"/>
      <c r="M4393" s="5"/>
      <c r="N4393" s="5"/>
      <c r="O4393" s="5"/>
      <c r="P4393" s="5"/>
      <c r="Q4393" s="5"/>
      <c r="R4393" s="5"/>
      <c r="S4393" s="5"/>
      <c r="T4393" s="5"/>
      <c r="U4393" s="5"/>
      <c r="V4393" s="5"/>
      <c r="W4393" s="5"/>
      <c r="X4393" s="5"/>
      <c r="Y4393" s="5"/>
      <c r="Z4393" s="5"/>
      <c r="AA4393" s="5"/>
      <c r="AC4393" t="e">
        <f ca="1">RANK(AB4393,OFFSET($AB$2,0,0,#REF!,1))</f>
        <v>#REF!</v>
      </c>
      <c r="AD4393" s="4" t="e">
        <f>InsurerSize(#REF!)</f>
        <v>#VALUE!</v>
      </c>
      <c r="AE4393" s="4" t="e">
        <f t="shared" si="80"/>
        <v>#VALUE!</v>
      </c>
    </row>
    <row r="4394" spans="8:31" x14ac:dyDescent="0.2">
      <c r="H4394" s="5"/>
      <c r="I4394" s="5"/>
      <c r="J4394" s="5"/>
      <c r="K4394" s="5"/>
      <c r="L4394" s="5"/>
      <c r="M4394" s="5"/>
      <c r="N4394" s="5"/>
      <c r="O4394" s="5"/>
      <c r="P4394" s="5"/>
      <c r="Q4394" s="5"/>
      <c r="R4394" s="5"/>
      <c r="S4394" s="5"/>
      <c r="T4394" s="5"/>
      <c r="U4394" s="5"/>
      <c r="V4394" s="5"/>
      <c r="W4394" s="5"/>
      <c r="X4394" s="5"/>
      <c r="Y4394" s="5"/>
      <c r="Z4394" s="5"/>
      <c r="AA4394" s="5"/>
      <c r="AC4394" t="e">
        <f ca="1">RANK(AB4394,OFFSET($AB$2,0,0,#REF!,1))</f>
        <v>#REF!</v>
      </c>
      <c r="AD4394" s="4" t="e">
        <f>InsurerSize(#REF!)</f>
        <v>#VALUE!</v>
      </c>
      <c r="AE4394" s="4" t="e">
        <f t="shared" si="80"/>
        <v>#VALUE!</v>
      </c>
    </row>
    <row r="4395" spans="8:31" x14ac:dyDescent="0.2">
      <c r="H4395" s="5"/>
      <c r="I4395" s="5"/>
      <c r="J4395" s="5"/>
      <c r="K4395" s="5"/>
      <c r="L4395" s="5"/>
      <c r="M4395" s="5"/>
      <c r="N4395" s="5"/>
      <c r="O4395" s="5"/>
      <c r="P4395" s="5"/>
      <c r="Q4395" s="5"/>
      <c r="R4395" s="5"/>
      <c r="S4395" s="5"/>
      <c r="T4395" s="5"/>
      <c r="U4395" s="5"/>
      <c r="V4395" s="5"/>
      <c r="W4395" s="5"/>
      <c r="X4395" s="5"/>
      <c r="Y4395" s="5"/>
      <c r="Z4395" s="5"/>
      <c r="AA4395" s="5"/>
      <c r="AC4395" t="e">
        <f ca="1">RANK(AB4395,OFFSET($AB$2,0,0,#REF!,1))</f>
        <v>#REF!</v>
      </c>
      <c r="AD4395" s="4" t="e">
        <f>InsurerSize(#REF!)</f>
        <v>#VALUE!</v>
      </c>
      <c r="AE4395" s="4" t="e">
        <f t="shared" si="80"/>
        <v>#VALUE!</v>
      </c>
    </row>
    <row r="4396" spans="8:31" x14ac:dyDescent="0.2">
      <c r="H4396" s="5"/>
      <c r="I4396" s="5"/>
      <c r="J4396" s="5"/>
      <c r="K4396" s="5"/>
      <c r="L4396" s="5"/>
      <c r="M4396" s="5"/>
      <c r="N4396" s="5"/>
      <c r="O4396" s="5"/>
      <c r="P4396" s="5"/>
      <c r="Q4396" s="5"/>
      <c r="R4396" s="5"/>
      <c r="S4396" s="5"/>
      <c r="T4396" s="5"/>
      <c r="U4396" s="5"/>
      <c r="V4396" s="5"/>
      <c r="W4396" s="5"/>
      <c r="X4396" s="5"/>
      <c r="Y4396" s="5"/>
      <c r="Z4396" s="5"/>
      <c r="AA4396" s="5"/>
      <c r="AC4396" t="e">
        <f ca="1">RANK(AB4396,OFFSET($AB$2,0,0,#REF!,1))</f>
        <v>#REF!</v>
      </c>
      <c r="AD4396" s="4" t="e">
        <f>InsurerSize(#REF!)</f>
        <v>#VALUE!</v>
      </c>
      <c r="AE4396" s="4" t="e">
        <f t="shared" si="80"/>
        <v>#VALUE!</v>
      </c>
    </row>
    <row r="4397" spans="8:31" x14ac:dyDescent="0.2">
      <c r="H4397" s="5"/>
      <c r="I4397" s="5"/>
      <c r="J4397" s="5"/>
      <c r="K4397" s="5"/>
      <c r="L4397" s="5"/>
      <c r="M4397" s="5"/>
      <c r="N4397" s="5"/>
      <c r="O4397" s="5"/>
      <c r="P4397" s="5"/>
      <c r="Q4397" s="5"/>
      <c r="R4397" s="5"/>
      <c r="S4397" s="5"/>
      <c r="T4397" s="5"/>
      <c r="U4397" s="5"/>
      <c r="V4397" s="5"/>
      <c r="W4397" s="5"/>
      <c r="X4397" s="5"/>
      <c r="Y4397" s="5"/>
      <c r="Z4397" s="5"/>
      <c r="AA4397" s="5"/>
      <c r="AC4397" t="e">
        <f ca="1">RANK(AB4397,OFFSET($AB$2,0,0,#REF!,1))</f>
        <v>#REF!</v>
      </c>
      <c r="AD4397" s="4" t="e">
        <f>InsurerSize(#REF!)</f>
        <v>#VALUE!</v>
      </c>
      <c r="AE4397" s="4" t="e">
        <f t="shared" si="80"/>
        <v>#VALUE!</v>
      </c>
    </row>
    <row r="4398" spans="8:31" x14ac:dyDescent="0.2">
      <c r="H4398" s="5"/>
      <c r="I4398" s="5"/>
      <c r="J4398" s="5"/>
      <c r="K4398" s="5"/>
      <c r="L4398" s="5"/>
      <c r="M4398" s="5"/>
      <c r="N4398" s="5"/>
      <c r="O4398" s="5"/>
      <c r="P4398" s="5"/>
      <c r="Q4398" s="5"/>
      <c r="R4398" s="5"/>
      <c r="S4398" s="5"/>
      <c r="T4398" s="5"/>
      <c r="U4398" s="5"/>
      <c r="V4398" s="5"/>
      <c r="W4398" s="5"/>
      <c r="X4398" s="5"/>
      <c r="Y4398" s="5"/>
      <c r="Z4398" s="5"/>
      <c r="AA4398" s="5"/>
      <c r="AC4398" t="e">
        <f ca="1">RANK(AB4398,OFFSET($AB$2,0,0,#REF!,1))</f>
        <v>#REF!</v>
      </c>
      <c r="AD4398" s="4" t="e">
        <f>InsurerSize(#REF!)</f>
        <v>#VALUE!</v>
      </c>
      <c r="AE4398" s="4" t="e">
        <f t="shared" si="80"/>
        <v>#VALUE!</v>
      </c>
    </row>
    <row r="4399" spans="8:31" x14ac:dyDescent="0.2">
      <c r="H4399" s="5"/>
      <c r="I4399" s="5"/>
      <c r="J4399" s="5"/>
      <c r="K4399" s="5"/>
      <c r="L4399" s="5"/>
      <c r="M4399" s="5"/>
      <c r="N4399" s="5"/>
      <c r="O4399" s="5"/>
      <c r="P4399" s="5"/>
      <c r="Q4399" s="5"/>
      <c r="R4399" s="5"/>
      <c r="S4399" s="5"/>
      <c r="T4399" s="5"/>
      <c r="U4399" s="5"/>
      <c r="V4399" s="5"/>
      <c r="W4399" s="5"/>
      <c r="X4399" s="5"/>
      <c r="Y4399" s="5"/>
      <c r="Z4399" s="5"/>
      <c r="AA4399" s="5"/>
      <c r="AC4399" t="e">
        <f ca="1">RANK(AB4399,OFFSET($AB$2,0,0,#REF!,1))</f>
        <v>#REF!</v>
      </c>
      <c r="AD4399" s="4" t="e">
        <f>InsurerSize(#REF!)</f>
        <v>#VALUE!</v>
      </c>
      <c r="AE4399" s="4" t="e">
        <f t="shared" si="80"/>
        <v>#VALUE!</v>
      </c>
    </row>
    <row r="4400" spans="8:31" x14ac:dyDescent="0.2">
      <c r="H4400" s="5"/>
      <c r="I4400" s="5"/>
      <c r="J4400" s="5"/>
      <c r="K4400" s="5"/>
      <c r="L4400" s="5"/>
      <c r="M4400" s="5"/>
      <c r="N4400" s="5"/>
      <c r="O4400" s="5"/>
      <c r="P4400" s="5"/>
      <c r="Q4400" s="5"/>
      <c r="R4400" s="5"/>
      <c r="S4400" s="5"/>
      <c r="T4400" s="5"/>
      <c r="U4400" s="5"/>
      <c r="V4400" s="5"/>
      <c r="W4400" s="5"/>
      <c r="X4400" s="5"/>
      <c r="Y4400" s="5"/>
      <c r="Z4400" s="5"/>
      <c r="AA4400" s="5"/>
      <c r="AC4400" t="e">
        <f ca="1">RANK(AB4400,OFFSET($AB$2,0,0,#REF!,1))</f>
        <v>#REF!</v>
      </c>
      <c r="AD4400" s="4" t="e">
        <f>InsurerSize(#REF!)</f>
        <v>#VALUE!</v>
      </c>
      <c r="AE4400" s="4" t="e">
        <f t="shared" si="80"/>
        <v>#VALUE!</v>
      </c>
    </row>
    <row r="4401" spans="8:31" x14ac:dyDescent="0.2">
      <c r="H4401" s="5"/>
      <c r="I4401" s="5"/>
      <c r="J4401" s="5"/>
      <c r="K4401" s="5"/>
      <c r="L4401" s="5"/>
      <c r="M4401" s="5"/>
      <c r="N4401" s="5"/>
      <c r="O4401" s="5"/>
      <c r="P4401" s="5"/>
      <c r="Q4401" s="5"/>
      <c r="R4401" s="5"/>
      <c r="S4401" s="5"/>
      <c r="T4401" s="5"/>
      <c r="U4401" s="5"/>
      <c r="V4401" s="5"/>
      <c r="W4401" s="5"/>
      <c r="X4401" s="5"/>
      <c r="Y4401" s="5"/>
      <c r="Z4401" s="5"/>
      <c r="AA4401" s="5"/>
      <c r="AC4401" t="e">
        <f ca="1">RANK(AB4401,OFFSET($AB$2,0,0,#REF!,1))</f>
        <v>#REF!</v>
      </c>
      <c r="AD4401" s="4" t="e">
        <f>InsurerSize(#REF!)</f>
        <v>#VALUE!</v>
      </c>
      <c r="AE4401" s="4" t="e">
        <f t="shared" si="80"/>
        <v>#VALUE!</v>
      </c>
    </row>
    <row r="4402" spans="8:31" x14ac:dyDescent="0.2">
      <c r="H4402" s="5"/>
      <c r="I4402" s="5"/>
      <c r="J4402" s="5"/>
      <c r="K4402" s="5"/>
      <c r="L4402" s="5"/>
      <c r="M4402" s="5"/>
      <c r="N4402" s="5"/>
      <c r="O4402" s="5"/>
      <c r="P4402" s="5"/>
      <c r="Q4402" s="5"/>
      <c r="R4402" s="5"/>
      <c r="S4402" s="5"/>
      <c r="T4402" s="5"/>
      <c r="U4402" s="5"/>
      <c r="V4402" s="5"/>
      <c r="W4402" s="5"/>
      <c r="X4402" s="5"/>
      <c r="Y4402" s="5"/>
      <c r="Z4402" s="5"/>
      <c r="AA4402" s="5"/>
      <c r="AC4402" t="e">
        <f ca="1">RANK(AB4402,OFFSET($AB$2,0,0,#REF!,1))</f>
        <v>#REF!</v>
      </c>
      <c r="AD4402" s="4" t="e">
        <f>InsurerSize(#REF!)</f>
        <v>#VALUE!</v>
      </c>
      <c r="AE4402" s="4" t="e">
        <f t="shared" si="80"/>
        <v>#VALUE!</v>
      </c>
    </row>
    <row r="4403" spans="8:31" x14ac:dyDescent="0.2">
      <c r="H4403" s="5"/>
      <c r="I4403" s="5"/>
      <c r="J4403" s="5"/>
      <c r="K4403" s="5"/>
      <c r="L4403" s="5"/>
      <c r="M4403" s="5"/>
      <c r="N4403" s="5"/>
      <c r="O4403" s="5"/>
      <c r="P4403" s="5"/>
      <c r="Q4403" s="5"/>
      <c r="R4403" s="5"/>
      <c r="S4403" s="5"/>
      <c r="T4403" s="5"/>
      <c r="U4403" s="5"/>
      <c r="V4403" s="5"/>
      <c r="W4403" s="5"/>
      <c r="X4403" s="5"/>
      <c r="Y4403" s="5"/>
      <c r="Z4403" s="5"/>
      <c r="AA4403" s="5"/>
      <c r="AC4403" t="e">
        <f ca="1">RANK(AB4403,OFFSET($AB$2,0,0,#REF!,1))</f>
        <v>#REF!</v>
      </c>
      <c r="AD4403" s="4" t="e">
        <f>InsurerSize(#REF!)</f>
        <v>#VALUE!</v>
      </c>
      <c r="AE4403" s="4" t="e">
        <f t="shared" si="80"/>
        <v>#VALUE!</v>
      </c>
    </row>
    <row r="4404" spans="8:31" x14ac:dyDescent="0.2">
      <c r="H4404" s="5"/>
      <c r="I4404" s="5"/>
      <c r="J4404" s="5"/>
      <c r="K4404" s="5"/>
      <c r="L4404" s="5"/>
      <c r="M4404" s="5"/>
      <c r="N4404" s="5"/>
      <c r="O4404" s="5"/>
      <c r="P4404" s="5"/>
      <c r="Q4404" s="5"/>
      <c r="R4404" s="5"/>
      <c r="S4404" s="5"/>
      <c r="T4404" s="5"/>
      <c r="U4404" s="5"/>
      <c r="V4404" s="5"/>
      <c r="W4404" s="5"/>
      <c r="X4404" s="5"/>
      <c r="Y4404" s="5"/>
      <c r="Z4404" s="5"/>
      <c r="AA4404" s="5"/>
      <c r="AC4404" t="e">
        <f ca="1">RANK(AB4404,OFFSET($AB$2,0,0,#REF!,1))</f>
        <v>#REF!</v>
      </c>
      <c r="AD4404" s="4" t="e">
        <f>InsurerSize(#REF!)</f>
        <v>#VALUE!</v>
      </c>
      <c r="AE4404" s="4" t="e">
        <f t="shared" si="80"/>
        <v>#VALUE!</v>
      </c>
    </row>
    <row r="4405" spans="8:31" x14ac:dyDescent="0.2">
      <c r="H4405" s="5"/>
      <c r="I4405" s="5"/>
      <c r="J4405" s="5"/>
      <c r="K4405" s="5"/>
      <c r="L4405" s="5"/>
      <c r="M4405" s="5"/>
      <c r="N4405" s="5"/>
      <c r="O4405" s="5"/>
      <c r="P4405" s="5"/>
      <c r="Q4405" s="5"/>
      <c r="R4405" s="5"/>
      <c r="S4405" s="5"/>
      <c r="T4405" s="5"/>
      <c r="U4405" s="5"/>
      <c r="V4405" s="5"/>
      <c r="W4405" s="5"/>
      <c r="X4405" s="5"/>
      <c r="Y4405" s="5"/>
      <c r="Z4405" s="5"/>
      <c r="AA4405" s="5"/>
      <c r="AC4405" t="e">
        <f ca="1">RANK(AB4405,OFFSET($AB$2,0,0,#REF!,1))</f>
        <v>#REF!</v>
      </c>
      <c r="AD4405" s="4" t="e">
        <f>InsurerSize(#REF!)</f>
        <v>#VALUE!</v>
      </c>
      <c r="AE4405" s="4" t="e">
        <f t="shared" si="80"/>
        <v>#VALUE!</v>
      </c>
    </row>
    <row r="4406" spans="8:31" x14ac:dyDescent="0.2">
      <c r="H4406" s="5"/>
      <c r="I4406" s="5"/>
      <c r="J4406" s="5"/>
      <c r="K4406" s="5"/>
      <c r="L4406" s="5"/>
      <c r="M4406" s="5"/>
      <c r="N4406" s="5"/>
      <c r="O4406" s="5"/>
      <c r="P4406" s="5"/>
      <c r="Q4406" s="5"/>
      <c r="R4406" s="5"/>
      <c r="S4406" s="5"/>
      <c r="T4406" s="5"/>
      <c r="U4406" s="5"/>
      <c r="V4406" s="5"/>
      <c r="W4406" s="5"/>
      <c r="X4406" s="5"/>
      <c r="Y4406" s="5"/>
      <c r="Z4406" s="5"/>
      <c r="AA4406" s="5"/>
      <c r="AC4406" t="e">
        <f ca="1">RANK(AB4406,OFFSET($AB$2,0,0,#REF!,1))</f>
        <v>#REF!</v>
      </c>
      <c r="AD4406" s="4" t="e">
        <f>InsurerSize(#REF!)</f>
        <v>#VALUE!</v>
      </c>
      <c r="AE4406" s="4" t="e">
        <f t="shared" si="80"/>
        <v>#VALUE!</v>
      </c>
    </row>
    <row r="4407" spans="8:31" x14ac:dyDescent="0.2">
      <c r="H4407" s="5"/>
      <c r="I4407" s="5"/>
      <c r="J4407" s="5"/>
      <c r="K4407" s="5"/>
      <c r="L4407" s="5"/>
      <c r="M4407" s="5"/>
      <c r="N4407" s="5"/>
      <c r="O4407" s="5"/>
      <c r="P4407" s="5"/>
      <c r="Q4407" s="5"/>
      <c r="R4407" s="5"/>
      <c r="S4407" s="5"/>
      <c r="T4407" s="5"/>
      <c r="U4407" s="5"/>
      <c r="V4407" s="5"/>
      <c r="W4407" s="5"/>
      <c r="X4407" s="5"/>
      <c r="Y4407" s="5"/>
      <c r="Z4407" s="5"/>
      <c r="AA4407" s="5"/>
      <c r="AC4407" t="e">
        <f ca="1">RANK(AB4407,OFFSET($AB$2,0,0,#REF!,1))</f>
        <v>#REF!</v>
      </c>
      <c r="AD4407" s="4" t="e">
        <f>InsurerSize(#REF!)</f>
        <v>#VALUE!</v>
      </c>
      <c r="AE4407" s="4" t="e">
        <f t="shared" si="80"/>
        <v>#VALUE!</v>
      </c>
    </row>
    <row r="4408" spans="8:31" x14ac:dyDescent="0.2">
      <c r="H4408" s="5"/>
      <c r="I4408" s="5"/>
      <c r="J4408" s="5"/>
      <c r="K4408" s="5"/>
      <c r="L4408" s="5"/>
      <c r="M4408" s="5"/>
      <c r="N4408" s="5"/>
      <c r="O4408" s="5"/>
      <c r="P4408" s="5"/>
      <c r="Q4408" s="5"/>
      <c r="R4408" s="5"/>
      <c r="S4408" s="5"/>
      <c r="T4408" s="5"/>
      <c r="U4408" s="5"/>
      <c r="V4408" s="5"/>
      <c r="W4408" s="5"/>
      <c r="X4408" s="5"/>
      <c r="Y4408" s="5"/>
      <c r="Z4408" s="5"/>
      <c r="AA4408" s="5"/>
      <c r="AC4408" t="e">
        <f ca="1">RANK(AB4408,OFFSET($AB$2,0,0,#REF!,1))</f>
        <v>#REF!</v>
      </c>
      <c r="AD4408" s="4" t="e">
        <f>InsurerSize(#REF!)</f>
        <v>#VALUE!</v>
      </c>
      <c r="AE4408" s="4" t="e">
        <f t="shared" si="80"/>
        <v>#VALUE!</v>
      </c>
    </row>
    <row r="4409" spans="8:31" x14ac:dyDescent="0.2">
      <c r="H4409" s="5"/>
      <c r="I4409" s="5"/>
      <c r="J4409" s="5"/>
      <c r="K4409" s="5"/>
      <c r="L4409" s="5"/>
      <c r="M4409" s="5"/>
      <c r="N4409" s="5"/>
      <c r="O4409" s="5"/>
      <c r="P4409" s="5"/>
      <c r="Q4409" s="5"/>
      <c r="R4409" s="5"/>
      <c r="S4409" s="5"/>
      <c r="T4409" s="5"/>
      <c r="U4409" s="5"/>
      <c r="V4409" s="5"/>
      <c r="W4409" s="5"/>
      <c r="X4409" s="5"/>
      <c r="Y4409" s="5"/>
      <c r="Z4409" s="5"/>
      <c r="AA4409" s="5"/>
      <c r="AC4409" t="e">
        <f ca="1">RANK(AB4409,OFFSET($AB$2,0,0,#REF!,1))</f>
        <v>#REF!</v>
      </c>
      <c r="AD4409" s="4" t="e">
        <f>InsurerSize(#REF!)</f>
        <v>#VALUE!</v>
      </c>
      <c r="AE4409" s="4" t="e">
        <f t="shared" si="80"/>
        <v>#VALUE!</v>
      </c>
    </row>
    <row r="4410" spans="8:31" x14ac:dyDescent="0.2">
      <c r="H4410" s="5"/>
      <c r="I4410" s="5"/>
      <c r="J4410" s="5"/>
      <c r="K4410" s="5"/>
      <c r="L4410" s="5"/>
      <c r="M4410" s="5"/>
      <c r="N4410" s="5"/>
      <c r="O4410" s="5"/>
      <c r="P4410" s="5"/>
      <c r="Q4410" s="5"/>
      <c r="R4410" s="5"/>
      <c r="S4410" s="5"/>
      <c r="T4410" s="5"/>
      <c r="U4410" s="5"/>
      <c r="V4410" s="5"/>
      <c r="W4410" s="5"/>
      <c r="X4410" s="5"/>
      <c r="Y4410" s="5"/>
      <c r="Z4410" s="5"/>
      <c r="AA4410" s="5"/>
      <c r="AC4410" t="e">
        <f ca="1">RANK(AB4410,OFFSET($AB$2,0,0,#REF!,1))</f>
        <v>#REF!</v>
      </c>
      <c r="AD4410" s="4" t="e">
        <f>InsurerSize(#REF!)</f>
        <v>#VALUE!</v>
      </c>
      <c r="AE4410" s="4" t="e">
        <f t="shared" si="80"/>
        <v>#VALUE!</v>
      </c>
    </row>
    <row r="4411" spans="8:31" x14ac:dyDescent="0.2">
      <c r="H4411" s="5"/>
      <c r="I4411" s="5"/>
      <c r="J4411" s="5"/>
      <c r="K4411" s="5"/>
      <c r="L4411" s="5"/>
      <c r="M4411" s="5"/>
      <c r="N4411" s="5"/>
      <c r="O4411" s="5"/>
      <c r="P4411" s="5"/>
      <c r="Q4411" s="5"/>
      <c r="R4411" s="5"/>
      <c r="S4411" s="5"/>
      <c r="T4411" s="5"/>
      <c r="U4411" s="5"/>
      <c r="V4411" s="5"/>
      <c r="W4411" s="5"/>
      <c r="X4411" s="5"/>
      <c r="Y4411" s="5"/>
      <c r="Z4411" s="5"/>
      <c r="AA4411" s="5"/>
      <c r="AC4411" t="e">
        <f ca="1">RANK(AB4411,OFFSET($AB$2,0,0,#REF!,1))</f>
        <v>#REF!</v>
      </c>
      <c r="AD4411" s="4" t="e">
        <f>InsurerSize(#REF!)</f>
        <v>#VALUE!</v>
      </c>
      <c r="AE4411" s="4" t="e">
        <f t="shared" si="80"/>
        <v>#VALUE!</v>
      </c>
    </row>
    <row r="4412" spans="8:31" x14ac:dyDescent="0.2">
      <c r="H4412" s="5"/>
      <c r="I4412" s="5"/>
      <c r="J4412" s="5"/>
      <c r="K4412" s="5"/>
      <c r="L4412" s="5"/>
      <c r="M4412" s="5"/>
      <c r="N4412" s="5"/>
      <c r="O4412" s="5"/>
      <c r="P4412" s="5"/>
      <c r="Q4412" s="5"/>
      <c r="R4412" s="5"/>
      <c r="S4412" s="5"/>
      <c r="T4412" s="5"/>
      <c r="U4412" s="5"/>
      <c r="V4412" s="5"/>
      <c r="W4412" s="5"/>
      <c r="X4412" s="5"/>
      <c r="Y4412" s="5"/>
      <c r="Z4412" s="5"/>
      <c r="AA4412" s="5"/>
      <c r="AC4412" t="e">
        <f ca="1">RANK(AB4412,OFFSET($AB$2,0,0,#REF!,1))</f>
        <v>#REF!</v>
      </c>
      <c r="AD4412" s="4" t="e">
        <f>InsurerSize(#REF!)</f>
        <v>#VALUE!</v>
      </c>
      <c r="AE4412" s="4" t="e">
        <f t="shared" si="80"/>
        <v>#VALUE!</v>
      </c>
    </row>
    <row r="4413" spans="8:31" x14ac:dyDescent="0.2">
      <c r="H4413" s="5"/>
      <c r="I4413" s="5"/>
      <c r="J4413" s="5"/>
      <c r="K4413" s="5"/>
      <c r="L4413" s="5"/>
      <c r="M4413" s="5"/>
      <c r="N4413" s="5"/>
      <c r="O4413" s="5"/>
      <c r="P4413" s="5"/>
      <c r="Q4413" s="5"/>
      <c r="R4413" s="5"/>
      <c r="S4413" s="5"/>
      <c r="T4413" s="5"/>
      <c r="U4413" s="5"/>
      <c r="V4413" s="5"/>
      <c r="W4413" s="5"/>
      <c r="X4413" s="5"/>
      <c r="Y4413" s="5"/>
      <c r="Z4413" s="5"/>
      <c r="AA4413" s="5"/>
      <c r="AC4413" t="e">
        <f ca="1">RANK(AB4413,OFFSET($AB$2,0,0,#REF!,1))</f>
        <v>#REF!</v>
      </c>
      <c r="AD4413" s="4" t="e">
        <f>InsurerSize(#REF!)</f>
        <v>#VALUE!</v>
      </c>
      <c r="AE4413" s="4" t="e">
        <f t="shared" si="80"/>
        <v>#VALUE!</v>
      </c>
    </row>
    <row r="4414" spans="8:31" x14ac:dyDescent="0.2">
      <c r="H4414" s="5"/>
      <c r="I4414" s="5"/>
      <c r="J4414" s="5"/>
      <c r="K4414" s="5"/>
      <c r="L4414" s="5"/>
      <c r="M4414" s="5"/>
      <c r="N4414" s="5"/>
      <c r="O4414" s="5"/>
      <c r="P4414" s="5"/>
      <c r="Q4414" s="5"/>
      <c r="R4414" s="5"/>
      <c r="S4414" s="5"/>
      <c r="T4414" s="5"/>
      <c r="U4414" s="5"/>
      <c r="V4414" s="5"/>
      <c r="W4414" s="5"/>
      <c r="X4414" s="5"/>
      <c r="Y4414" s="5"/>
      <c r="Z4414" s="5"/>
      <c r="AA4414" s="5"/>
      <c r="AC4414" t="e">
        <f ca="1">RANK(AB4414,OFFSET($AB$2,0,0,#REF!,1))</f>
        <v>#REF!</v>
      </c>
      <c r="AD4414" s="4" t="e">
        <f>InsurerSize(#REF!)</f>
        <v>#VALUE!</v>
      </c>
      <c r="AE4414" s="4" t="e">
        <f t="shared" si="80"/>
        <v>#VALUE!</v>
      </c>
    </row>
    <row r="4415" spans="8:31" x14ac:dyDescent="0.2">
      <c r="H4415" s="5"/>
      <c r="I4415" s="5"/>
      <c r="J4415" s="5"/>
      <c r="K4415" s="5"/>
      <c r="L4415" s="5"/>
      <c r="M4415" s="5"/>
      <c r="N4415" s="5"/>
      <c r="O4415" s="5"/>
      <c r="P4415" s="5"/>
      <c r="Q4415" s="5"/>
      <c r="R4415" s="5"/>
      <c r="S4415" s="5"/>
      <c r="T4415" s="5"/>
      <c r="U4415" s="5"/>
      <c r="V4415" s="5"/>
      <c r="W4415" s="5"/>
      <c r="X4415" s="5"/>
      <c r="Y4415" s="5"/>
      <c r="Z4415" s="5"/>
      <c r="AA4415" s="5"/>
      <c r="AC4415" t="e">
        <f ca="1">RANK(AB4415,OFFSET($AB$2,0,0,#REF!,1))</f>
        <v>#REF!</v>
      </c>
      <c r="AD4415" s="4" t="e">
        <f>InsurerSize(#REF!)</f>
        <v>#VALUE!</v>
      </c>
      <c r="AE4415" s="4" t="e">
        <f t="shared" si="80"/>
        <v>#VALUE!</v>
      </c>
    </row>
    <row r="4416" spans="8:31" x14ac:dyDescent="0.2">
      <c r="H4416" s="5"/>
      <c r="I4416" s="5"/>
      <c r="J4416" s="5"/>
      <c r="K4416" s="5"/>
      <c r="L4416" s="5"/>
      <c r="M4416" s="5"/>
      <c r="N4416" s="5"/>
      <c r="O4416" s="5"/>
      <c r="P4416" s="5"/>
      <c r="Q4416" s="5"/>
      <c r="R4416" s="5"/>
      <c r="S4416" s="5"/>
      <c r="T4416" s="5"/>
      <c r="U4416" s="5"/>
      <c r="V4416" s="5"/>
      <c r="W4416" s="5"/>
      <c r="X4416" s="5"/>
      <c r="Y4416" s="5"/>
      <c r="Z4416" s="5"/>
      <c r="AA4416" s="5"/>
      <c r="AC4416" t="e">
        <f ca="1">RANK(AB4416,OFFSET($AB$2,0,0,#REF!,1))</f>
        <v>#REF!</v>
      </c>
      <c r="AD4416" s="4" t="e">
        <f>InsurerSize(#REF!)</f>
        <v>#VALUE!</v>
      </c>
      <c r="AE4416" s="4" t="e">
        <f t="shared" si="80"/>
        <v>#VALUE!</v>
      </c>
    </row>
    <row r="4417" spans="8:31" x14ac:dyDescent="0.2">
      <c r="H4417" s="5"/>
      <c r="I4417" s="5"/>
      <c r="J4417" s="5"/>
      <c r="K4417" s="5"/>
      <c r="L4417" s="5"/>
      <c r="M4417" s="5"/>
      <c r="N4417" s="5"/>
      <c r="O4417" s="5"/>
      <c r="P4417" s="5"/>
      <c r="Q4417" s="5"/>
      <c r="R4417" s="5"/>
      <c r="S4417" s="5"/>
      <c r="T4417" s="5"/>
      <c r="U4417" s="5"/>
      <c r="V4417" s="5"/>
      <c r="W4417" s="5"/>
      <c r="X4417" s="5"/>
      <c r="Y4417" s="5"/>
      <c r="Z4417" s="5"/>
      <c r="AA4417" s="5"/>
      <c r="AC4417" t="e">
        <f ca="1">RANK(AB4417,OFFSET($AB$2,0,0,#REF!,1))</f>
        <v>#REF!</v>
      </c>
      <c r="AD4417" s="4" t="e">
        <f>InsurerSize(#REF!)</f>
        <v>#VALUE!</v>
      </c>
      <c r="AE4417" s="4" t="e">
        <f t="shared" si="80"/>
        <v>#VALUE!</v>
      </c>
    </row>
    <row r="4418" spans="8:31" x14ac:dyDescent="0.2">
      <c r="H4418" s="5"/>
      <c r="I4418" s="5"/>
      <c r="J4418" s="5"/>
      <c r="K4418" s="5"/>
      <c r="L4418" s="5"/>
      <c r="M4418" s="5"/>
      <c r="N4418" s="5"/>
      <c r="O4418" s="5"/>
      <c r="P4418" s="5"/>
      <c r="Q4418" s="5"/>
      <c r="R4418" s="5"/>
      <c r="S4418" s="5"/>
      <c r="T4418" s="5"/>
      <c r="U4418" s="5"/>
      <c r="V4418" s="5"/>
      <c r="W4418" s="5"/>
      <c r="X4418" s="5"/>
      <c r="Y4418" s="5"/>
      <c r="Z4418" s="5"/>
      <c r="AA4418" s="5"/>
      <c r="AC4418" t="e">
        <f ca="1">RANK(AB4418,OFFSET($AB$2,0,0,#REF!,1))</f>
        <v>#REF!</v>
      </c>
      <c r="AD4418" s="4" t="e">
        <f>InsurerSize(#REF!)</f>
        <v>#VALUE!</v>
      </c>
      <c r="AE4418" s="4" t="e">
        <f t="shared" ref="AE4418:AE4481" si="81">A4418&amp;AD4418</f>
        <v>#VALUE!</v>
      </c>
    </row>
    <row r="4419" spans="8:31" x14ac:dyDescent="0.2">
      <c r="H4419" s="5"/>
      <c r="I4419" s="5"/>
      <c r="J4419" s="5"/>
      <c r="K4419" s="5"/>
      <c r="L4419" s="5"/>
      <c r="M4419" s="5"/>
      <c r="N4419" s="5"/>
      <c r="O4419" s="5"/>
      <c r="P4419" s="5"/>
      <c r="Q4419" s="5"/>
      <c r="R4419" s="5"/>
      <c r="S4419" s="5"/>
      <c r="T4419" s="5"/>
      <c r="U4419" s="5"/>
      <c r="V4419" s="5"/>
      <c r="W4419" s="5"/>
      <c r="X4419" s="5"/>
      <c r="Y4419" s="5"/>
      <c r="Z4419" s="5"/>
      <c r="AA4419" s="5"/>
      <c r="AC4419" t="e">
        <f ca="1">RANK(AB4419,OFFSET($AB$2,0,0,#REF!,1))</f>
        <v>#REF!</v>
      </c>
      <c r="AD4419" s="4" t="e">
        <f>InsurerSize(#REF!)</f>
        <v>#VALUE!</v>
      </c>
      <c r="AE4419" s="4" t="e">
        <f t="shared" si="81"/>
        <v>#VALUE!</v>
      </c>
    </row>
    <row r="4420" spans="8:31" x14ac:dyDescent="0.2">
      <c r="H4420" s="5"/>
      <c r="I4420" s="5"/>
      <c r="J4420" s="5"/>
      <c r="K4420" s="5"/>
      <c r="L4420" s="5"/>
      <c r="M4420" s="5"/>
      <c r="N4420" s="5"/>
      <c r="O4420" s="5"/>
      <c r="P4420" s="5"/>
      <c r="Q4420" s="5"/>
      <c r="R4420" s="5"/>
      <c r="S4420" s="5"/>
      <c r="T4420" s="5"/>
      <c r="U4420" s="5"/>
      <c r="V4420" s="5"/>
      <c r="W4420" s="5"/>
      <c r="X4420" s="5"/>
      <c r="Y4420" s="5"/>
      <c r="Z4420" s="5"/>
      <c r="AA4420" s="5"/>
      <c r="AC4420" t="e">
        <f ca="1">RANK(AB4420,OFFSET($AB$2,0,0,#REF!,1))</f>
        <v>#REF!</v>
      </c>
      <c r="AD4420" s="4" t="e">
        <f>InsurerSize(#REF!)</f>
        <v>#VALUE!</v>
      </c>
      <c r="AE4420" s="4" t="e">
        <f t="shared" si="81"/>
        <v>#VALUE!</v>
      </c>
    </row>
    <row r="4421" spans="8:31" x14ac:dyDescent="0.2">
      <c r="H4421" s="5"/>
      <c r="I4421" s="5"/>
      <c r="J4421" s="5"/>
      <c r="K4421" s="5"/>
      <c r="L4421" s="5"/>
      <c r="M4421" s="5"/>
      <c r="N4421" s="5"/>
      <c r="O4421" s="5"/>
      <c r="P4421" s="5"/>
      <c r="Q4421" s="5"/>
      <c r="R4421" s="5"/>
      <c r="S4421" s="5"/>
      <c r="T4421" s="5"/>
      <c r="U4421" s="5"/>
      <c r="V4421" s="5"/>
      <c r="W4421" s="5"/>
      <c r="X4421" s="5"/>
      <c r="Y4421" s="5"/>
      <c r="Z4421" s="5"/>
      <c r="AA4421" s="5"/>
      <c r="AC4421" t="e">
        <f ca="1">RANK(AB4421,OFFSET($AB$2,0,0,#REF!,1))</f>
        <v>#REF!</v>
      </c>
      <c r="AD4421" s="4" t="e">
        <f>InsurerSize(#REF!)</f>
        <v>#VALUE!</v>
      </c>
      <c r="AE4421" s="4" t="e">
        <f t="shared" si="81"/>
        <v>#VALUE!</v>
      </c>
    </row>
    <row r="4422" spans="8:31" x14ac:dyDescent="0.2">
      <c r="H4422" s="5"/>
      <c r="I4422" s="5"/>
      <c r="J4422" s="5"/>
      <c r="K4422" s="5"/>
      <c r="L4422" s="5"/>
      <c r="M4422" s="5"/>
      <c r="N4422" s="5"/>
      <c r="O4422" s="5"/>
      <c r="P4422" s="5"/>
      <c r="Q4422" s="5"/>
      <c r="R4422" s="5"/>
      <c r="S4422" s="5"/>
      <c r="T4422" s="5"/>
      <c r="U4422" s="5"/>
      <c r="V4422" s="5"/>
      <c r="W4422" s="5"/>
      <c r="X4422" s="5"/>
      <c r="Y4422" s="5"/>
      <c r="Z4422" s="5"/>
      <c r="AA4422" s="5"/>
      <c r="AC4422" t="e">
        <f ca="1">RANK(AB4422,OFFSET($AB$2,0,0,#REF!,1))</f>
        <v>#REF!</v>
      </c>
      <c r="AD4422" s="4" t="e">
        <f>InsurerSize(#REF!)</f>
        <v>#VALUE!</v>
      </c>
      <c r="AE4422" s="4" t="e">
        <f t="shared" si="81"/>
        <v>#VALUE!</v>
      </c>
    </row>
    <row r="4423" spans="8:31" x14ac:dyDescent="0.2">
      <c r="H4423" s="5"/>
      <c r="I4423" s="5"/>
      <c r="J4423" s="5"/>
      <c r="K4423" s="5"/>
      <c r="L4423" s="5"/>
      <c r="M4423" s="5"/>
      <c r="N4423" s="5"/>
      <c r="O4423" s="5"/>
      <c r="P4423" s="5"/>
      <c r="Q4423" s="5"/>
      <c r="R4423" s="5"/>
      <c r="S4423" s="5"/>
      <c r="T4423" s="5"/>
      <c r="U4423" s="5"/>
      <c r="V4423" s="5"/>
      <c r="W4423" s="5"/>
      <c r="X4423" s="5"/>
      <c r="Y4423" s="5"/>
      <c r="Z4423" s="5"/>
      <c r="AA4423" s="5"/>
      <c r="AC4423" t="e">
        <f ca="1">RANK(AB4423,OFFSET($AB$2,0,0,#REF!,1))</f>
        <v>#REF!</v>
      </c>
      <c r="AD4423" s="4" t="e">
        <f>InsurerSize(#REF!)</f>
        <v>#VALUE!</v>
      </c>
      <c r="AE4423" s="4" t="e">
        <f t="shared" si="81"/>
        <v>#VALUE!</v>
      </c>
    </row>
    <row r="4424" spans="8:31" x14ac:dyDescent="0.2">
      <c r="H4424" s="5"/>
      <c r="I4424" s="5"/>
      <c r="J4424" s="5"/>
      <c r="K4424" s="5"/>
      <c r="L4424" s="5"/>
      <c r="M4424" s="5"/>
      <c r="N4424" s="5"/>
      <c r="O4424" s="5"/>
      <c r="P4424" s="5"/>
      <c r="Q4424" s="5"/>
      <c r="R4424" s="5"/>
      <c r="S4424" s="5"/>
      <c r="T4424" s="5"/>
      <c r="U4424" s="5"/>
      <c r="V4424" s="5"/>
      <c r="W4424" s="5"/>
      <c r="X4424" s="5"/>
      <c r="Y4424" s="5"/>
      <c r="Z4424" s="5"/>
      <c r="AA4424" s="5"/>
      <c r="AC4424" t="e">
        <f ca="1">RANK(AB4424,OFFSET($AB$2,0,0,#REF!,1))</f>
        <v>#REF!</v>
      </c>
      <c r="AD4424" s="4" t="e">
        <f>InsurerSize(#REF!)</f>
        <v>#VALUE!</v>
      </c>
      <c r="AE4424" s="4" t="e">
        <f t="shared" si="81"/>
        <v>#VALUE!</v>
      </c>
    </row>
    <row r="4425" spans="8:31" x14ac:dyDescent="0.2">
      <c r="H4425" s="5"/>
      <c r="I4425" s="5"/>
      <c r="J4425" s="5"/>
      <c r="K4425" s="5"/>
      <c r="L4425" s="5"/>
      <c r="M4425" s="5"/>
      <c r="N4425" s="5"/>
      <c r="O4425" s="5"/>
      <c r="P4425" s="5"/>
      <c r="Q4425" s="5"/>
      <c r="R4425" s="5"/>
      <c r="S4425" s="5"/>
      <c r="T4425" s="5"/>
      <c r="U4425" s="5"/>
      <c r="V4425" s="5"/>
      <c r="W4425" s="5"/>
      <c r="X4425" s="5"/>
      <c r="Y4425" s="5"/>
      <c r="Z4425" s="5"/>
      <c r="AA4425" s="5"/>
      <c r="AC4425" t="e">
        <f ca="1">RANK(AB4425,OFFSET($AB$2,0,0,#REF!,1))</f>
        <v>#REF!</v>
      </c>
      <c r="AD4425" s="4" t="e">
        <f>InsurerSize(#REF!)</f>
        <v>#VALUE!</v>
      </c>
      <c r="AE4425" s="4" t="e">
        <f t="shared" si="81"/>
        <v>#VALUE!</v>
      </c>
    </row>
    <row r="4426" spans="8:31" x14ac:dyDescent="0.2">
      <c r="H4426" s="5"/>
      <c r="I4426" s="5"/>
      <c r="J4426" s="5"/>
      <c r="K4426" s="5"/>
      <c r="L4426" s="5"/>
      <c r="M4426" s="5"/>
      <c r="N4426" s="5"/>
      <c r="O4426" s="5"/>
      <c r="P4426" s="5"/>
      <c r="Q4426" s="5"/>
      <c r="R4426" s="5"/>
      <c r="S4426" s="5"/>
      <c r="T4426" s="5"/>
      <c r="U4426" s="5"/>
      <c r="V4426" s="5"/>
      <c r="W4426" s="5"/>
      <c r="X4426" s="5"/>
      <c r="Y4426" s="5"/>
      <c r="Z4426" s="5"/>
      <c r="AA4426" s="5"/>
      <c r="AC4426" t="e">
        <f ca="1">RANK(AB4426,OFFSET($AB$2,0,0,#REF!,1))</f>
        <v>#REF!</v>
      </c>
      <c r="AD4426" s="4" t="e">
        <f>InsurerSize(#REF!)</f>
        <v>#VALUE!</v>
      </c>
      <c r="AE4426" s="4" t="e">
        <f t="shared" si="81"/>
        <v>#VALUE!</v>
      </c>
    </row>
    <row r="4427" spans="8:31" x14ac:dyDescent="0.2">
      <c r="H4427" s="5"/>
      <c r="I4427" s="5"/>
      <c r="J4427" s="5"/>
      <c r="K4427" s="5"/>
      <c r="L4427" s="5"/>
      <c r="M4427" s="5"/>
      <c r="N4427" s="5"/>
      <c r="O4427" s="5"/>
      <c r="P4427" s="5"/>
      <c r="Q4427" s="5"/>
      <c r="R4427" s="5"/>
      <c r="S4427" s="5"/>
      <c r="T4427" s="5"/>
      <c r="U4427" s="5"/>
      <c r="V4427" s="5"/>
      <c r="W4427" s="5"/>
      <c r="X4427" s="5"/>
      <c r="Y4427" s="5"/>
      <c r="Z4427" s="5"/>
      <c r="AA4427" s="5"/>
      <c r="AC4427" t="e">
        <f ca="1">RANK(AB4427,OFFSET($AB$2,0,0,#REF!,1))</f>
        <v>#REF!</v>
      </c>
      <c r="AD4427" s="4" t="e">
        <f>InsurerSize(#REF!)</f>
        <v>#VALUE!</v>
      </c>
      <c r="AE4427" s="4" t="e">
        <f t="shared" si="81"/>
        <v>#VALUE!</v>
      </c>
    </row>
    <row r="4428" spans="8:31" x14ac:dyDescent="0.2">
      <c r="H4428" s="5"/>
      <c r="I4428" s="5"/>
      <c r="J4428" s="5"/>
      <c r="K4428" s="5"/>
      <c r="L4428" s="5"/>
      <c r="M4428" s="5"/>
      <c r="N4428" s="5"/>
      <c r="O4428" s="5"/>
      <c r="P4428" s="5"/>
      <c r="Q4428" s="5"/>
      <c r="R4428" s="5"/>
      <c r="S4428" s="5"/>
      <c r="T4428" s="5"/>
      <c r="U4428" s="5"/>
      <c r="V4428" s="5"/>
      <c r="W4428" s="5"/>
      <c r="X4428" s="5"/>
      <c r="Y4428" s="5"/>
      <c r="Z4428" s="5"/>
      <c r="AA4428" s="5"/>
      <c r="AC4428" t="e">
        <f ca="1">RANK(AB4428,OFFSET($AB$2,0,0,#REF!,1))</f>
        <v>#REF!</v>
      </c>
      <c r="AD4428" s="4" t="e">
        <f>InsurerSize(#REF!)</f>
        <v>#VALUE!</v>
      </c>
      <c r="AE4428" s="4" t="e">
        <f t="shared" si="81"/>
        <v>#VALUE!</v>
      </c>
    </row>
    <row r="4429" spans="8:31" x14ac:dyDescent="0.2">
      <c r="H4429" s="5"/>
      <c r="I4429" s="5"/>
      <c r="J4429" s="5"/>
      <c r="K4429" s="5"/>
      <c r="L4429" s="5"/>
      <c r="M4429" s="5"/>
      <c r="N4429" s="5"/>
      <c r="O4429" s="5"/>
      <c r="P4429" s="5"/>
      <c r="Q4429" s="5"/>
      <c r="R4429" s="5"/>
      <c r="S4429" s="5"/>
      <c r="T4429" s="5"/>
      <c r="U4429" s="5"/>
      <c r="V4429" s="5"/>
      <c r="W4429" s="5"/>
      <c r="X4429" s="5"/>
      <c r="Y4429" s="5"/>
      <c r="Z4429" s="5"/>
      <c r="AA4429" s="5"/>
      <c r="AC4429" t="e">
        <f ca="1">RANK(AB4429,OFFSET($AB$2,0,0,#REF!,1))</f>
        <v>#REF!</v>
      </c>
      <c r="AD4429" s="4" t="e">
        <f>InsurerSize(#REF!)</f>
        <v>#VALUE!</v>
      </c>
      <c r="AE4429" s="4" t="e">
        <f t="shared" si="81"/>
        <v>#VALUE!</v>
      </c>
    </row>
    <row r="4430" spans="8:31" x14ac:dyDescent="0.2">
      <c r="H4430" s="5"/>
      <c r="I4430" s="5"/>
      <c r="J4430" s="5"/>
      <c r="K4430" s="5"/>
      <c r="L4430" s="5"/>
      <c r="M4430" s="5"/>
      <c r="N4430" s="5"/>
      <c r="O4430" s="5"/>
      <c r="P4430" s="5"/>
      <c r="Q4430" s="5"/>
      <c r="R4430" s="5"/>
      <c r="S4430" s="5"/>
      <c r="T4430" s="5"/>
      <c r="U4430" s="5"/>
      <c r="V4430" s="5"/>
      <c r="W4430" s="5"/>
      <c r="X4430" s="5"/>
      <c r="Y4430" s="5"/>
      <c r="Z4430" s="5"/>
      <c r="AA4430" s="5"/>
      <c r="AC4430" t="e">
        <f ca="1">RANK(AB4430,OFFSET($AB$2,0,0,#REF!,1))</f>
        <v>#REF!</v>
      </c>
      <c r="AD4430" s="4" t="e">
        <f>InsurerSize(#REF!)</f>
        <v>#VALUE!</v>
      </c>
      <c r="AE4430" s="4" t="e">
        <f t="shared" si="81"/>
        <v>#VALUE!</v>
      </c>
    </row>
    <row r="4431" spans="8:31" x14ac:dyDescent="0.2">
      <c r="H4431" s="5"/>
      <c r="I4431" s="5"/>
      <c r="J4431" s="5"/>
      <c r="K4431" s="5"/>
      <c r="L4431" s="5"/>
      <c r="M4431" s="5"/>
      <c r="N4431" s="5"/>
      <c r="O4431" s="5"/>
      <c r="P4431" s="5"/>
      <c r="Q4431" s="5"/>
      <c r="R4431" s="5"/>
      <c r="S4431" s="5"/>
      <c r="T4431" s="5"/>
      <c r="U4431" s="5"/>
      <c r="V4431" s="5"/>
      <c r="W4431" s="5"/>
      <c r="X4431" s="5"/>
      <c r="Y4431" s="5"/>
      <c r="Z4431" s="5"/>
      <c r="AA4431" s="5"/>
      <c r="AC4431" t="e">
        <f ca="1">RANK(AB4431,OFFSET($AB$2,0,0,#REF!,1))</f>
        <v>#REF!</v>
      </c>
      <c r="AD4431" s="4" t="e">
        <f>InsurerSize(#REF!)</f>
        <v>#VALUE!</v>
      </c>
      <c r="AE4431" s="4" t="e">
        <f t="shared" si="81"/>
        <v>#VALUE!</v>
      </c>
    </row>
    <row r="4432" spans="8:31" x14ac:dyDescent="0.2">
      <c r="H4432" s="5"/>
      <c r="I4432" s="5"/>
      <c r="J4432" s="5"/>
      <c r="K4432" s="5"/>
      <c r="L4432" s="5"/>
      <c r="M4432" s="5"/>
      <c r="N4432" s="5"/>
      <c r="O4432" s="5"/>
      <c r="P4432" s="5"/>
      <c r="Q4432" s="5"/>
      <c r="R4432" s="5"/>
      <c r="S4432" s="5"/>
      <c r="T4432" s="5"/>
      <c r="U4432" s="5"/>
      <c r="V4432" s="5"/>
      <c r="W4432" s="5"/>
      <c r="X4432" s="5"/>
      <c r="Y4432" s="5"/>
      <c r="Z4432" s="5"/>
      <c r="AA4432" s="5"/>
      <c r="AC4432" t="e">
        <f ca="1">RANK(AB4432,OFFSET($AB$2,0,0,#REF!,1))</f>
        <v>#REF!</v>
      </c>
      <c r="AD4432" s="4" t="e">
        <f>InsurerSize(#REF!)</f>
        <v>#VALUE!</v>
      </c>
      <c r="AE4432" s="4" t="e">
        <f t="shared" si="81"/>
        <v>#VALUE!</v>
      </c>
    </row>
    <row r="4433" spans="8:31" x14ac:dyDescent="0.2">
      <c r="H4433" s="5"/>
      <c r="I4433" s="5"/>
      <c r="J4433" s="5"/>
      <c r="K4433" s="5"/>
      <c r="L4433" s="5"/>
      <c r="M4433" s="5"/>
      <c r="N4433" s="5"/>
      <c r="O4433" s="5"/>
      <c r="P4433" s="5"/>
      <c r="Q4433" s="5"/>
      <c r="R4433" s="5"/>
      <c r="S4433" s="5"/>
      <c r="T4433" s="5"/>
      <c r="U4433" s="5"/>
      <c r="V4433" s="5"/>
      <c r="W4433" s="5"/>
      <c r="X4433" s="5"/>
      <c r="Y4433" s="5"/>
      <c r="Z4433" s="5"/>
      <c r="AA4433" s="5"/>
      <c r="AC4433" t="e">
        <f ca="1">RANK(AB4433,OFFSET($AB$2,0,0,#REF!,1))</f>
        <v>#REF!</v>
      </c>
      <c r="AD4433" s="4" t="e">
        <f>InsurerSize(#REF!)</f>
        <v>#VALUE!</v>
      </c>
      <c r="AE4433" s="4" t="e">
        <f t="shared" si="81"/>
        <v>#VALUE!</v>
      </c>
    </row>
    <row r="4434" spans="8:31" x14ac:dyDescent="0.2">
      <c r="H4434" s="5"/>
      <c r="I4434" s="5"/>
      <c r="J4434" s="5"/>
      <c r="K4434" s="5"/>
      <c r="L4434" s="5"/>
      <c r="M4434" s="5"/>
      <c r="N4434" s="5"/>
      <c r="O4434" s="5"/>
      <c r="P4434" s="5"/>
      <c r="Q4434" s="5"/>
      <c r="R4434" s="5"/>
      <c r="S4434" s="5"/>
      <c r="T4434" s="5"/>
      <c r="U4434" s="5"/>
      <c r="V4434" s="5"/>
      <c r="W4434" s="5"/>
      <c r="X4434" s="5"/>
      <c r="Y4434" s="5"/>
      <c r="Z4434" s="5"/>
      <c r="AA4434" s="5"/>
      <c r="AC4434" t="e">
        <f ca="1">RANK(AB4434,OFFSET($AB$2,0,0,#REF!,1))</f>
        <v>#REF!</v>
      </c>
      <c r="AD4434" s="4" t="e">
        <f>InsurerSize(#REF!)</f>
        <v>#VALUE!</v>
      </c>
      <c r="AE4434" s="4" t="e">
        <f t="shared" si="81"/>
        <v>#VALUE!</v>
      </c>
    </row>
    <row r="4435" spans="8:31" x14ac:dyDescent="0.2">
      <c r="H4435" s="5"/>
      <c r="I4435" s="5"/>
      <c r="J4435" s="5"/>
      <c r="K4435" s="5"/>
      <c r="L4435" s="5"/>
      <c r="M4435" s="5"/>
      <c r="N4435" s="5"/>
      <c r="O4435" s="5"/>
      <c r="P4435" s="5"/>
      <c r="Q4435" s="5"/>
      <c r="R4435" s="5"/>
      <c r="S4435" s="5"/>
      <c r="T4435" s="5"/>
      <c r="U4435" s="5"/>
      <c r="V4435" s="5"/>
      <c r="W4435" s="5"/>
      <c r="X4435" s="5"/>
      <c r="Y4435" s="5"/>
      <c r="Z4435" s="5"/>
      <c r="AA4435" s="5"/>
      <c r="AC4435" t="e">
        <f ca="1">RANK(AB4435,OFFSET($AB$2,0,0,#REF!,1))</f>
        <v>#REF!</v>
      </c>
      <c r="AD4435" s="4" t="e">
        <f>InsurerSize(#REF!)</f>
        <v>#VALUE!</v>
      </c>
      <c r="AE4435" s="4" t="e">
        <f t="shared" si="81"/>
        <v>#VALUE!</v>
      </c>
    </row>
    <row r="4436" spans="8:31" x14ac:dyDescent="0.2">
      <c r="H4436" s="5"/>
      <c r="I4436" s="5"/>
      <c r="J4436" s="5"/>
      <c r="K4436" s="5"/>
      <c r="L4436" s="5"/>
      <c r="M4436" s="5"/>
      <c r="N4436" s="5"/>
      <c r="O4436" s="5"/>
      <c r="P4436" s="5"/>
      <c r="Q4436" s="5"/>
      <c r="R4436" s="5"/>
      <c r="S4436" s="5"/>
      <c r="T4436" s="5"/>
      <c r="U4436" s="5"/>
      <c r="V4436" s="5"/>
      <c r="W4436" s="5"/>
      <c r="X4436" s="5"/>
      <c r="Y4436" s="5"/>
      <c r="Z4436" s="5"/>
      <c r="AA4436" s="5"/>
      <c r="AC4436" t="e">
        <f ca="1">RANK(AB4436,OFFSET($AB$2,0,0,#REF!,1))</f>
        <v>#REF!</v>
      </c>
      <c r="AD4436" s="4" t="e">
        <f>InsurerSize(#REF!)</f>
        <v>#VALUE!</v>
      </c>
      <c r="AE4436" s="4" t="e">
        <f t="shared" si="81"/>
        <v>#VALUE!</v>
      </c>
    </row>
    <row r="4437" spans="8:31" x14ac:dyDescent="0.2">
      <c r="H4437" s="5"/>
      <c r="I4437" s="5"/>
      <c r="J4437" s="5"/>
      <c r="K4437" s="5"/>
      <c r="L4437" s="5"/>
      <c r="M4437" s="5"/>
      <c r="N4437" s="5"/>
      <c r="O4437" s="5"/>
      <c r="P4437" s="5"/>
      <c r="Q4437" s="5"/>
      <c r="R4437" s="5"/>
      <c r="S4437" s="5"/>
      <c r="T4437" s="5"/>
      <c r="U4437" s="5"/>
      <c r="V4437" s="5"/>
      <c r="W4437" s="5"/>
      <c r="X4437" s="5"/>
      <c r="Y4437" s="5"/>
      <c r="Z4437" s="5"/>
      <c r="AA4437" s="5"/>
      <c r="AC4437" t="e">
        <f ca="1">RANK(AB4437,OFFSET($AB$2,0,0,#REF!,1))</f>
        <v>#REF!</v>
      </c>
      <c r="AD4437" s="4" t="e">
        <f>InsurerSize(#REF!)</f>
        <v>#VALUE!</v>
      </c>
      <c r="AE4437" s="4" t="e">
        <f t="shared" si="81"/>
        <v>#VALUE!</v>
      </c>
    </row>
    <row r="4438" spans="8:31" x14ac:dyDescent="0.2">
      <c r="H4438" s="5"/>
      <c r="I4438" s="5"/>
      <c r="J4438" s="5"/>
      <c r="K4438" s="5"/>
      <c r="L4438" s="5"/>
      <c r="M4438" s="5"/>
      <c r="N4438" s="5"/>
      <c r="O4438" s="5"/>
      <c r="P4438" s="5"/>
      <c r="Q4438" s="5"/>
      <c r="R4438" s="5"/>
      <c r="S4438" s="5"/>
      <c r="T4438" s="5"/>
      <c r="U4438" s="5"/>
      <c r="V4438" s="5"/>
      <c r="W4438" s="5"/>
      <c r="X4438" s="5"/>
      <c r="Y4438" s="5"/>
      <c r="Z4438" s="5"/>
      <c r="AA4438" s="5"/>
      <c r="AC4438" t="e">
        <f ca="1">RANK(AB4438,OFFSET($AB$2,0,0,#REF!,1))</f>
        <v>#REF!</v>
      </c>
      <c r="AD4438" s="4" t="e">
        <f>InsurerSize(#REF!)</f>
        <v>#VALUE!</v>
      </c>
      <c r="AE4438" s="4" t="e">
        <f t="shared" si="81"/>
        <v>#VALUE!</v>
      </c>
    </row>
    <row r="4439" spans="8:31" x14ac:dyDescent="0.2">
      <c r="H4439" s="5"/>
      <c r="I4439" s="5"/>
      <c r="J4439" s="5"/>
      <c r="K4439" s="5"/>
      <c r="L4439" s="5"/>
      <c r="M4439" s="5"/>
      <c r="N4439" s="5"/>
      <c r="O4439" s="5"/>
      <c r="P4439" s="5"/>
      <c r="Q4439" s="5"/>
      <c r="R4439" s="5"/>
      <c r="S4439" s="5"/>
      <c r="T4439" s="5"/>
      <c r="U4439" s="5"/>
      <c r="V4439" s="5"/>
      <c r="W4439" s="5"/>
      <c r="X4439" s="5"/>
      <c r="Y4439" s="5"/>
      <c r="Z4439" s="5"/>
      <c r="AA4439" s="5"/>
      <c r="AC4439" t="e">
        <f ca="1">RANK(AB4439,OFFSET($AB$2,0,0,#REF!,1))</f>
        <v>#REF!</v>
      </c>
      <c r="AD4439" s="4" t="e">
        <f>InsurerSize(#REF!)</f>
        <v>#VALUE!</v>
      </c>
      <c r="AE4439" s="4" t="e">
        <f t="shared" si="81"/>
        <v>#VALUE!</v>
      </c>
    </row>
    <row r="4440" spans="8:31" x14ac:dyDescent="0.2">
      <c r="H4440" s="5"/>
      <c r="I4440" s="5"/>
      <c r="J4440" s="5"/>
      <c r="K4440" s="5"/>
      <c r="L4440" s="5"/>
      <c r="M4440" s="5"/>
      <c r="N4440" s="5"/>
      <c r="O4440" s="5"/>
      <c r="P4440" s="5"/>
      <c r="Q4440" s="5"/>
      <c r="R4440" s="5"/>
      <c r="S4440" s="5"/>
      <c r="T4440" s="5"/>
      <c r="U4440" s="5"/>
      <c r="V4440" s="5"/>
      <c r="W4440" s="5"/>
      <c r="X4440" s="5"/>
      <c r="Y4440" s="5"/>
      <c r="Z4440" s="5"/>
      <c r="AA4440" s="5"/>
      <c r="AC4440" t="e">
        <f ca="1">RANK(AB4440,OFFSET($AB$2,0,0,#REF!,1))</f>
        <v>#REF!</v>
      </c>
      <c r="AD4440" s="4" t="e">
        <f>InsurerSize(#REF!)</f>
        <v>#VALUE!</v>
      </c>
      <c r="AE4440" s="4" t="e">
        <f t="shared" si="81"/>
        <v>#VALUE!</v>
      </c>
    </row>
    <row r="4441" spans="8:31" x14ac:dyDescent="0.2">
      <c r="H4441" s="5"/>
      <c r="I4441" s="5"/>
      <c r="J4441" s="5"/>
      <c r="K4441" s="5"/>
      <c r="L4441" s="5"/>
      <c r="M4441" s="5"/>
      <c r="N4441" s="5"/>
      <c r="O4441" s="5"/>
      <c r="P4441" s="5"/>
      <c r="Q4441" s="5"/>
      <c r="R4441" s="5"/>
      <c r="S4441" s="5"/>
      <c r="T4441" s="5"/>
      <c r="U4441" s="5"/>
      <c r="V4441" s="5"/>
      <c r="W4441" s="5"/>
      <c r="X4441" s="5"/>
      <c r="Y4441" s="5"/>
      <c r="Z4441" s="5"/>
      <c r="AA4441" s="5"/>
      <c r="AC4441" t="e">
        <f ca="1">RANK(AB4441,OFFSET($AB$2,0,0,#REF!,1))</f>
        <v>#REF!</v>
      </c>
      <c r="AD4441" s="4" t="e">
        <f>InsurerSize(#REF!)</f>
        <v>#VALUE!</v>
      </c>
      <c r="AE4441" s="4" t="e">
        <f t="shared" si="81"/>
        <v>#VALUE!</v>
      </c>
    </row>
    <row r="4442" spans="8:31" x14ac:dyDescent="0.2">
      <c r="H4442" s="5"/>
      <c r="I4442" s="5"/>
      <c r="J4442" s="5"/>
      <c r="K4442" s="5"/>
      <c r="L4442" s="5"/>
      <c r="M4442" s="5"/>
      <c r="N4442" s="5"/>
      <c r="O4442" s="5"/>
      <c r="P4442" s="5"/>
      <c r="Q4442" s="5"/>
      <c r="R4442" s="5"/>
      <c r="S4442" s="5"/>
      <c r="T4442" s="5"/>
      <c r="U4442" s="5"/>
      <c r="V4442" s="5"/>
      <c r="W4442" s="5"/>
      <c r="X4442" s="5"/>
      <c r="Y4442" s="5"/>
      <c r="Z4442" s="5"/>
      <c r="AA4442" s="5"/>
      <c r="AC4442" t="e">
        <f ca="1">RANK(AB4442,OFFSET($AB$2,0,0,#REF!,1))</f>
        <v>#REF!</v>
      </c>
      <c r="AD4442" s="4" t="e">
        <f>InsurerSize(#REF!)</f>
        <v>#VALUE!</v>
      </c>
      <c r="AE4442" s="4" t="e">
        <f t="shared" si="81"/>
        <v>#VALUE!</v>
      </c>
    </row>
    <row r="4443" spans="8:31" x14ac:dyDescent="0.2">
      <c r="H4443" s="5"/>
      <c r="I4443" s="5"/>
      <c r="J4443" s="5"/>
      <c r="K4443" s="5"/>
      <c r="L4443" s="5"/>
      <c r="M4443" s="5"/>
      <c r="N4443" s="5"/>
      <c r="O4443" s="5"/>
      <c r="P4443" s="5"/>
      <c r="Q4443" s="5"/>
      <c r="R4443" s="5"/>
      <c r="S4443" s="5"/>
      <c r="T4443" s="5"/>
      <c r="U4443" s="5"/>
      <c r="V4443" s="5"/>
      <c r="W4443" s="5"/>
      <c r="X4443" s="5"/>
      <c r="Y4443" s="5"/>
      <c r="Z4443" s="5"/>
      <c r="AA4443" s="5"/>
      <c r="AC4443" t="e">
        <f ca="1">RANK(AB4443,OFFSET($AB$2,0,0,#REF!,1))</f>
        <v>#REF!</v>
      </c>
      <c r="AD4443" s="4" t="e">
        <f>InsurerSize(#REF!)</f>
        <v>#VALUE!</v>
      </c>
      <c r="AE4443" s="4" t="e">
        <f t="shared" si="81"/>
        <v>#VALUE!</v>
      </c>
    </row>
    <row r="4444" spans="8:31" x14ac:dyDescent="0.2">
      <c r="H4444" s="5"/>
      <c r="I4444" s="5"/>
      <c r="J4444" s="5"/>
      <c r="K4444" s="5"/>
      <c r="L4444" s="5"/>
      <c r="M4444" s="5"/>
      <c r="N4444" s="5"/>
      <c r="O4444" s="5"/>
      <c r="P4444" s="5"/>
      <c r="Q4444" s="5"/>
      <c r="R4444" s="5"/>
      <c r="S4444" s="5"/>
      <c r="T4444" s="5"/>
      <c r="U4444" s="5"/>
      <c r="V4444" s="5"/>
      <c r="W4444" s="5"/>
      <c r="X4444" s="5"/>
      <c r="Y4444" s="5"/>
      <c r="Z4444" s="5"/>
      <c r="AA4444" s="5"/>
      <c r="AC4444" t="e">
        <f ca="1">RANK(AB4444,OFFSET($AB$2,0,0,#REF!,1))</f>
        <v>#REF!</v>
      </c>
      <c r="AD4444" s="4" t="e">
        <f>InsurerSize(#REF!)</f>
        <v>#VALUE!</v>
      </c>
      <c r="AE4444" s="4" t="e">
        <f t="shared" si="81"/>
        <v>#VALUE!</v>
      </c>
    </row>
    <row r="4445" spans="8:31" x14ac:dyDescent="0.2">
      <c r="H4445" s="5"/>
      <c r="I4445" s="5"/>
      <c r="J4445" s="5"/>
      <c r="K4445" s="5"/>
      <c r="L4445" s="5"/>
      <c r="M4445" s="5"/>
      <c r="N4445" s="5"/>
      <c r="O4445" s="5"/>
      <c r="P4445" s="5"/>
      <c r="Q4445" s="5"/>
      <c r="R4445" s="5"/>
      <c r="S4445" s="5"/>
      <c r="T4445" s="5"/>
      <c r="U4445" s="5"/>
      <c r="V4445" s="5"/>
      <c r="W4445" s="5"/>
      <c r="X4445" s="5"/>
      <c r="Y4445" s="5"/>
      <c r="Z4445" s="5"/>
      <c r="AA4445" s="5"/>
      <c r="AC4445" t="e">
        <f ca="1">RANK(AB4445,OFFSET($AB$2,0,0,#REF!,1))</f>
        <v>#REF!</v>
      </c>
      <c r="AD4445" s="4" t="e">
        <f>InsurerSize(#REF!)</f>
        <v>#VALUE!</v>
      </c>
      <c r="AE4445" s="4" t="e">
        <f t="shared" si="81"/>
        <v>#VALUE!</v>
      </c>
    </row>
    <row r="4446" spans="8:31" x14ac:dyDescent="0.2">
      <c r="H4446" s="5"/>
      <c r="I4446" s="5"/>
      <c r="J4446" s="5"/>
      <c r="K4446" s="5"/>
      <c r="L4446" s="5"/>
      <c r="M4446" s="5"/>
      <c r="N4446" s="5"/>
      <c r="O4446" s="5"/>
      <c r="P4446" s="5"/>
      <c r="Q4446" s="5"/>
      <c r="R4446" s="5"/>
      <c r="S4446" s="5"/>
      <c r="T4446" s="5"/>
      <c r="U4446" s="5"/>
      <c r="V4446" s="5"/>
      <c r="W4446" s="5"/>
      <c r="X4446" s="5"/>
      <c r="Y4446" s="5"/>
      <c r="Z4446" s="5"/>
      <c r="AA4446" s="5"/>
      <c r="AC4446" t="e">
        <f ca="1">RANK(AB4446,OFFSET($AB$2,0,0,#REF!,1))</f>
        <v>#REF!</v>
      </c>
      <c r="AD4446" s="4" t="e">
        <f>InsurerSize(#REF!)</f>
        <v>#VALUE!</v>
      </c>
      <c r="AE4446" s="4" t="e">
        <f t="shared" si="81"/>
        <v>#VALUE!</v>
      </c>
    </row>
    <row r="4447" spans="8:31" x14ac:dyDescent="0.2">
      <c r="H4447" s="5"/>
      <c r="I4447" s="5"/>
      <c r="J4447" s="5"/>
      <c r="K4447" s="5"/>
      <c r="L4447" s="5"/>
      <c r="M4447" s="5"/>
      <c r="N4447" s="5"/>
      <c r="O4447" s="5"/>
      <c r="P4447" s="5"/>
      <c r="Q4447" s="5"/>
      <c r="R4447" s="5"/>
      <c r="S4447" s="5"/>
      <c r="T4447" s="5"/>
      <c r="U4447" s="5"/>
      <c r="V4447" s="5"/>
      <c r="W4447" s="5"/>
      <c r="X4447" s="5"/>
      <c r="Y4447" s="5"/>
      <c r="Z4447" s="5"/>
      <c r="AA4447" s="5"/>
      <c r="AC4447" t="e">
        <f ca="1">RANK(AB4447,OFFSET($AB$2,0,0,#REF!,1))</f>
        <v>#REF!</v>
      </c>
      <c r="AD4447" s="4" t="e">
        <f>InsurerSize(#REF!)</f>
        <v>#VALUE!</v>
      </c>
      <c r="AE4447" s="4" t="e">
        <f t="shared" si="81"/>
        <v>#VALUE!</v>
      </c>
    </row>
    <row r="4448" spans="8:31" x14ac:dyDescent="0.2">
      <c r="H4448" s="5"/>
      <c r="I4448" s="5"/>
      <c r="J4448" s="5"/>
      <c r="K4448" s="5"/>
      <c r="L4448" s="5"/>
      <c r="M4448" s="5"/>
      <c r="N4448" s="5"/>
      <c r="O4448" s="5"/>
      <c r="P4448" s="5"/>
      <c r="Q4448" s="5"/>
      <c r="R4448" s="5"/>
      <c r="S4448" s="5"/>
      <c r="T4448" s="5"/>
      <c r="U4448" s="5"/>
      <c r="V4448" s="5"/>
      <c r="W4448" s="5"/>
      <c r="X4448" s="5"/>
      <c r="Y4448" s="5"/>
      <c r="Z4448" s="5"/>
      <c r="AA4448" s="5"/>
      <c r="AC4448" t="e">
        <f ca="1">RANK(AB4448,OFFSET($AB$2,0,0,#REF!,1))</f>
        <v>#REF!</v>
      </c>
      <c r="AD4448" s="4" t="e">
        <f>InsurerSize(#REF!)</f>
        <v>#VALUE!</v>
      </c>
      <c r="AE4448" s="4" t="e">
        <f t="shared" si="81"/>
        <v>#VALUE!</v>
      </c>
    </row>
    <row r="4449" spans="8:31" x14ac:dyDescent="0.2">
      <c r="H4449" s="5"/>
      <c r="I4449" s="5"/>
      <c r="J4449" s="5"/>
      <c r="K4449" s="5"/>
      <c r="L4449" s="5"/>
      <c r="M4449" s="5"/>
      <c r="N4449" s="5"/>
      <c r="O4449" s="5"/>
      <c r="P4449" s="5"/>
      <c r="Q4449" s="5"/>
      <c r="R4449" s="5"/>
      <c r="S4449" s="5"/>
      <c r="T4449" s="5"/>
      <c r="U4449" s="5"/>
      <c r="V4449" s="5"/>
      <c r="W4449" s="5"/>
      <c r="X4449" s="5"/>
      <c r="Y4449" s="5"/>
      <c r="Z4449" s="5"/>
      <c r="AA4449" s="5"/>
      <c r="AC4449" t="e">
        <f ca="1">RANK(AB4449,OFFSET($AB$2,0,0,#REF!,1))</f>
        <v>#REF!</v>
      </c>
      <c r="AD4449" s="4" t="e">
        <f>InsurerSize(#REF!)</f>
        <v>#VALUE!</v>
      </c>
      <c r="AE4449" s="4" t="e">
        <f t="shared" si="81"/>
        <v>#VALUE!</v>
      </c>
    </row>
    <row r="4450" spans="8:31" x14ac:dyDescent="0.2">
      <c r="H4450" s="5"/>
      <c r="I4450" s="5"/>
      <c r="J4450" s="5"/>
      <c r="K4450" s="5"/>
      <c r="L4450" s="5"/>
      <c r="M4450" s="5"/>
      <c r="N4450" s="5"/>
      <c r="O4450" s="5"/>
      <c r="P4450" s="5"/>
      <c r="Q4450" s="5"/>
      <c r="R4450" s="5"/>
      <c r="S4450" s="5"/>
      <c r="T4450" s="5"/>
      <c r="U4450" s="5"/>
      <c r="V4450" s="5"/>
      <c r="W4450" s="5"/>
      <c r="X4450" s="5"/>
      <c r="Y4450" s="5"/>
      <c r="Z4450" s="5"/>
      <c r="AA4450" s="5"/>
      <c r="AC4450" t="e">
        <f ca="1">RANK(AB4450,OFFSET($AB$2,0,0,#REF!,1))</f>
        <v>#REF!</v>
      </c>
      <c r="AD4450" s="4" t="e">
        <f>InsurerSize(#REF!)</f>
        <v>#VALUE!</v>
      </c>
      <c r="AE4450" s="4" t="e">
        <f t="shared" si="81"/>
        <v>#VALUE!</v>
      </c>
    </row>
    <row r="4451" spans="8:31" x14ac:dyDescent="0.2">
      <c r="H4451" s="5"/>
      <c r="I4451" s="5"/>
      <c r="J4451" s="5"/>
      <c r="K4451" s="5"/>
      <c r="L4451" s="5"/>
      <c r="M4451" s="5"/>
      <c r="N4451" s="5"/>
      <c r="O4451" s="5"/>
      <c r="P4451" s="5"/>
      <c r="Q4451" s="5"/>
      <c r="R4451" s="5"/>
      <c r="S4451" s="5"/>
      <c r="T4451" s="5"/>
      <c r="U4451" s="5"/>
      <c r="V4451" s="5"/>
      <c r="W4451" s="5"/>
      <c r="X4451" s="5"/>
      <c r="Y4451" s="5"/>
      <c r="Z4451" s="5"/>
      <c r="AA4451" s="5"/>
      <c r="AC4451" t="e">
        <f ca="1">RANK(AB4451,OFFSET($AB$2,0,0,#REF!,1))</f>
        <v>#REF!</v>
      </c>
      <c r="AD4451" s="4" t="e">
        <f>InsurerSize(#REF!)</f>
        <v>#VALUE!</v>
      </c>
      <c r="AE4451" s="4" t="e">
        <f t="shared" si="81"/>
        <v>#VALUE!</v>
      </c>
    </row>
    <row r="4452" spans="8:31" x14ac:dyDescent="0.2">
      <c r="H4452" s="5"/>
      <c r="I4452" s="5"/>
      <c r="J4452" s="5"/>
      <c r="K4452" s="5"/>
      <c r="L4452" s="5"/>
      <c r="M4452" s="5"/>
      <c r="N4452" s="5"/>
      <c r="O4452" s="5"/>
      <c r="P4452" s="5"/>
      <c r="Q4452" s="5"/>
      <c r="R4452" s="5"/>
      <c r="S4452" s="5"/>
      <c r="T4452" s="5"/>
      <c r="U4452" s="5"/>
      <c r="V4452" s="5"/>
      <c r="W4452" s="5"/>
      <c r="X4452" s="5"/>
      <c r="Y4452" s="5"/>
      <c r="Z4452" s="5"/>
      <c r="AA4452" s="5"/>
      <c r="AC4452" t="e">
        <f ca="1">RANK(AB4452,OFFSET($AB$2,0,0,#REF!,1))</f>
        <v>#REF!</v>
      </c>
      <c r="AD4452" s="4" t="e">
        <f>InsurerSize(#REF!)</f>
        <v>#VALUE!</v>
      </c>
      <c r="AE4452" s="4" t="e">
        <f t="shared" si="81"/>
        <v>#VALUE!</v>
      </c>
    </row>
    <row r="4453" spans="8:31" x14ac:dyDescent="0.2">
      <c r="H4453" s="5"/>
      <c r="I4453" s="5"/>
      <c r="J4453" s="5"/>
      <c r="K4453" s="5"/>
      <c r="L4453" s="5"/>
      <c r="M4453" s="5"/>
      <c r="N4453" s="5"/>
      <c r="O4453" s="5"/>
      <c r="P4453" s="5"/>
      <c r="Q4453" s="5"/>
      <c r="R4453" s="5"/>
      <c r="S4453" s="5"/>
      <c r="T4453" s="5"/>
      <c r="U4453" s="5"/>
      <c r="V4453" s="5"/>
      <c r="W4453" s="5"/>
      <c r="X4453" s="5"/>
      <c r="Y4453" s="5"/>
      <c r="Z4453" s="5"/>
      <c r="AA4453" s="5"/>
      <c r="AC4453" t="e">
        <f ca="1">RANK(AB4453,OFFSET($AB$2,0,0,#REF!,1))</f>
        <v>#REF!</v>
      </c>
      <c r="AD4453" s="4" t="e">
        <f>InsurerSize(#REF!)</f>
        <v>#VALUE!</v>
      </c>
      <c r="AE4453" s="4" t="e">
        <f t="shared" si="81"/>
        <v>#VALUE!</v>
      </c>
    </row>
    <row r="4454" spans="8:31" x14ac:dyDescent="0.2">
      <c r="H4454" s="5"/>
      <c r="I4454" s="5"/>
      <c r="J4454" s="5"/>
      <c r="K4454" s="5"/>
      <c r="L4454" s="5"/>
      <c r="M4454" s="5"/>
      <c r="N4454" s="5"/>
      <c r="O4454" s="5"/>
      <c r="P4454" s="5"/>
      <c r="Q4454" s="5"/>
      <c r="R4454" s="5"/>
      <c r="S4454" s="5"/>
      <c r="T4454" s="5"/>
      <c r="U4454" s="5"/>
      <c r="V4454" s="5"/>
      <c r="W4454" s="5"/>
      <c r="X4454" s="5"/>
      <c r="Y4454" s="5"/>
      <c r="Z4454" s="5"/>
      <c r="AA4454" s="5"/>
      <c r="AC4454" t="e">
        <f ca="1">RANK(AB4454,OFFSET($AB$2,0,0,#REF!,1))</f>
        <v>#REF!</v>
      </c>
      <c r="AD4454" s="4" t="e">
        <f>InsurerSize(#REF!)</f>
        <v>#VALUE!</v>
      </c>
      <c r="AE4454" s="4" t="e">
        <f t="shared" si="81"/>
        <v>#VALUE!</v>
      </c>
    </row>
    <row r="4455" spans="8:31" x14ac:dyDescent="0.2">
      <c r="H4455" s="5"/>
      <c r="I4455" s="5"/>
      <c r="J4455" s="5"/>
      <c r="K4455" s="5"/>
      <c r="L4455" s="5"/>
      <c r="M4455" s="5"/>
      <c r="N4455" s="5"/>
      <c r="O4455" s="5"/>
      <c r="P4455" s="5"/>
      <c r="Q4455" s="5"/>
      <c r="R4455" s="5"/>
      <c r="S4455" s="5"/>
      <c r="T4455" s="5"/>
      <c r="U4455" s="5"/>
      <c r="V4455" s="5"/>
      <c r="W4455" s="5"/>
      <c r="X4455" s="5"/>
      <c r="Y4455" s="5"/>
      <c r="Z4455" s="5"/>
      <c r="AA4455" s="5"/>
      <c r="AC4455" t="e">
        <f ca="1">RANK(AB4455,OFFSET($AB$2,0,0,#REF!,1))</f>
        <v>#REF!</v>
      </c>
      <c r="AD4455" s="4" t="e">
        <f>InsurerSize(#REF!)</f>
        <v>#VALUE!</v>
      </c>
      <c r="AE4455" s="4" t="e">
        <f t="shared" si="81"/>
        <v>#VALUE!</v>
      </c>
    </row>
    <row r="4456" spans="8:31" x14ac:dyDescent="0.2">
      <c r="H4456" s="5"/>
      <c r="I4456" s="5"/>
      <c r="J4456" s="5"/>
      <c r="K4456" s="5"/>
      <c r="L4456" s="5"/>
      <c r="M4456" s="5"/>
      <c r="N4456" s="5"/>
      <c r="O4456" s="5"/>
      <c r="P4456" s="5"/>
      <c r="Q4456" s="5"/>
      <c r="R4456" s="5"/>
      <c r="S4456" s="5"/>
      <c r="T4456" s="5"/>
      <c r="U4456" s="5"/>
      <c r="V4456" s="5"/>
      <c r="W4456" s="5"/>
      <c r="X4456" s="5"/>
      <c r="Y4456" s="5"/>
      <c r="Z4456" s="5"/>
      <c r="AA4456" s="5"/>
      <c r="AC4456" t="e">
        <f ca="1">RANK(AB4456,OFFSET($AB$2,0,0,#REF!,1))</f>
        <v>#REF!</v>
      </c>
      <c r="AD4456" s="4" t="e">
        <f>InsurerSize(#REF!)</f>
        <v>#VALUE!</v>
      </c>
      <c r="AE4456" s="4" t="e">
        <f t="shared" si="81"/>
        <v>#VALUE!</v>
      </c>
    </row>
    <row r="4457" spans="8:31" x14ac:dyDescent="0.2">
      <c r="H4457" s="5"/>
      <c r="I4457" s="5"/>
      <c r="J4457" s="5"/>
      <c r="K4457" s="5"/>
      <c r="L4457" s="5"/>
      <c r="M4457" s="5"/>
      <c r="N4457" s="5"/>
      <c r="O4457" s="5"/>
      <c r="P4457" s="5"/>
      <c r="Q4457" s="5"/>
      <c r="R4457" s="5"/>
      <c r="S4457" s="5"/>
      <c r="T4457" s="5"/>
      <c r="U4457" s="5"/>
      <c r="V4457" s="5"/>
      <c r="W4457" s="5"/>
      <c r="X4457" s="5"/>
      <c r="Y4457" s="5"/>
      <c r="Z4457" s="5"/>
      <c r="AA4457" s="5"/>
      <c r="AC4457" t="e">
        <f ca="1">RANK(AB4457,OFFSET($AB$2,0,0,#REF!,1))</f>
        <v>#REF!</v>
      </c>
      <c r="AD4457" s="4" t="e">
        <f>InsurerSize(#REF!)</f>
        <v>#VALUE!</v>
      </c>
      <c r="AE4457" s="4" t="e">
        <f t="shared" si="81"/>
        <v>#VALUE!</v>
      </c>
    </row>
    <row r="4458" spans="8:31" x14ac:dyDescent="0.2">
      <c r="H4458" s="5"/>
      <c r="I4458" s="5"/>
      <c r="J4458" s="5"/>
      <c r="K4458" s="5"/>
      <c r="L4458" s="5"/>
      <c r="M4458" s="5"/>
      <c r="N4458" s="5"/>
      <c r="O4458" s="5"/>
      <c r="P4458" s="5"/>
      <c r="Q4458" s="5"/>
      <c r="R4458" s="5"/>
      <c r="S4458" s="5"/>
      <c r="T4458" s="5"/>
      <c r="U4458" s="5"/>
      <c r="V4458" s="5"/>
      <c r="W4458" s="5"/>
      <c r="X4458" s="5"/>
      <c r="Y4458" s="5"/>
      <c r="Z4458" s="5"/>
      <c r="AA4458" s="5"/>
      <c r="AC4458" t="e">
        <f ca="1">RANK(AB4458,OFFSET($AB$2,0,0,#REF!,1))</f>
        <v>#REF!</v>
      </c>
      <c r="AD4458" s="4" t="e">
        <f>InsurerSize(#REF!)</f>
        <v>#VALUE!</v>
      </c>
      <c r="AE4458" s="4" t="e">
        <f t="shared" si="81"/>
        <v>#VALUE!</v>
      </c>
    </row>
    <row r="4459" spans="8:31" x14ac:dyDescent="0.2">
      <c r="H4459" s="5"/>
      <c r="I4459" s="5"/>
      <c r="J4459" s="5"/>
      <c r="K4459" s="5"/>
      <c r="L4459" s="5"/>
      <c r="M4459" s="5"/>
      <c r="N4459" s="5"/>
      <c r="O4459" s="5"/>
      <c r="P4459" s="5"/>
      <c r="Q4459" s="5"/>
      <c r="R4459" s="5"/>
      <c r="S4459" s="5"/>
      <c r="T4459" s="5"/>
      <c r="U4459" s="5"/>
      <c r="V4459" s="5"/>
      <c r="W4459" s="5"/>
      <c r="X4459" s="5"/>
      <c r="Y4459" s="5"/>
      <c r="Z4459" s="5"/>
      <c r="AA4459" s="5"/>
      <c r="AC4459" t="e">
        <f ca="1">RANK(AB4459,OFFSET($AB$2,0,0,#REF!,1))</f>
        <v>#REF!</v>
      </c>
      <c r="AD4459" s="4" t="e">
        <f>InsurerSize(#REF!)</f>
        <v>#VALUE!</v>
      </c>
      <c r="AE4459" s="4" t="e">
        <f t="shared" si="81"/>
        <v>#VALUE!</v>
      </c>
    </row>
    <row r="4460" spans="8:31" x14ac:dyDescent="0.2">
      <c r="H4460" s="5"/>
      <c r="I4460" s="5"/>
      <c r="J4460" s="5"/>
      <c r="K4460" s="5"/>
      <c r="L4460" s="5"/>
      <c r="M4460" s="5"/>
      <c r="N4460" s="5"/>
      <c r="O4460" s="5"/>
      <c r="P4460" s="5"/>
      <c r="Q4460" s="5"/>
      <c r="R4460" s="5"/>
      <c r="S4460" s="5"/>
      <c r="T4460" s="5"/>
      <c r="U4460" s="5"/>
      <c r="V4460" s="5"/>
      <c r="W4460" s="5"/>
      <c r="X4460" s="5"/>
      <c r="Y4460" s="5"/>
      <c r="Z4460" s="5"/>
      <c r="AA4460" s="5"/>
      <c r="AC4460" t="e">
        <f ca="1">RANK(AB4460,OFFSET($AB$2,0,0,#REF!,1))</f>
        <v>#REF!</v>
      </c>
      <c r="AD4460" s="4" t="e">
        <f>InsurerSize(#REF!)</f>
        <v>#VALUE!</v>
      </c>
      <c r="AE4460" s="4" t="e">
        <f t="shared" si="81"/>
        <v>#VALUE!</v>
      </c>
    </row>
    <row r="4461" spans="8:31" x14ac:dyDescent="0.2">
      <c r="H4461" s="5"/>
      <c r="I4461" s="5"/>
      <c r="J4461" s="5"/>
      <c r="K4461" s="5"/>
      <c r="L4461" s="5"/>
      <c r="M4461" s="5"/>
      <c r="N4461" s="5"/>
      <c r="O4461" s="5"/>
      <c r="P4461" s="5"/>
      <c r="Q4461" s="5"/>
      <c r="R4461" s="5"/>
      <c r="S4461" s="5"/>
      <c r="T4461" s="5"/>
      <c r="U4461" s="5"/>
      <c r="V4461" s="5"/>
      <c r="W4461" s="5"/>
      <c r="X4461" s="5"/>
      <c r="Y4461" s="5"/>
      <c r="Z4461" s="5"/>
      <c r="AA4461" s="5"/>
      <c r="AC4461" t="e">
        <f ca="1">RANK(AB4461,OFFSET($AB$2,0,0,#REF!,1))</f>
        <v>#REF!</v>
      </c>
      <c r="AD4461" s="4" t="e">
        <f>InsurerSize(#REF!)</f>
        <v>#VALUE!</v>
      </c>
      <c r="AE4461" s="4" t="e">
        <f t="shared" si="81"/>
        <v>#VALUE!</v>
      </c>
    </row>
    <row r="4462" spans="8:31" x14ac:dyDescent="0.2">
      <c r="H4462" s="5"/>
      <c r="I4462" s="5"/>
      <c r="J4462" s="5"/>
      <c r="K4462" s="5"/>
      <c r="L4462" s="5"/>
      <c r="M4462" s="5"/>
      <c r="N4462" s="5"/>
      <c r="O4462" s="5"/>
      <c r="P4462" s="5"/>
      <c r="Q4462" s="5"/>
      <c r="R4462" s="5"/>
      <c r="S4462" s="5"/>
      <c r="T4462" s="5"/>
      <c r="U4462" s="5"/>
      <c r="V4462" s="5"/>
      <c r="W4462" s="5"/>
      <c r="X4462" s="5"/>
      <c r="Y4462" s="5"/>
      <c r="Z4462" s="5"/>
      <c r="AA4462" s="5"/>
      <c r="AC4462" t="e">
        <f ca="1">RANK(AB4462,OFFSET($AB$2,0,0,#REF!,1))</f>
        <v>#REF!</v>
      </c>
      <c r="AD4462" s="4" t="e">
        <f>InsurerSize(#REF!)</f>
        <v>#VALUE!</v>
      </c>
      <c r="AE4462" s="4" t="e">
        <f t="shared" si="81"/>
        <v>#VALUE!</v>
      </c>
    </row>
    <row r="4463" spans="8:31" x14ac:dyDescent="0.2">
      <c r="H4463" s="5"/>
      <c r="I4463" s="5"/>
      <c r="J4463" s="5"/>
      <c r="K4463" s="5"/>
      <c r="L4463" s="5"/>
      <c r="M4463" s="5"/>
      <c r="N4463" s="5"/>
      <c r="O4463" s="5"/>
      <c r="P4463" s="5"/>
      <c r="Q4463" s="5"/>
      <c r="R4463" s="5"/>
      <c r="S4463" s="5"/>
      <c r="T4463" s="5"/>
      <c r="U4463" s="5"/>
      <c r="V4463" s="5"/>
      <c r="W4463" s="5"/>
      <c r="X4463" s="5"/>
      <c r="Y4463" s="5"/>
      <c r="Z4463" s="5"/>
      <c r="AA4463" s="5"/>
      <c r="AC4463" t="e">
        <f ca="1">RANK(AB4463,OFFSET($AB$2,0,0,#REF!,1))</f>
        <v>#REF!</v>
      </c>
      <c r="AD4463" s="4" t="e">
        <f>InsurerSize(#REF!)</f>
        <v>#VALUE!</v>
      </c>
      <c r="AE4463" s="4" t="e">
        <f t="shared" si="81"/>
        <v>#VALUE!</v>
      </c>
    </row>
    <row r="4464" spans="8:31" x14ac:dyDescent="0.2">
      <c r="H4464" s="5"/>
      <c r="I4464" s="5"/>
      <c r="J4464" s="5"/>
      <c r="K4464" s="5"/>
      <c r="L4464" s="5"/>
      <c r="M4464" s="5"/>
      <c r="N4464" s="5"/>
      <c r="O4464" s="5"/>
      <c r="P4464" s="5"/>
      <c r="Q4464" s="5"/>
      <c r="R4464" s="5"/>
      <c r="S4464" s="5"/>
      <c r="T4464" s="5"/>
      <c r="U4464" s="5"/>
      <c r="V4464" s="5"/>
      <c r="W4464" s="5"/>
      <c r="X4464" s="5"/>
      <c r="Y4464" s="5"/>
      <c r="Z4464" s="5"/>
      <c r="AA4464" s="5"/>
      <c r="AC4464" t="e">
        <f ca="1">RANK(AB4464,OFFSET($AB$2,0,0,#REF!,1))</f>
        <v>#REF!</v>
      </c>
      <c r="AD4464" s="4" t="e">
        <f>InsurerSize(#REF!)</f>
        <v>#VALUE!</v>
      </c>
      <c r="AE4464" s="4" t="e">
        <f t="shared" si="81"/>
        <v>#VALUE!</v>
      </c>
    </row>
    <row r="4465" spans="8:31" x14ac:dyDescent="0.2">
      <c r="H4465" s="5"/>
      <c r="I4465" s="5"/>
      <c r="J4465" s="5"/>
      <c r="K4465" s="5"/>
      <c r="L4465" s="5"/>
      <c r="M4465" s="5"/>
      <c r="N4465" s="5"/>
      <c r="O4465" s="5"/>
      <c r="P4465" s="5"/>
      <c r="Q4465" s="5"/>
      <c r="R4465" s="5"/>
      <c r="S4465" s="5"/>
      <c r="T4465" s="5"/>
      <c r="U4465" s="5"/>
      <c r="V4465" s="5"/>
      <c r="W4465" s="5"/>
      <c r="X4465" s="5"/>
      <c r="Y4465" s="5"/>
      <c r="Z4465" s="5"/>
      <c r="AA4465" s="5"/>
      <c r="AC4465" t="e">
        <f ca="1">RANK(AB4465,OFFSET($AB$2,0,0,#REF!,1))</f>
        <v>#REF!</v>
      </c>
      <c r="AD4465" s="4" t="e">
        <f>InsurerSize(#REF!)</f>
        <v>#VALUE!</v>
      </c>
      <c r="AE4465" s="4" t="e">
        <f t="shared" si="81"/>
        <v>#VALUE!</v>
      </c>
    </row>
    <row r="4466" spans="8:31" x14ac:dyDescent="0.2">
      <c r="H4466" s="5"/>
      <c r="I4466" s="5"/>
      <c r="J4466" s="5"/>
      <c r="K4466" s="5"/>
      <c r="L4466" s="5"/>
      <c r="M4466" s="5"/>
      <c r="N4466" s="5"/>
      <c r="O4466" s="5"/>
      <c r="P4466" s="5"/>
      <c r="Q4466" s="5"/>
      <c r="R4466" s="5"/>
      <c r="S4466" s="5"/>
      <c r="T4466" s="5"/>
      <c r="U4466" s="5"/>
      <c r="V4466" s="5"/>
      <c r="W4466" s="5"/>
      <c r="X4466" s="5"/>
      <c r="Y4466" s="5"/>
      <c r="Z4466" s="5"/>
      <c r="AA4466" s="5"/>
      <c r="AC4466" t="e">
        <f ca="1">RANK(AB4466,OFFSET($AB$2,0,0,#REF!,1))</f>
        <v>#REF!</v>
      </c>
      <c r="AD4466" s="4" t="e">
        <f>InsurerSize(#REF!)</f>
        <v>#VALUE!</v>
      </c>
      <c r="AE4466" s="4" t="e">
        <f t="shared" si="81"/>
        <v>#VALUE!</v>
      </c>
    </row>
    <row r="4467" spans="8:31" x14ac:dyDescent="0.2">
      <c r="H4467" s="5"/>
      <c r="I4467" s="5"/>
      <c r="J4467" s="5"/>
      <c r="K4467" s="5"/>
      <c r="L4467" s="5"/>
      <c r="M4467" s="5"/>
      <c r="N4467" s="5"/>
      <c r="O4467" s="5"/>
      <c r="P4467" s="5"/>
      <c r="Q4467" s="5"/>
      <c r="R4467" s="5"/>
      <c r="S4467" s="5"/>
      <c r="T4467" s="5"/>
      <c r="U4467" s="5"/>
      <c r="V4467" s="5"/>
      <c r="W4467" s="5"/>
      <c r="X4467" s="5"/>
      <c r="Y4467" s="5"/>
      <c r="Z4467" s="5"/>
      <c r="AA4467" s="5"/>
      <c r="AC4467" t="e">
        <f ca="1">RANK(AB4467,OFFSET($AB$2,0,0,#REF!,1))</f>
        <v>#REF!</v>
      </c>
      <c r="AD4467" s="4" t="e">
        <f>InsurerSize(#REF!)</f>
        <v>#VALUE!</v>
      </c>
      <c r="AE4467" s="4" t="e">
        <f t="shared" si="81"/>
        <v>#VALUE!</v>
      </c>
    </row>
    <row r="4468" spans="8:31" x14ac:dyDescent="0.2">
      <c r="H4468" s="5"/>
      <c r="I4468" s="5"/>
      <c r="J4468" s="5"/>
      <c r="K4468" s="5"/>
      <c r="L4468" s="5"/>
      <c r="M4468" s="5"/>
      <c r="N4468" s="5"/>
      <c r="O4468" s="5"/>
      <c r="P4468" s="5"/>
      <c r="Q4468" s="5"/>
      <c r="R4468" s="5"/>
      <c r="S4468" s="5"/>
      <c r="T4468" s="5"/>
      <c r="U4468" s="5"/>
      <c r="V4468" s="5"/>
      <c r="W4468" s="5"/>
      <c r="X4468" s="5"/>
      <c r="Y4468" s="5"/>
      <c r="Z4468" s="5"/>
      <c r="AA4468" s="5"/>
      <c r="AC4468" t="e">
        <f ca="1">RANK(AB4468,OFFSET($AB$2,0,0,#REF!,1))</f>
        <v>#REF!</v>
      </c>
      <c r="AD4468" s="4" t="e">
        <f>InsurerSize(#REF!)</f>
        <v>#VALUE!</v>
      </c>
      <c r="AE4468" s="4" t="e">
        <f t="shared" si="81"/>
        <v>#VALUE!</v>
      </c>
    </row>
    <row r="4469" spans="8:31" x14ac:dyDescent="0.2">
      <c r="H4469" s="5"/>
      <c r="I4469" s="5"/>
      <c r="J4469" s="5"/>
      <c r="K4469" s="5"/>
      <c r="L4469" s="5"/>
      <c r="M4469" s="5"/>
      <c r="N4469" s="5"/>
      <c r="O4469" s="5"/>
      <c r="P4469" s="5"/>
      <c r="Q4469" s="5"/>
      <c r="R4469" s="5"/>
      <c r="S4469" s="5"/>
      <c r="T4469" s="5"/>
      <c r="U4469" s="5"/>
      <c r="V4469" s="5"/>
      <c r="W4469" s="5"/>
      <c r="X4469" s="5"/>
      <c r="Y4469" s="5"/>
      <c r="Z4469" s="5"/>
      <c r="AA4469" s="5"/>
      <c r="AC4469" t="e">
        <f ca="1">RANK(AB4469,OFFSET($AB$2,0,0,#REF!,1))</f>
        <v>#REF!</v>
      </c>
      <c r="AD4469" s="4" t="e">
        <f>InsurerSize(#REF!)</f>
        <v>#VALUE!</v>
      </c>
      <c r="AE4469" s="4" t="e">
        <f t="shared" si="81"/>
        <v>#VALUE!</v>
      </c>
    </row>
    <row r="4470" spans="8:31" x14ac:dyDescent="0.2">
      <c r="H4470" s="5"/>
      <c r="I4470" s="5"/>
      <c r="J4470" s="5"/>
      <c r="K4470" s="5"/>
      <c r="L4470" s="5"/>
      <c r="M4470" s="5"/>
      <c r="N4470" s="5"/>
      <c r="O4470" s="5"/>
      <c r="P4470" s="5"/>
      <c r="Q4470" s="5"/>
      <c r="R4470" s="5"/>
      <c r="S4470" s="5"/>
      <c r="T4470" s="5"/>
      <c r="U4470" s="5"/>
      <c r="V4470" s="5"/>
      <c r="W4470" s="5"/>
      <c r="X4470" s="5"/>
      <c r="Y4470" s="5"/>
      <c r="Z4470" s="5"/>
      <c r="AA4470" s="5"/>
      <c r="AC4470" t="e">
        <f ca="1">RANK(AB4470,OFFSET($AB$2,0,0,#REF!,1))</f>
        <v>#REF!</v>
      </c>
      <c r="AD4470" s="4" t="e">
        <f>InsurerSize(#REF!)</f>
        <v>#VALUE!</v>
      </c>
      <c r="AE4470" s="4" t="e">
        <f t="shared" si="81"/>
        <v>#VALUE!</v>
      </c>
    </row>
    <row r="4471" spans="8:31" x14ac:dyDescent="0.2">
      <c r="H4471" s="5"/>
      <c r="I4471" s="5"/>
      <c r="J4471" s="5"/>
      <c r="K4471" s="5"/>
      <c r="L4471" s="5"/>
      <c r="M4471" s="5"/>
      <c r="N4471" s="5"/>
      <c r="O4471" s="5"/>
      <c r="P4471" s="5"/>
      <c r="Q4471" s="5"/>
      <c r="R4471" s="5"/>
      <c r="S4471" s="5"/>
      <c r="T4471" s="5"/>
      <c r="U4471" s="5"/>
      <c r="V4471" s="5"/>
      <c r="W4471" s="5"/>
      <c r="X4471" s="5"/>
      <c r="Y4471" s="5"/>
      <c r="Z4471" s="5"/>
      <c r="AA4471" s="5"/>
      <c r="AC4471" t="e">
        <f ca="1">RANK(AB4471,OFFSET($AB$2,0,0,#REF!,1))</f>
        <v>#REF!</v>
      </c>
      <c r="AD4471" s="4" t="e">
        <f>InsurerSize(#REF!)</f>
        <v>#VALUE!</v>
      </c>
      <c r="AE4471" s="4" t="e">
        <f t="shared" si="81"/>
        <v>#VALUE!</v>
      </c>
    </row>
    <row r="4472" spans="8:31" x14ac:dyDescent="0.2">
      <c r="H4472" s="5"/>
      <c r="I4472" s="5"/>
      <c r="J4472" s="5"/>
      <c r="K4472" s="5"/>
      <c r="L4472" s="5"/>
      <c r="M4472" s="5"/>
      <c r="N4472" s="5"/>
      <c r="O4472" s="5"/>
      <c r="P4472" s="5"/>
      <c r="Q4472" s="5"/>
      <c r="R4472" s="5"/>
      <c r="S4472" s="5"/>
      <c r="T4472" s="5"/>
      <c r="U4472" s="5"/>
      <c r="V4472" s="5"/>
      <c r="W4472" s="5"/>
      <c r="X4472" s="5"/>
      <c r="Y4472" s="5"/>
      <c r="Z4472" s="5"/>
      <c r="AA4472" s="5"/>
      <c r="AC4472" t="e">
        <f ca="1">RANK(AB4472,OFFSET($AB$2,0,0,#REF!,1))</f>
        <v>#REF!</v>
      </c>
      <c r="AD4472" s="4" t="e">
        <f>InsurerSize(#REF!)</f>
        <v>#VALUE!</v>
      </c>
      <c r="AE4472" s="4" t="e">
        <f t="shared" si="81"/>
        <v>#VALUE!</v>
      </c>
    </row>
    <row r="4473" spans="8:31" x14ac:dyDescent="0.2">
      <c r="H4473" s="5"/>
      <c r="I4473" s="5"/>
      <c r="J4473" s="5"/>
      <c r="K4473" s="5"/>
      <c r="L4473" s="5"/>
      <c r="M4473" s="5"/>
      <c r="N4473" s="5"/>
      <c r="O4473" s="5"/>
      <c r="P4473" s="5"/>
      <c r="Q4473" s="5"/>
      <c r="R4473" s="5"/>
      <c r="S4473" s="5"/>
      <c r="T4473" s="5"/>
      <c r="U4473" s="5"/>
      <c r="V4473" s="5"/>
      <c r="W4473" s="5"/>
      <c r="X4473" s="5"/>
      <c r="Y4473" s="5"/>
      <c r="Z4473" s="5"/>
      <c r="AA4473" s="5"/>
      <c r="AC4473" t="e">
        <f ca="1">RANK(AB4473,OFFSET($AB$2,0,0,#REF!,1))</f>
        <v>#REF!</v>
      </c>
      <c r="AD4473" s="4" t="e">
        <f>InsurerSize(#REF!)</f>
        <v>#VALUE!</v>
      </c>
      <c r="AE4473" s="4" t="e">
        <f t="shared" si="81"/>
        <v>#VALUE!</v>
      </c>
    </row>
    <row r="4474" spans="8:31" x14ac:dyDescent="0.2">
      <c r="H4474" s="5"/>
      <c r="I4474" s="5"/>
      <c r="J4474" s="5"/>
      <c r="K4474" s="5"/>
      <c r="L4474" s="5"/>
      <c r="M4474" s="5"/>
      <c r="N4474" s="5"/>
      <c r="O4474" s="5"/>
      <c r="P4474" s="5"/>
      <c r="Q4474" s="5"/>
      <c r="R4474" s="5"/>
      <c r="S4474" s="5"/>
      <c r="T4474" s="5"/>
      <c r="U4474" s="5"/>
      <c r="V4474" s="5"/>
      <c r="W4474" s="5"/>
      <c r="X4474" s="5"/>
      <c r="Y4474" s="5"/>
      <c r="Z4474" s="5"/>
      <c r="AA4474" s="5"/>
      <c r="AC4474" t="e">
        <f ca="1">RANK(AB4474,OFFSET($AB$2,0,0,#REF!,1))</f>
        <v>#REF!</v>
      </c>
      <c r="AD4474" s="4" t="e">
        <f>InsurerSize(#REF!)</f>
        <v>#VALUE!</v>
      </c>
      <c r="AE4474" s="4" t="e">
        <f t="shared" si="81"/>
        <v>#VALUE!</v>
      </c>
    </row>
    <row r="4475" spans="8:31" x14ac:dyDescent="0.2">
      <c r="H4475" s="5"/>
      <c r="I4475" s="5"/>
      <c r="J4475" s="5"/>
      <c r="K4475" s="5"/>
      <c r="L4475" s="5"/>
      <c r="M4475" s="5"/>
      <c r="N4475" s="5"/>
      <c r="O4475" s="5"/>
      <c r="P4475" s="5"/>
      <c r="Q4475" s="5"/>
      <c r="R4475" s="5"/>
      <c r="S4475" s="5"/>
      <c r="T4475" s="5"/>
      <c r="U4475" s="5"/>
      <c r="V4475" s="5"/>
      <c r="W4475" s="5"/>
      <c r="X4475" s="5"/>
      <c r="Y4475" s="5"/>
      <c r="Z4475" s="5"/>
      <c r="AA4475" s="5"/>
      <c r="AC4475" t="e">
        <f ca="1">RANK(AB4475,OFFSET($AB$2,0,0,#REF!,1))</f>
        <v>#REF!</v>
      </c>
      <c r="AD4475" s="4" t="e">
        <f>InsurerSize(#REF!)</f>
        <v>#VALUE!</v>
      </c>
      <c r="AE4475" s="4" t="e">
        <f t="shared" si="81"/>
        <v>#VALUE!</v>
      </c>
    </row>
    <row r="4476" spans="8:31" x14ac:dyDescent="0.2">
      <c r="H4476" s="5"/>
      <c r="I4476" s="5"/>
      <c r="J4476" s="5"/>
      <c r="K4476" s="5"/>
      <c r="L4476" s="5"/>
      <c r="M4476" s="5"/>
      <c r="N4476" s="5"/>
      <c r="O4476" s="5"/>
      <c r="P4476" s="5"/>
      <c r="Q4476" s="5"/>
      <c r="R4476" s="5"/>
      <c r="S4476" s="5"/>
      <c r="T4476" s="5"/>
      <c r="U4476" s="5"/>
      <c r="V4476" s="5"/>
      <c r="W4476" s="5"/>
      <c r="X4476" s="5"/>
      <c r="Y4476" s="5"/>
      <c r="Z4476" s="5"/>
      <c r="AA4476" s="5"/>
      <c r="AC4476" t="e">
        <f ca="1">RANK(AB4476,OFFSET($AB$2,0,0,#REF!,1))</f>
        <v>#REF!</v>
      </c>
      <c r="AD4476" s="4" t="e">
        <f>InsurerSize(#REF!)</f>
        <v>#VALUE!</v>
      </c>
      <c r="AE4476" s="4" t="e">
        <f t="shared" si="81"/>
        <v>#VALUE!</v>
      </c>
    </row>
    <row r="4477" spans="8:31" x14ac:dyDescent="0.2">
      <c r="H4477" s="5"/>
      <c r="I4477" s="5"/>
      <c r="J4477" s="5"/>
      <c r="K4477" s="5"/>
      <c r="L4477" s="5"/>
      <c r="M4477" s="5"/>
      <c r="N4477" s="5"/>
      <c r="O4477" s="5"/>
      <c r="P4477" s="5"/>
      <c r="Q4477" s="5"/>
      <c r="R4477" s="5"/>
      <c r="S4477" s="5"/>
      <c r="T4477" s="5"/>
      <c r="U4477" s="5"/>
      <c r="V4477" s="5"/>
      <c r="W4477" s="5"/>
      <c r="X4477" s="5"/>
      <c r="Y4477" s="5"/>
      <c r="Z4477" s="5"/>
      <c r="AA4477" s="5"/>
      <c r="AC4477" t="e">
        <f ca="1">RANK(AB4477,OFFSET($AB$2,0,0,#REF!,1))</f>
        <v>#REF!</v>
      </c>
      <c r="AD4477" s="4" t="e">
        <f>InsurerSize(#REF!)</f>
        <v>#VALUE!</v>
      </c>
      <c r="AE4477" s="4" t="e">
        <f t="shared" si="81"/>
        <v>#VALUE!</v>
      </c>
    </row>
    <row r="4478" spans="8:31" x14ac:dyDescent="0.2">
      <c r="H4478" s="5"/>
      <c r="I4478" s="5"/>
      <c r="J4478" s="5"/>
      <c r="K4478" s="5"/>
      <c r="L4478" s="5"/>
      <c r="M4478" s="5"/>
      <c r="N4478" s="5"/>
      <c r="O4478" s="5"/>
      <c r="P4478" s="5"/>
      <c r="Q4478" s="5"/>
      <c r="R4478" s="5"/>
      <c r="S4478" s="5"/>
      <c r="T4478" s="5"/>
      <c r="U4478" s="5"/>
      <c r="V4478" s="5"/>
      <c r="W4478" s="5"/>
      <c r="X4478" s="5"/>
      <c r="Y4478" s="5"/>
      <c r="Z4478" s="5"/>
      <c r="AA4478" s="5"/>
      <c r="AC4478" t="e">
        <f ca="1">RANK(AB4478,OFFSET($AB$2,0,0,#REF!,1))</f>
        <v>#REF!</v>
      </c>
      <c r="AD4478" s="4" t="e">
        <f>InsurerSize(#REF!)</f>
        <v>#VALUE!</v>
      </c>
      <c r="AE4478" s="4" t="e">
        <f t="shared" si="81"/>
        <v>#VALUE!</v>
      </c>
    </row>
    <row r="4479" spans="8:31" x14ac:dyDescent="0.2">
      <c r="H4479" s="5"/>
      <c r="I4479" s="5"/>
      <c r="J4479" s="5"/>
      <c r="K4479" s="5"/>
      <c r="L4479" s="5"/>
      <c r="M4479" s="5"/>
      <c r="N4479" s="5"/>
      <c r="O4479" s="5"/>
      <c r="P4479" s="5"/>
      <c r="Q4479" s="5"/>
      <c r="R4479" s="5"/>
      <c r="S4479" s="5"/>
      <c r="T4479" s="5"/>
      <c r="U4479" s="5"/>
      <c r="V4479" s="5"/>
      <c r="W4479" s="5"/>
      <c r="X4479" s="5"/>
      <c r="Y4479" s="5"/>
      <c r="Z4479" s="5"/>
      <c r="AA4479" s="5"/>
      <c r="AC4479" t="e">
        <f ca="1">RANK(AB4479,OFFSET($AB$2,0,0,#REF!,1))</f>
        <v>#REF!</v>
      </c>
      <c r="AD4479" s="4" t="e">
        <f>InsurerSize(#REF!)</f>
        <v>#VALUE!</v>
      </c>
      <c r="AE4479" s="4" t="e">
        <f t="shared" si="81"/>
        <v>#VALUE!</v>
      </c>
    </row>
    <row r="4480" spans="8:31" x14ac:dyDescent="0.2">
      <c r="H4480" s="5"/>
      <c r="I4480" s="5"/>
      <c r="J4480" s="5"/>
      <c r="K4480" s="5"/>
      <c r="L4480" s="5"/>
      <c r="M4480" s="5"/>
      <c r="N4480" s="5"/>
      <c r="O4480" s="5"/>
      <c r="P4480" s="5"/>
      <c r="Q4480" s="5"/>
      <c r="R4480" s="5"/>
      <c r="S4480" s="5"/>
      <c r="T4480" s="5"/>
      <c r="U4480" s="5"/>
      <c r="V4480" s="5"/>
      <c r="W4480" s="5"/>
      <c r="X4480" s="5"/>
      <c r="Y4480" s="5"/>
      <c r="Z4480" s="5"/>
      <c r="AA4480" s="5"/>
      <c r="AC4480" t="e">
        <f ca="1">RANK(AB4480,OFFSET($AB$2,0,0,#REF!,1))</f>
        <v>#REF!</v>
      </c>
      <c r="AD4480" s="4" t="e">
        <f>InsurerSize(#REF!)</f>
        <v>#VALUE!</v>
      </c>
      <c r="AE4480" s="4" t="e">
        <f t="shared" si="81"/>
        <v>#VALUE!</v>
      </c>
    </row>
    <row r="4481" spans="8:31" x14ac:dyDescent="0.2">
      <c r="H4481" s="5"/>
      <c r="I4481" s="5"/>
      <c r="J4481" s="5"/>
      <c r="K4481" s="5"/>
      <c r="L4481" s="5"/>
      <c r="M4481" s="5"/>
      <c r="N4481" s="5"/>
      <c r="O4481" s="5"/>
      <c r="P4481" s="5"/>
      <c r="Q4481" s="5"/>
      <c r="R4481" s="5"/>
      <c r="S4481" s="5"/>
      <c r="T4481" s="5"/>
      <c r="U4481" s="5"/>
      <c r="V4481" s="5"/>
      <c r="W4481" s="5"/>
      <c r="X4481" s="5"/>
      <c r="Y4481" s="5"/>
      <c r="Z4481" s="5"/>
      <c r="AA4481" s="5"/>
      <c r="AC4481" t="e">
        <f ca="1">RANK(AB4481,OFFSET($AB$2,0,0,#REF!,1))</f>
        <v>#REF!</v>
      </c>
      <c r="AD4481" s="4" t="e">
        <f>InsurerSize(#REF!)</f>
        <v>#VALUE!</v>
      </c>
      <c r="AE4481" s="4" t="e">
        <f t="shared" si="81"/>
        <v>#VALUE!</v>
      </c>
    </row>
    <row r="4482" spans="8:31" x14ac:dyDescent="0.2">
      <c r="H4482" s="5"/>
      <c r="I4482" s="5"/>
      <c r="J4482" s="5"/>
      <c r="K4482" s="5"/>
      <c r="L4482" s="5"/>
      <c r="M4482" s="5"/>
      <c r="N4482" s="5"/>
      <c r="O4482" s="5"/>
      <c r="P4482" s="5"/>
      <c r="Q4482" s="5"/>
      <c r="R4482" s="5"/>
      <c r="S4482" s="5"/>
      <c r="T4482" s="5"/>
      <c r="U4482" s="5"/>
      <c r="V4482" s="5"/>
      <c r="W4482" s="5"/>
      <c r="X4482" s="5"/>
      <c r="Y4482" s="5"/>
      <c r="Z4482" s="5"/>
      <c r="AA4482" s="5"/>
      <c r="AC4482" t="e">
        <f ca="1">RANK(AB4482,OFFSET($AB$2,0,0,#REF!,1))</f>
        <v>#REF!</v>
      </c>
      <c r="AD4482" s="4" t="e">
        <f>InsurerSize(#REF!)</f>
        <v>#VALUE!</v>
      </c>
      <c r="AE4482" s="4" t="e">
        <f t="shared" ref="AE4482:AE4545" si="82">A4482&amp;AD4482</f>
        <v>#VALUE!</v>
      </c>
    </row>
    <row r="4483" spans="8:31" x14ac:dyDescent="0.2">
      <c r="H4483" s="5"/>
      <c r="I4483" s="5"/>
      <c r="J4483" s="5"/>
      <c r="K4483" s="5"/>
      <c r="L4483" s="5"/>
      <c r="M4483" s="5"/>
      <c r="N4483" s="5"/>
      <c r="O4483" s="5"/>
      <c r="P4483" s="5"/>
      <c r="Q4483" s="5"/>
      <c r="R4483" s="5"/>
      <c r="S4483" s="5"/>
      <c r="T4483" s="5"/>
      <c r="U4483" s="5"/>
      <c r="V4483" s="5"/>
      <c r="W4483" s="5"/>
      <c r="X4483" s="5"/>
      <c r="Y4483" s="5"/>
      <c r="Z4483" s="5"/>
      <c r="AA4483" s="5"/>
      <c r="AC4483" t="e">
        <f ca="1">RANK(AB4483,OFFSET($AB$2,0,0,#REF!,1))</f>
        <v>#REF!</v>
      </c>
      <c r="AD4483" s="4" t="e">
        <f>InsurerSize(#REF!)</f>
        <v>#VALUE!</v>
      </c>
      <c r="AE4483" s="4" t="e">
        <f t="shared" si="82"/>
        <v>#VALUE!</v>
      </c>
    </row>
    <row r="4484" spans="8:31" x14ac:dyDescent="0.2">
      <c r="H4484" s="5"/>
      <c r="I4484" s="5"/>
      <c r="J4484" s="5"/>
      <c r="K4484" s="5"/>
      <c r="L4484" s="5"/>
      <c r="M4484" s="5"/>
      <c r="N4484" s="5"/>
      <c r="O4484" s="5"/>
      <c r="P4484" s="5"/>
      <c r="Q4484" s="5"/>
      <c r="R4484" s="5"/>
      <c r="S4484" s="5"/>
      <c r="T4484" s="5"/>
      <c r="U4484" s="5"/>
      <c r="V4484" s="5"/>
      <c r="W4484" s="5"/>
      <c r="X4484" s="5"/>
      <c r="Y4484" s="5"/>
      <c r="Z4484" s="5"/>
      <c r="AA4484" s="5"/>
      <c r="AC4484" t="e">
        <f ca="1">RANK(AB4484,OFFSET($AB$2,0,0,#REF!,1))</f>
        <v>#REF!</v>
      </c>
      <c r="AD4484" s="4" t="e">
        <f>InsurerSize(#REF!)</f>
        <v>#VALUE!</v>
      </c>
      <c r="AE4484" s="4" t="e">
        <f t="shared" si="82"/>
        <v>#VALUE!</v>
      </c>
    </row>
    <row r="4485" spans="8:31" x14ac:dyDescent="0.2">
      <c r="H4485" s="5"/>
      <c r="I4485" s="5"/>
      <c r="J4485" s="5"/>
      <c r="K4485" s="5"/>
      <c r="L4485" s="5"/>
      <c r="M4485" s="5"/>
      <c r="N4485" s="5"/>
      <c r="O4485" s="5"/>
      <c r="P4485" s="5"/>
      <c r="Q4485" s="5"/>
      <c r="R4485" s="5"/>
      <c r="S4485" s="5"/>
      <c r="T4485" s="5"/>
      <c r="U4485" s="5"/>
      <c r="V4485" s="5"/>
      <c r="W4485" s="5"/>
      <c r="X4485" s="5"/>
      <c r="Y4485" s="5"/>
      <c r="Z4485" s="5"/>
      <c r="AA4485" s="5"/>
      <c r="AC4485" t="e">
        <f ca="1">RANK(AB4485,OFFSET($AB$2,0,0,#REF!,1))</f>
        <v>#REF!</v>
      </c>
      <c r="AD4485" s="4" t="e">
        <f>InsurerSize(#REF!)</f>
        <v>#VALUE!</v>
      </c>
      <c r="AE4485" s="4" t="e">
        <f t="shared" si="82"/>
        <v>#VALUE!</v>
      </c>
    </row>
    <row r="4486" spans="8:31" x14ac:dyDescent="0.2">
      <c r="H4486" s="5"/>
      <c r="I4486" s="5"/>
      <c r="J4486" s="5"/>
      <c r="K4486" s="5"/>
      <c r="L4486" s="5"/>
      <c r="M4486" s="5"/>
      <c r="N4486" s="5"/>
      <c r="O4486" s="5"/>
      <c r="P4486" s="5"/>
      <c r="Q4486" s="5"/>
      <c r="R4486" s="5"/>
      <c r="S4486" s="5"/>
      <c r="T4486" s="5"/>
      <c r="U4486" s="5"/>
      <c r="V4486" s="5"/>
      <c r="W4486" s="5"/>
      <c r="X4486" s="5"/>
      <c r="Y4486" s="5"/>
      <c r="Z4486" s="5"/>
      <c r="AA4486" s="5"/>
      <c r="AC4486" t="e">
        <f ca="1">RANK(AB4486,OFFSET($AB$2,0,0,#REF!,1))</f>
        <v>#REF!</v>
      </c>
      <c r="AD4486" s="4" t="e">
        <f>InsurerSize(#REF!)</f>
        <v>#VALUE!</v>
      </c>
      <c r="AE4486" s="4" t="e">
        <f t="shared" si="82"/>
        <v>#VALUE!</v>
      </c>
    </row>
    <row r="4487" spans="8:31" x14ac:dyDescent="0.2">
      <c r="H4487" s="5"/>
      <c r="I4487" s="5"/>
      <c r="J4487" s="5"/>
      <c r="K4487" s="5"/>
      <c r="L4487" s="5"/>
      <c r="M4487" s="5"/>
      <c r="N4487" s="5"/>
      <c r="O4487" s="5"/>
      <c r="P4487" s="5"/>
      <c r="Q4487" s="5"/>
      <c r="R4487" s="5"/>
      <c r="S4487" s="5"/>
      <c r="T4487" s="5"/>
      <c r="U4487" s="5"/>
      <c r="V4487" s="5"/>
      <c r="W4487" s="5"/>
      <c r="X4487" s="5"/>
      <c r="Y4487" s="5"/>
      <c r="Z4487" s="5"/>
      <c r="AA4487" s="5"/>
      <c r="AC4487" t="e">
        <f ca="1">RANK(AB4487,OFFSET($AB$2,0,0,#REF!,1))</f>
        <v>#REF!</v>
      </c>
      <c r="AD4487" s="4" t="e">
        <f>InsurerSize(#REF!)</f>
        <v>#VALUE!</v>
      </c>
      <c r="AE4487" s="4" t="e">
        <f t="shared" si="82"/>
        <v>#VALUE!</v>
      </c>
    </row>
    <row r="4488" spans="8:31" x14ac:dyDescent="0.2">
      <c r="H4488" s="5"/>
      <c r="I4488" s="5"/>
      <c r="J4488" s="5"/>
      <c r="K4488" s="5"/>
      <c r="L4488" s="5"/>
      <c r="M4488" s="5"/>
      <c r="N4488" s="5"/>
      <c r="O4488" s="5"/>
      <c r="P4488" s="5"/>
      <c r="Q4488" s="5"/>
      <c r="R4488" s="5"/>
      <c r="S4488" s="5"/>
      <c r="T4488" s="5"/>
      <c r="U4488" s="5"/>
      <c r="V4488" s="5"/>
      <c r="W4488" s="5"/>
      <c r="X4488" s="5"/>
      <c r="Y4488" s="5"/>
      <c r="Z4488" s="5"/>
      <c r="AA4488" s="5"/>
      <c r="AC4488" t="e">
        <f ca="1">RANK(AB4488,OFFSET($AB$2,0,0,#REF!,1))</f>
        <v>#REF!</v>
      </c>
      <c r="AD4488" s="4" t="e">
        <f>InsurerSize(#REF!)</f>
        <v>#VALUE!</v>
      </c>
      <c r="AE4488" s="4" t="e">
        <f t="shared" si="82"/>
        <v>#VALUE!</v>
      </c>
    </row>
    <row r="4489" spans="8:31" x14ac:dyDescent="0.2">
      <c r="H4489" s="5"/>
      <c r="I4489" s="5"/>
      <c r="J4489" s="5"/>
      <c r="K4489" s="5"/>
      <c r="L4489" s="5"/>
      <c r="M4489" s="5"/>
      <c r="N4489" s="5"/>
      <c r="O4489" s="5"/>
      <c r="P4489" s="5"/>
      <c r="Q4489" s="5"/>
      <c r="R4489" s="5"/>
      <c r="S4489" s="5"/>
      <c r="T4489" s="5"/>
      <c r="U4489" s="5"/>
      <c r="V4489" s="5"/>
      <c r="W4489" s="5"/>
      <c r="X4489" s="5"/>
      <c r="Y4489" s="5"/>
      <c r="Z4489" s="5"/>
      <c r="AA4489" s="5"/>
      <c r="AC4489" t="e">
        <f ca="1">RANK(AB4489,OFFSET($AB$2,0,0,#REF!,1))</f>
        <v>#REF!</v>
      </c>
      <c r="AD4489" s="4" t="e">
        <f>InsurerSize(#REF!)</f>
        <v>#VALUE!</v>
      </c>
      <c r="AE4489" s="4" t="e">
        <f t="shared" si="82"/>
        <v>#VALUE!</v>
      </c>
    </row>
    <row r="4490" spans="8:31" x14ac:dyDescent="0.2">
      <c r="H4490" s="5"/>
      <c r="I4490" s="5"/>
      <c r="J4490" s="5"/>
      <c r="K4490" s="5"/>
      <c r="L4490" s="5"/>
      <c r="M4490" s="5"/>
      <c r="N4490" s="5"/>
      <c r="O4490" s="5"/>
      <c r="P4490" s="5"/>
      <c r="Q4490" s="5"/>
      <c r="R4490" s="5"/>
      <c r="S4490" s="5"/>
      <c r="T4490" s="5"/>
      <c r="U4490" s="5"/>
      <c r="V4490" s="5"/>
      <c r="W4490" s="5"/>
      <c r="X4490" s="5"/>
      <c r="Y4490" s="5"/>
      <c r="Z4490" s="5"/>
      <c r="AA4490" s="5"/>
      <c r="AC4490" t="e">
        <f ca="1">RANK(AB4490,OFFSET($AB$2,0,0,#REF!,1))</f>
        <v>#REF!</v>
      </c>
      <c r="AD4490" s="4" t="e">
        <f>InsurerSize(#REF!)</f>
        <v>#VALUE!</v>
      </c>
      <c r="AE4490" s="4" t="e">
        <f t="shared" si="82"/>
        <v>#VALUE!</v>
      </c>
    </row>
    <row r="4491" spans="8:31" x14ac:dyDescent="0.2">
      <c r="H4491" s="5"/>
      <c r="I4491" s="5"/>
      <c r="J4491" s="5"/>
      <c r="K4491" s="5"/>
      <c r="L4491" s="5"/>
      <c r="M4491" s="5"/>
      <c r="N4491" s="5"/>
      <c r="O4491" s="5"/>
      <c r="P4491" s="5"/>
      <c r="Q4491" s="5"/>
      <c r="R4491" s="5"/>
      <c r="S4491" s="5"/>
      <c r="T4491" s="5"/>
      <c r="U4491" s="5"/>
      <c r="V4491" s="5"/>
      <c r="W4491" s="5"/>
      <c r="X4491" s="5"/>
      <c r="Y4491" s="5"/>
      <c r="Z4491" s="5"/>
      <c r="AA4491" s="5"/>
      <c r="AC4491" t="e">
        <f ca="1">RANK(AB4491,OFFSET($AB$2,0,0,#REF!,1))</f>
        <v>#REF!</v>
      </c>
      <c r="AD4491" s="4" t="e">
        <f>InsurerSize(#REF!)</f>
        <v>#VALUE!</v>
      </c>
      <c r="AE4491" s="4" t="e">
        <f t="shared" si="82"/>
        <v>#VALUE!</v>
      </c>
    </row>
    <row r="4492" spans="8:31" x14ac:dyDescent="0.2">
      <c r="H4492" s="5"/>
      <c r="I4492" s="5"/>
      <c r="J4492" s="5"/>
      <c r="K4492" s="5"/>
      <c r="L4492" s="5"/>
      <c r="M4492" s="5"/>
      <c r="N4492" s="5"/>
      <c r="O4492" s="5"/>
      <c r="P4492" s="5"/>
      <c r="Q4492" s="5"/>
      <c r="R4492" s="5"/>
      <c r="S4492" s="5"/>
      <c r="T4492" s="5"/>
      <c r="U4492" s="5"/>
      <c r="V4492" s="5"/>
      <c r="W4492" s="5"/>
      <c r="X4492" s="5"/>
      <c r="Y4492" s="5"/>
      <c r="Z4492" s="5"/>
      <c r="AA4492" s="5"/>
      <c r="AC4492" t="e">
        <f ca="1">RANK(AB4492,OFFSET($AB$2,0,0,#REF!,1))</f>
        <v>#REF!</v>
      </c>
      <c r="AD4492" s="4" t="e">
        <f>InsurerSize(#REF!)</f>
        <v>#VALUE!</v>
      </c>
      <c r="AE4492" s="4" t="e">
        <f t="shared" si="82"/>
        <v>#VALUE!</v>
      </c>
    </row>
    <row r="4493" spans="8:31" x14ac:dyDescent="0.2">
      <c r="H4493" s="5"/>
      <c r="I4493" s="5"/>
      <c r="J4493" s="5"/>
      <c r="K4493" s="5"/>
      <c r="L4493" s="5"/>
      <c r="M4493" s="5"/>
      <c r="N4493" s="5"/>
      <c r="O4493" s="5"/>
      <c r="P4493" s="5"/>
      <c r="Q4493" s="5"/>
      <c r="R4493" s="5"/>
      <c r="S4493" s="5"/>
      <c r="T4493" s="5"/>
      <c r="U4493" s="5"/>
      <c r="V4493" s="5"/>
      <c r="W4493" s="5"/>
      <c r="X4493" s="5"/>
      <c r="Y4493" s="5"/>
      <c r="Z4493" s="5"/>
      <c r="AA4493" s="5"/>
      <c r="AC4493" t="e">
        <f ca="1">RANK(AB4493,OFFSET($AB$2,0,0,#REF!,1))</f>
        <v>#REF!</v>
      </c>
      <c r="AD4493" s="4" t="e">
        <f>InsurerSize(#REF!)</f>
        <v>#VALUE!</v>
      </c>
      <c r="AE4493" s="4" t="e">
        <f t="shared" si="82"/>
        <v>#VALUE!</v>
      </c>
    </row>
    <row r="4494" spans="8:31" x14ac:dyDescent="0.2">
      <c r="H4494" s="5"/>
      <c r="I4494" s="5"/>
      <c r="J4494" s="5"/>
      <c r="K4494" s="5"/>
      <c r="L4494" s="5"/>
      <c r="M4494" s="5"/>
      <c r="N4494" s="5"/>
      <c r="O4494" s="5"/>
      <c r="P4494" s="5"/>
      <c r="Q4494" s="5"/>
      <c r="R4494" s="5"/>
      <c r="S4494" s="5"/>
      <c r="T4494" s="5"/>
      <c r="U4494" s="5"/>
      <c r="V4494" s="5"/>
      <c r="W4494" s="5"/>
      <c r="X4494" s="5"/>
      <c r="Y4494" s="5"/>
      <c r="Z4494" s="5"/>
      <c r="AA4494" s="5"/>
      <c r="AC4494" t="e">
        <f ca="1">RANK(AB4494,OFFSET($AB$2,0,0,#REF!,1))</f>
        <v>#REF!</v>
      </c>
      <c r="AD4494" s="4" t="e">
        <f>InsurerSize(#REF!)</f>
        <v>#VALUE!</v>
      </c>
      <c r="AE4494" s="4" t="e">
        <f t="shared" si="82"/>
        <v>#VALUE!</v>
      </c>
    </row>
    <row r="4495" spans="8:31" x14ac:dyDescent="0.2">
      <c r="H4495" s="5"/>
      <c r="I4495" s="5"/>
      <c r="J4495" s="5"/>
      <c r="K4495" s="5"/>
      <c r="L4495" s="5"/>
      <c r="M4495" s="5"/>
      <c r="N4495" s="5"/>
      <c r="O4495" s="5"/>
      <c r="P4495" s="5"/>
      <c r="Q4495" s="5"/>
      <c r="R4495" s="5"/>
      <c r="S4495" s="5"/>
      <c r="T4495" s="5"/>
      <c r="U4495" s="5"/>
      <c r="V4495" s="5"/>
      <c r="W4495" s="5"/>
      <c r="X4495" s="5"/>
      <c r="Y4495" s="5"/>
      <c r="Z4495" s="5"/>
      <c r="AA4495" s="5"/>
      <c r="AC4495" t="e">
        <f ca="1">RANK(AB4495,OFFSET($AB$2,0,0,#REF!,1))</f>
        <v>#REF!</v>
      </c>
      <c r="AD4495" s="4" t="e">
        <f>InsurerSize(#REF!)</f>
        <v>#VALUE!</v>
      </c>
      <c r="AE4495" s="4" t="e">
        <f t="shared" si="82"/>
        <v>#VALUE!</v>
      </c>
    </row>
    <row r="4496" spans="8:31" x14ac:dyDescent="0.2">
      <c r="H4496" s="5"/>
      <c r="I4496" s="5"/>
      <c r="J4496" s="5"/>
      <c r="K4496" s="5"/>
      <c r="L4496" s="5"/>
      <c r="M4496" s="5"/>
      <c r="N4496" s="5"/>
      <c r="O4496" s="5"/>
      <c r="P4496" s="5"/>
      <c r="Q4496" s="5"/>
      <c r="R4496" s="5"/>
      <c r="S4496" s="5"/>
      <c r="T4496" s="5"/>
      <c r="U4496" s="5"/>
      <c r="V4496" s="5"/>
      <c r="W4496" s="5"/>
      <c r="X4496" s="5"/>
      <c r="Y4496" s="5"/>
      <c r="Z4496" s="5"/>
      <c r="AA4496" s="5"/>
      <c r="AC4496" t="e">
        <f ca="1">RANK(AB4496,OFFSET($AB$2,0,0,#REF!,1))</f>
        <v>#REF!</v>
      </c>
      <c r="AD4496" s="4" t="e">
        <f>InsurerSize(#REF!)</f>
        <v>#VALUE!</v>
      </c>
      <c r="AE4496" s="4" t="e">
        <f t="shared" si="82"/>
        <v>#VALUE!</v>
      </c>
    </row>
    <row r="4497" spans="8:31" x14ac:dyDescent="0.2">
      <c r="H4497" s="5"/>
      <c r="I4497" s="5"/>
      <c r="J4497" s="5"/>
      <c r="K4497" s="5"/>
      <c r="L4497" s="5"/>
      <c r="M4497" s="5"/>
      <c r="N4497" s="5"/>
      <c r="O4497" s="5"/>
      <c r="P4497" s="5"/>
      <c r="Q4497" s="5"/>
      <c r="R4497" s="5"/>
      <c r="S4497" s="5"/>
      <c r="T4497" s="5"/>
      <c r="U4497" s="5"/>
      <c r="V4497" s="5"/>
      <c r="W4497" s="5"/>
      <c r="X4497" s="5"/>
      <c r="Y4497" s="5"/>
      <c r="Z4497" s="5"/>
      <c r="AA4497" s="5"/>
      <c r="AC4497" t="e">
        <f ca="1">RANK(AB4497,OFFSET($AB$2,0,0,#REF!,1))</f>
        <v>#REF!</v>
      </c>
      <c r="AD4497" s="4" t="e">
        <f>InsurerSize(#REF!)</f>
        <v>#VALUE!</v>
      </c>
      <c r="AE4497" s="4" t="e">
        <f t="shared" si="82"/>
        <v>#VALUE!</v>
      </c>
    </row>
    <row r="4498" spans="8:31" x14ac:dyDescent="0.2">
      <c r="H4498" s="5"/>
      <c r="I4498" s="5"/>
      <c r="J4498" s="5"/>
      <c r="K4498" s="5"/>
      <c r="L4498" s="5"/>
      <c r="M4498" s="5"/>
      <c r="N4498" s="5"/>
      <c r="O4498" s="5"/>
      <c r="P4498" s="5"/>
      <c r="Q4498" s="5"/>
      <c r="R4498" s="5"/>
      <c r="S4498" s="5"/>
      <c r="T4498" s="5"/>
      <c r="U4498" s="5"/>
      <c r="V4498" s="5"/>
      <c r="W4498" s="5"/>
      <c r="X4498" s="5"/>
      <c r="Y4498" s="5"/>
      <c r="Z4498" s="5"/>
      <c r="AA4498" s="5"/>
      <c r="AC4498" t="e">
        <f ca="1">RANK(AB4498,OFFSET($AB$2,0,0,#REF!,1))</f>
        <v>#REF!</v>
      </c>
      <c r="AD4498" s="4" t="e">
        <f>InsurerSize(#REF!)</f>
        <v>#VALUE!</v>
      </c>
      <c r="AE4498" s="4" t="e">
        <f t="shared" si="82"/>
        <v>#VALUE!</v>
      </c>
    </row>
    <row r="4499" spans="8:31" x14ac:dyDescent="0.2">
      <c r="H4499" s="5"/>
      <c r="I4499" s="5"/>
      <c r="J4499" s="5"/>
      <c r="K4499" s="5"/>
      <c r="L4499" s="5"/>
      <c r="M4499" s="5"/>
      <c r="N4499" s="5"/>
      <c r="O4499" s="5"/>
      <c r="P4499" s="5"/>
      <c r="Q4499" s="5"/>
      <c r="R4499" s="5"/>
      <c r="S4499" s="5"/>
      <c r="T4499" s="5"/>
      <c r="U4499" s="5"/>
      <c r="V4499" s="5"/>
      <c r="W4499" s="5"/>
      <c r="X4499" s="5"/>
      <c r="Y4499" s="5"/>
      <c r="Z4499" s="5"/>
      <c r="AA4499" s="5"/>
      <c r="AC4499" t="e">
        <f ca="1">RANK(AB4499,OFFSET($AB$2,0,0,#REF!,1))</f>
        <v>#REF!</v>
      </c>
      <c r="AD4499" s="4" t="e">
        <f>InsurerSize(#REF!)</f>
        <v>#VALUE!</v>
      </c>
      <c r="AE4499" s="4" t="e">
        <f t="shared" si="82"/>
        <v>#VALUE!</v>
      </c>
    </row>
    <row r="4500" spans="8:31" x14ac:dyDescent="0.2">
      <c r="H4500" s="5"/>
      <c r="I4500" s="5"/>
      <c r="J4500" s="5"/>
      <c r="K4500" s="5"/>
      <c r="L4500" s="5"/>
      <c r="M4500" s="5"/>
      <c r="N4500" s="5"/>
      <c r="O4500" s="5"/>
      <c r="P4500" s="5"/>
      <c r="Q4500" s="5"/>
      <c r="R4500" s="5"/>
      <c r="S4500" s="5"/>
      <c r="T4500" s="5"/>
      <c r="U4500" s="5"/>
      <c r="V4500" s="5"/>
      <c r="W4500" s="5"/>
      <c r="X4500" s="5"/>
      <c r="Y4500" s="5"/>
      <c r="Z4500" s="5"/>
      <c r="AA4500" s="5"/>
      <c r="AC4500" t="e">
        <f ca="1">RANK(AB4500,OFFSET($AB$2,0,0,#REF!,1))</f>
        <v>#REF!</v>
      </c>
      <c r="AD4500" s="4" t="e">
        <f>InsurerSize(#REF!)</f>
        <v>#VALUE!</v>
      </c>
      <c r="AE4500" s="4" t="e">
        <f t="shared" si="82"/>
        <v>#VALUE!</v>
      </c>
    </row>
    <row r="4501" spans="8:31" x14ac:dyDescent="0.2">
      <c r="H4501" s="5"/>
      <c r="I4501" s="5"/>
      <c r="J4501" s="5"/>
      <c r="K4501" s="5"/>
      <c r="L4501" s="5"/>
      <c r="M4501" s="5"/>
      <c r="N4501" s="5"/>
      <c r="O4501" s="5"/>
      <c r="P4501" s="5"/>
      <c r="Q4501" s="5"/>
      <c r="R4501" s="5"/>
      <c r="S4501" s="5"/>
      <c r="T4501" s="5"/>
      <c r="U4501" s="5"/>
      <c r="V4501" s="5"/>
      <c r="W4501" s="5"/>
      <c r="X4501" s="5"/>
      <c r="Y4501" s="5"/>
      <c r="Z4501" s="5"/>
      <c r="AA4501" s="5"/>
      <c r="AC4501" t="e">
        <f ca="1">RANK(AB4501,OFFSET($AB$2,0,0,#REF!,1))</f>
        <v>#REF!</v>
      </c>
      <c r="AD4501" s="4" t="e">
        <f>InsurerSize(#REF!)</f>
        <v>#VALUE!</v>
      </c>
      <c r="AE4501" s="4" t="e">
        <f t="shared" si="82"/>
        <v>#VALUE!</v>
      </c>
    </row>
    <row r="4502" spans="8:31" x14ac:dyDescent="0.2">
      <c r="H4502" s="5"/>
      <c r="I4502" s="5"/>
      <c r="J4502" s="5"/>
      <c r="K4502" s="5"/>
      <c r="L4502" s="5"/>
      <c r="M4502" s="5"/>
      <c r="N4502" s="5"/>
      <c r="O4502" s="5"/>
      <c r="P4502" s="5"/>
      <c r="Q4502" s="5"/>
      <c r="R4502" s="5"/>
      <c r="S4502" s="5"/>
      <c r="T4502" s="5"/>
      <c r="U4502" s="5"/>
      <c r="V4502" s="5"/>
      <c r="W4502" s="5"/>
      <c r="X4502" s="5"/>
      <c r="Y4502" s="5"/>
      <c r="Z4502" s="5"/>
      <c r="AA4502" s="5"/>
      <c r="AC4502" t="e">
        <f ca="1">RANK(AB4502,OFFSET($AB$2,0,0,#REF!,1))</f>
        <v>#REF!</v>
      </c>
      <c r="AD4502" s="4" t="e">
        <f>InsurerSize(#REF!)</f>
        <v>#VALUE!</v>
      </c>
      <c r="AE4502" s="4" t="e">
        <f t="shared" si="82"/>
        <v>#VALUE!</v>
      </c>
    </row>
    <row r="4503" spans="8:31" x14ac:dyDescent="0.2">
      <c r="H4503" s="5"/>
      <c r="I4503" s="5"/>
      <c r="J4503" s="5"/>
      <c r="K4503" s="5"/>
      <c r="L4503" s="5"/>
      <c r="M4503" s="5"/>
      <c r="N4503" s="5"/>
      <c r="O4503" s="5"/>
      <c r="P4503" s="5"/>
      <c r="Q4503" s="5"/>
      <c r="R4503" s="5"/>
      <c r="S4503" s="5"/>
      <c r="T4503" s="5"/>
      <c r="U4503" s="5"/>
      <c r="V4503" s="5"/>
      <c r="W4503" s="5"/>
      <c r="X4503" s="5"/>
      <c r="Y4503" s="5"/>
      <c r="Z4503" s="5"/>
      <c r="AA4503" s="5"/>
      <c r="AC4503" t="e">
        <f ca="1">RANK(AB4503,OFFSET($AB$2,0,0,#REF!,1))</f>
        <v>#REF!</v>
      </c>
      <c r="AD4503" s="4" t="e">
        <f>InsurerSize(#REF!)</f>
        <v>#VALUE!</v>
      </c>
      <c r="AE4503" s="4" t="e">
        <f t="shared" si="82"/>
        <v>#VALUE!</v>
      </c>
    </row>
    <row r="4504" spans="8:31" x14ac:dyDescent="0.2">
      <c r="H4504" s="5"/>
      <c r="I4504" s="5"/>
      <c r="J4504" s="5"/>
      <c r="K4504" s="5"/>
      <c r="L4504" s="5"/>
      <c r="M4504" s="5"/>
      <c r="N4504" s="5"/>
      <c r="O4504" s="5"/>
      <c r="P4504" s="5"/>
      <c r="Q4504" s="5"/>
      <c r="R4504" s="5"/>
      <c r="S4504" s="5"/>
      <c r="T4504" s="5"/>
      <c r="U4504" s="5"/>
      <c r="V4504" s="5"/>
      <c r="W4504" s="5"/>
      <c r="X4504" s="5"/>
      <c r="Y4504" s="5"/>
      <c r="Z4504" s="5"/>
      <c r="AA4504" s="5"/>
      <c r="AC4504" t="e">
        <f ca="1">RANK(AB4504,OFFSET($AB$2,0,0,#REF!,1))</f>
        <v>#REF!</v>
      </c>
      <c r="AD4504" s="4" t="e">
        <f>InsurerSize(#REF!)</f>
        <v>#VALUE!</v>
      </c>
      <c r="AE4504" s="4" t="e">
        <f t="shared" si="82"/>
        <v>#VALUE!</v>
      </c>
    </row>
    <row r="4505" spans="8:31" x14ac:dyDescent="0.2">
      <c r="H4505" s="5"/>
      <c r="I4505" s="5"/>
      <c r="J4505" s="5"/>
      <c r="K4505" s="5"/>
      <c r="L4505" s="5"/>
      <c r="M4505" s="5"/>
      <c r="N4505" s="5"/>
      <c r="O4505" s="5"/>
      <c r="P4505" s="5"/>
      <c r="Q4505" s="5"/>
      <c r="R4505" s="5"/>
      <c r="S4505" s="5"/>
      <c r="T4505" s="5"/>
      <c r="U4505" s="5"/>
      <c r="V4505" s="5"/>
      <c r="W4505" s="5"/>
      <c r="X4505" s="5"/>
      <c r="Y4505" s="5"/>
      <c r="Z4505" s="5"/>
      <c r="AA4505" s="5"/>
      <c r="AC4505" t="e">
        <f ca="1">RANK(AB4505,OFFSET($AB$2,0,0,#REF!,1))</f>
        <v>#REF!</v>
      </c>
      <c r="AD4505" s="4" t="e">
        <f>InsurerSize(#REF!)</f>
        <v>#VALUE!</v>
      </c>
      <c r="AE4505" s="4" t="e">
        <f t="shared" si="82"/>
        <v>#VALUE!</v>
      </c>
    </row>
    <row r="4506" spans="8:31" x14ac:dyDescent="0.2">
      <c r="H4506" s="5"/>
      <c r="I4506" s="5"/>
      <c r="J4506" s="5"/>
      <c r="K4506" s="5"/>
      <c r="L4506" s="5"/>
      <c r="M4506" s="5"/>
      <c r="N4506" s="5"/>
      <c r="O4506" s="5"/>
      <c r="P4506" s="5"/>
      <c r="Q4506" s="5"/>
      <c r="R4506" s="5"/>
      <c r="S4506" s="5"/>
      <c r="T4506" s="5"/>
      <c r="U4506" s="5"/>
      <c r="V4506" s="5"/>
      <c r="W4506" s="5"/>
      <c r="X4506" s="5"/>
      <c r="Y4506" s="5"/>
      <c r="Z4506" s="5"/>
      <c r="AA4506" s="5"/>
      <c r="AC4506" t="e">
        <f ca="1">RANK(AB4506,OFFSET($AB$2,0,0,#REF!,1))</f>
        <v>#REF!</v>
      </c>
      <c r="AD4506" s="4" t="e">
        <f>InsurerSize(#REF!)</f>
        <v>#VALUE!</v>
      </c>
      <c r="AE4506" s="4" t="e">
        <f t="shared" si="82"/>
        <v>#VALUE!</v>
      </c>
    </row>
    <row r="4507" spans="8:31" x14ac:dyDescent="0.2">
      <c r="H4507" s="5"/>
      <c r="I4507" s="5"/>
      <c r="J4507" s="5"/>
      <c r="K4507" s="5"/>
      <c r="L4507" s="5"/>
      <c r="M4507" s="5"/>
      <c r="N4507" s="5"/>
      <c r="O4507" s="5"/>
      <c r="P4507" s="5"/>
      <c r="Q4507" s="5"/>
      <c r="R4507" s="5"/>
      <c r="S4507" s="5"/>
      <c r="T4507" s="5"/>
      <c r="U4507" s="5"/>
      <c r="V4507" s="5"/>
      <c r="W4507" s="5"/>
      <c r="X4507" s="5"/>
      <c r="Y4507" s="5"/>
      <c r="Z4507" s="5"/>
      <c r="AA4507" s="5"/>
      <c r="AC4507" t="e">
        <f ca="1">RANK(AB4507,OFFSET($AB$2,0,0,#REF!,1))</f>
        <v>#REF!</v>
      </c>
      <c r="AD4507" s="4" t="e">
        <f>InsurerSize(#REF!)</f>
        <v>#VALUE!</v>
      </c>
      <c r="AE4507" s="4" t="e">
        <f t="shared" si="82"/>
        <v>#VALUE!</v>
      </c>
    </row>
    <row r="4508" spans="8:31" x14ac:dyDescent="0.2">
      <c r="H4508" s="5"/>
      <c r="I4508" s="5"/>
      <c r="J4508" s="5"/>
      <c r="K4508" s="5"/>
      <c r="L4508" s="5"/>
      <c r="M4508" s="5"/>
      <c r="N4508" s="5"/>
      <c r="O4508" s="5"/>
      <c r="P4508" s="5"/>
      <c r="Q4508" s="5"/>
      <c r="R4508" s="5"/>
      <c r="S4508" s="5"/>
      <c r="T4508" s="5"/>
      <c r="U4508" s="5"/>
      <c r="V4508" s="5"/>
      <c r="W4508" s="5"/>
      <c r="X4508" s="5"/>
      <c r="Y4508" s="5"/>
      <c r="Z4508" s="5"/>
      <c r="AA4508" s="5"/>
      <c r="AC4508" t="e">
        <f ca="1">RANK(AB4508,OFFSET($AB$2,0,0,#REF!,1))</f>
        <v>#REF!</v>
      </c>
      <c r="AD4508" s="4" t="e">
        <f>InsurerSize(#REF!)</f>
        <v>#VALUE!</v>
      </c>
      <c r="AE4508" s="4" t="e">
        <f t="shared" si="82"/>
        <v>#VALUE!</v>
      </c>
    </row>
    <row r="4509" spans="8:31" x14ac:dyDescent="0.2">
      <c r="H4509" s="5"/>
      <c r="I4509" s="5"/>
      <c r="J4509" s="5"/>
      <c r="K4509" s="5"/>
      <c r="L4509" s="5"/>
      <c r="M4509" s="5"/>
      <c r="N4509" s="5"/>
      <c r="O4509" s="5"/>
      <c r="P4509" s="5"/>
      <c r="Q4509" s="5"/>
      <c r="R4509" s="5"/>
      <c r="S4509" s="5"/>
      <c r="T4509" s="5"/>
      <c r="U4509" s="5"/>
      <c r="V4509" s="5"/>
      <c r="W4509" s="5"/>
      <c r="X4509" s="5"/>
      <c r="Y4509" s="5"/>
      <c r="Z4509" s="5"/>
      <c r="AA4509" s="5"/>
      <c r="AC4509" t="e">
        <f ca="1">RANK(AB4509,OFFSET($AB$2,0,0,#REF!,1))</f>
        <v>#REF!</v>
      </c>
      <c r="AD4509" s="4" t="e">
        <f>InsurerSize(#REF!)</f>
        <v>#VALUE!</v>
      </c>
      <c r="AE4509" s="4" t="e">
        <f t="shared" si="82"/>
        <v>#VALUE!</v>
      </c>
    </row>
    <row r="4510" spans="8:31" x14ac:dyDescent="0.2">
      <c r="H4510" s="5"/>
      <c r="I4510" s="5"/>
      <c r="J4510" s="5"/>
      <c r="K4510" s="5"/>
      <c r="L4510" s="5"/>
      <c r="M4510" s="5"/>
      <c r="N4510" s="5"/>
      <c r="O4510" s="5"/>
      <c r="P4510" s="5"/>
      <c r="Q4510" s="5"/>
      <c r="R4510" s="5"/>
      <c r="S4510" s="5"/>
      <c r="T4510" s="5"/>
      <c r="U4510" s="5"/>
      <c r="V4510" s="5"/>
      <c r="W4510" s="5"/>
      <c r="X4510" s="5"/>
      <c r="Y4510" s="5"/>
      <c r="Z4510" s="5"/>
      <c r="AA4510" s="5"/>
      <c r="AC4510" t="e">
        <f ca="1">RANK(AB4510,OFFSET($AB$2,0,0,#REF!,1))</f>
        <v>#REF!</v>
      </c>
      <c r="AD4510" s="4" t="e">
        <f>InsurerSize(#REF!)</f>
        <v>#VALUE!</v>
      </c>
      <c r="AE4510" s="4" t="e">
        <f t="shared" si="82"/>
        <v>#VALUE!</v>
      </c>
    </row>
    <row r="4511" spans="8:31" x14ac:dyDescent="0.2">
      <c r="H4511" s="5"/>
      <c r="I4511" s="5"/>
      <c r="J4511" s="5"/>
      <c r="K4511" s="5"/>
      <c r="L4511" s="5"/>
      <c r="M4511" s="5"/>
      <c r="N4511" s="5"/>
      <c r="O4511" s="5"/>
      <c r="P4511" s="5"/>
      <c r="Q4511" s="5"/>
      <c r="R4511" s="5"/>
      <c r="S4511" s="5"/>
      <c r="T4511" s="5"/>
      <c r="U4511" s="5"/>
      <c r="V4511" s="5"/>
      <c r="W4511" s="5"/>
      <c r="X4511" s="5"/>
      <c r="Y4511" s="5"/>
      <c r="Z4511" s="5"/>
      <c r="AA4511" s="5"/>
      <c r="AC4511" t="e">
        <f ca="1">RANK(AB4511,OFFSET($AB$2,0,0,#REF!,1))</f>
        <v>#REF!</v>
      </c>
      <c r="AD4511" s="4" t="e">
        <f>InsurerSize(#REF!)</f>
        <v>#VALUE!</v>
      </c>
      <c r="AE4511" s="4" t="e">
        <f t="shared" si="82"/>
        <v>#VALUE!</v>
      </c>
    </row>
    <row r="4512" spans="8:31" x14ac:dyDescent="0.2">
      <c r="H4512" s="5"/>
      <c r="I4512" s="5"/>
      <c r="J4512" s="5"/>
      <c r="K4512" s="5"/>
      <c r="L4512" s="5"/>
      <c r="M4512" s="5"/>
      <c r="N4512" s="5"/>
      <c r="O4512" s="5"/>
      <c r="P4512" s="5"/>
      <c r="Q4512" s="5"/>
      <c r="R4512" s="5"/>
      <c r="S4512" s="5"/>
      <c r="T4512" s="5"/>
      <c r="U4512" s="5"/>
      <c r="V4512" s="5"/>
      <c r="W4512" s="5"/>
      <c r="X4512" s="5"/>
      <c r="Y4512" s="5"/>
      <c r="Z4512" s="5"/>
      <c r="AA4512" s="5"/>
      <c r="AC4512" t="e">
        <f ca="1">RANK(AB4512,OFFSET($AB$2,0,0,#REF!,1))</f>
        <v>#REF!</v>
      </c>
      <c r="AD4512" s="4" t="e">
        <f>InsurerSize(#REF!)</f>
        <v>#VALUE!</v>
      </c>
      <c r="AE4512" s="4" t="e">
        <f t="shared" si="82"/>
        <v>#VALUE!</v>
      </c>
    </row>
    <row r="4513" spans="8:31" x14ac:dyDescent="0.2">
      <c r="H4513" s="5"/>
      <c r="I4513" s="5"/>
      <c r="J4513" s="5"/>
      <c r="K4513" s="5"/>
      <c r="L4513" s="5"/>
      <c r="M4513" s="5"/>
      <c r="N4513" s="5"/>
      <c r="O4513" s="5"/>
      <c r="P4513" s="5"/>
      <c r="Q4513" s="5"/>
      <c r="R4513" s="5"/>
      <c r="S4513" s="5"/>
      <c r="T4513" s="5"/>
      <c r="U4513" s="5"/>
      <c r="V4513" s="5"/>
      <c r="W4513" s="5"/>
      <c r="X4513" s="5"/>
      <c r="Y4513" s="5"/>
      <c r="Z4513" s="5"/>
      <c r="AA4513" s="5"/>
      <c r="AC4513" t="e">
        <f ca="1">RANK(AB4513,OFFSET($AB$2,0,0,#REF!,1))</f>
        <v>#REF!</v>
      </c>
      <c r="AD4513" s="4" t="e">
        <f>InsurerSize(#REF!)</f>
        <v>#VALUE!</v>
      </c>
      <c r="AE4513" s="4" t="e">
        <f t="shared" si="82"/>
        <v>#VALUE!</v>
      </c>
    </row>
    <row r="4514" spans="8:31" x14ac:dyDescent="0.2">
      <c r="H4514" s="5"/>
      <c r="I4514" s="5"/>
      <c r="J4514" s="5"/>
      <c r="K4514" s="5"/>
      <c r="L4514" s="5"/>
      <c r="M4514" s="5"/>
      <c r="N4514" s="5"/>
      <c r="O4514" s="5"/>
      <c r="P4514" s="5"/>
      <c r="Q4514" s="5"/>
      <c r="R4514" s="5"/>
      <c r="S4514" s="5"/>
      <c r="T4514" s="5"/>
      <c r="U4514" s="5"/>
      <c r="V4514" s="5"/>
      <c r="W4514" s="5"/>
      <c r="X4514" s="5"/>
      <c r="Y4514" s="5"/>
      <c r="Z4514" s="5"/>
      <c r="AA4514" s="5"/>
      <c r="AC4514" t="e">
        <f ca="1">RANK(AB4514,OFFSET($AB$2,0,0,#REF!,1))</f>
        <v>#REF!</v>
      </c>
      <c r="AD4514" s="4" t="e">
        <f>InsurerSize(#REF!)</f>
        <v>#VALUE!</v>
      </c>
      <c r="AE4514" s="4" t="e">
        <f t="shared" si="82"/>
        <v>#VALUE!</v>
      </c>
    </row>
    <row r="4515" spans="8:31" x14ac:dyDescent="0.2">
      <c r="H4515" s="5"/>
      <c r="I4515" s="5"/>
      <c r="J4515" s="5"/>
      <c r="K4515" s="5"/>
      <c r="L4515" s="5"/>
      <c r="M4515" s="5"/>
      <c r="N4515" s="5"/>
      <c r="O4515" s="5"/>
      <c r="P4515" s="5"/>
      <c r="Q4515" s="5"/>
      <c r="R4515" s="5"/>
      <c r="S4515" s="5"/>
      <c r="T4515" s="5"/>
      <c r="U4515" s="5"/>
      <c r="V4515" s="5"/>
      <c r="W4515" s="5"/>
      <c r="X4515" s="5"/>
      <c r="Y4515" s="5"/>
      <c r="Z4515" s="5"/>
      <c r="AA4515" s="5"/>
      <c r="AC4515" t="e">
        <f ca="1">RANK(AB4515,OFFSET($AB$2,0,0,#REF!,1))</f>
        <v>#REF!</v>
      </c>
      <c r="AD4515" s="4" t="e">
        <f>InsurerSize(#REF!)</f>
        <v>#VALUE!</v>
      </c>
      <c r="AE4515" s="4" t="e">
        <f t="shared" si="82"/>
        <v>#VALUE!</v>
      </c>
    </row>
    <row r="4516" spans="8:31" x14ac:dyDescent="0.2">
      <c r="H4516" s="5"/>
      <c r="I4516" s="5"/>
      <c r="J4516" s="5"/>
      <c r="K4516" s="5"/>
      <c r="L4516" s="5"/>
      <c r="M4516" s="5"/>
      <c r="N4516" s="5"/>
      <c r="O4516" s="5"/>
      <c r="P4516" s="5"/>
      <c r="Q4516" s="5"/>
      <c r="R4516" s="5"/>
      <c r="S4516" s="5"/>
      <c r="T4516" s="5"/>
      <c r="U4516" s="5"/>
      <c r="V4516" s="5"/>
      <c r="W4516" s="5"/>
      <c r="X4516" s="5"/>
      <c r="Y4516" s="5"/>
      <c r="Z4516" s="5"/>
      <c r="AA4516" s="5"/>
      <c r="AC4516" t="e">
        <f ca="1">RANK(AB4516,OFFSET($AB$2,0,0,#REF!,1))</f>
        <v>#REF!</v>
      </c>
      <c r="AD4516" s="4" t="e">
        <f>InsurerSize(#REF!)</f>
        <v>#VALUE!</v>
      </c>
      <c r="AE4516" s="4" t="e">
        <f t="shared" si="82"/>
        <v>#VALUE!</v>
      </c>
    </row>
    <row r="4517" spans="8:31" x14ac:dyDescent="0.2">
      <c r="H4517" s="5"/>
      <c r="I4517" s="5"/>
      <c r="J4517" s="5"/>
      <c r="K4517" s="5"/>
      <c r="L4517" s="5"/>
      <c r="M4517" s="5"/>
      <c r="N4517" s="5"/>
      <c r="O4517" s="5"/>
      <c r="P4517" s="5"/>
      <c r="Q4517" s="5"/>
      <c r="R4517" s="5"/>
      <c r="S4517" s="5"/>
      <c r="T4517" s="5"/>
      <c r="U4517" s="5"/>
      <c r="V4517" s="5"/>
      <c r="W4517" s="5"/>
      <c r="X4517" s="5"/>
      <c r="Y4517" s="5"/>
      <c r="Z4517" s="5"/>
      <c r="AA4517" s="5"/>
      <c r="AC4517" t="e">
        <f ca="1">RANK(AB4517,OFFSET($AB$2,0,0,#REF!,1))</f>
        <v>#REF!</v>
      </c>
      <c r="AD4517" s="4" t="e">
        <f>InsurerSize(#REF!)</f>
        <v>#VALUE!</v>
      </c>
      <c r="AE4517" s="4" t="e">
        <f t="shared" si="82"/>
        <v>#VALUE!</v>
      </c>
    </row>
    <row r="4518" spans="8:31" x14ac:dyDescent="0.2">
      <c r="H4518" s="5"/>
      <c r="I4518" s="5"/>
      <c r="J4518" s="5"/>
      <c r="K4518" s="5"/>
      <c r="L4518" s="5"/>
      <c r="M4518" s="5"/>
      <c r="N4518" s="5"/>
      <c r="O4518" s="5"/>
      <c r="P4518" s="5"/>
      <c r="Q4518" s="5"/>
      <c r="R4518" s="5"/>
      <c r="S4518" s="5"/>
      <c r="T4518" s="5"/>
      <c r="U4518" s="5"/>
      <c r="V4518" s="5"/>
      <c r="W4518" s="5"/>
      <c r="X4518" s="5"/>
      <c r="Y4518" s="5"/>
      <c r="Z4518" s="5"/>
      <c r="AA4518" s="5"/>
      <c r="AC4518" t="e">
        <f ca="1">RANK(AB4518,OFFSET($AB$2,0,0,#REF!,1))</f>
        <v>#REF!</v>
      </c>
      <c r="AD4518" s="4" t="e">
        <f>InsurerSize(#REF!)</f>
        <v>#VALUE!</v>
      </c>
      <c r="AE4518" s="4" t="e">
        <f t="shared" si="82"/>
        <v>#VALUE!</v>
      </c>
    </row>
    <row r="4519" spans="8:31" x14ac:dyDescent="0.2">
      <c r="H4519" s="5"/>
      <c r="I4519" s="5"/>
      <c r="J4519" s="5"/>
      <c r="K4519" s="5"/>
      <c r="L4519" s="5"/>
      <c r="M4519" s="5"/>
      <c r="N4519" s="5"/>
      <c r="O4519" s="5"/>
      <c r="P4519" s="5"/>
      <c r="Q4519" s="5"/>
      <c r="R4519" s="5"/>
      <c r="S4519" s="5"/>
      <c r="T4519" s="5"/>
      <c r="U4519" s="5"/>
      <c r="V4519" s="5"/>
      <c r="W4519" s="5"/>
      <c r="X4519" s="5"/>
      <c r="Y4519" s="5"/>
      <c r="Z4519" s="5"/>
      <c r="AA4519" s="5"/>
      <c r="AC4519" t="e">
        <f ca="1">RANK(AB4519,OFFSET($AB$2,0,0,#REF!,1))</f>
        <v>#REF!</v>
      </c>
      <c r="AD4519" s="4" t="e">
        <f>InsurerSize(#REF!)</f>
        <v>#VALUE!</v>
      </c>
      <c r="AE4519" s="4" t="e">
        <f t="shared" si="82"/>
        <v>#VALUE!</v>
      </c>
    </row>
    <row r="4520" spans="8:31" x14ac:dyDescent="0.2">
      <c r="H4520" s="5"/>
      <c r="I4520" s="5"/>
      <c r="J4520" s="5"/>
      <c r="K4520" s="5"/>
      <c r="L4520" s="5"/>
      <c r="M4520" s="5"/>
      <c r="N4520" s="5"/>
      <c r="O4520" s="5"/>
      <c r="P4520" s="5"/>
      <c r="Q4520" s="5"/>
      <c r="R4520" s="5"/>
      <c r="S4520" s="5"/>
      <c r="T4520" s="5"/>
      <c r="U4520" s="5"/>
      <c r="V4520" s="5"/>
      <c r="W4520" s="5"/>
      <c r="X4520" s="5"/>
      <c r="Y4520" s="5"/>
      <c r="Z4520" s="5"/>
      <c r="AA4520" s="5"/>
      <c r="AC4520" t="e">
        <f ca="1">RANK(AB4520,OFFSET($AB$2,0,0,#REF!,1))</f>
        <v>#REF!</v>
      </c>
      <c r="AD4520" s="4" t="e">
        <f>InsurerSize(#REF!)</f>
        <v>#VALUE!</v>
      </c>
      <c r="AE4520" s="4" t="e">
        <f t="shared" si="82"/>
        <v>#VALUE!</v>
      </c>
    </row>
    <row r="4521" spans="8:31" x14ac:dyDescent="0.2">
      <c r="H4521" s="5"/>
      <c r="I4521" s="5"/>
      <c r="J4521" s="5"/>
      <c r="K4521" s="5"/>
      <c r="L4521" s="5"/>
      <c r="M4521" s="5"/>
      <c r="N4521" s="5"/>
      <c r="O4521" s="5"/>
      <c r="P4521" s="5"/>
      <c r="Q4521" s="5"/>
      <c r="R4521" s="5"/>
      <c r="S4521" s="5"/>
      <c r="T4521" s="5"/>
      <c r="U4521" s="5"/>
      <c r="V4521" s="5"/>
      <c r="W4521" s="5"/>
      <c r="X4521" s="5"/>
      <c r="Y4521" s="5"/>
      <c r="Z4521" s="5"/>
      <c r="AA4521" s="5"/>
      <c r="AC4521" t="e">
        <f ca="1">RANK(AB4521,OFFSET($AB$2,0,0,#REF!,1))</f>
        <v>#REF!</v>
      </c>
      <c r="AD4521" s="4" t="e">
        <f>InsurerSize(#REF!)</f>
        <v>#VALUE!</v>
      </c>
      <c r="AE4521" s="4" t="e">
        <f t="shared" si="82"/>
        <v>#VALUE!</v>
      </c>
    </row>
    <row r="4522" spans="8:31" x14ac:dyDescent="0.2">
      <c r="H4522" s="5"/>
      <c r="I4522" s="5"/>
      <c r="J4522" s="5"/>
      <c r="K4522" s="5"/>
      <c r="L4522" s="5"/>
      <c r="M4522" s="5"/>
      <c r="N4522" s="5"/>
      <c r="O4522" s="5"/>
      <c r="P4522" s="5"/>
      <c r="Q4522" s="5"/>
      <c r="R4522" s="5"/>
      <c r="S4522" s="5"/>
      <c r="T4522" s="5"/>
      <c r="U4522" s="5"/>
      <c r="V4522" s="5"/>
      <c r="W4522" s="5"/>
      <c r="X4522" s="5"/>
      <c r="Y4522" s="5"/>
      <c r="Z4522" s="5"/>
      <c r="AA4522" s="5"/>
      <c r="AC4522" t="e">
        <f ca="1">RANK(AB4522,OFFSET($AB$2,0,0,#REF!,1))</f>
        <v>#REF!</v>
      </c>
      <c r="AD4522" s="4" t="e">
        <f>InsurerSize(#REF!)</f>
        <v>#VALUE!</v>
      </c>
      <c r="AE4522" s="4" t="e">
        <f t="shared" si="82"/>
        <v>#VALUE!</v>
      </c>
    </row>
    <row r="4523" spans="8:31" x14ac:dyDescent="0.2">
      <c r="H4523" s="5"/>
      <c r="I4523" s="5"/>
      <c r="J4523" s="5"/>
      <c r="K4523" s="5"/>
      <c r="L4523" s="5"/>
      <c r="M4523" s="5"/>
      <c r="N4523" s="5"/>
      <c r="O4523" s="5"/>
      <c r="P4523" s="5"/>
      <c r="Q4523" s="5"/>
      <c r="R4523" s="5"/>
      <c r="S4523" s="5"/>
      <c r="T4523" s="5"/>
      <c r="U4523" s="5"/>
      <c r="V4523" s="5"/>
      <c r="W4523" s="5"/>
      <c r="X4523" s="5"/>
      <c r="Y4523" s="5"/>
      <c r="Z4523" s="5"/>
      <c r="AA4523" s="5"/>
      <c r="AC4523" t="e">
        <f ca="1">RANK(AB4523,OFFSET($AB$2,0,0,#REF!,1))</f>
        <v>#REF!</v>
      </c>
      <c r="AD4523" s="4" t="e">
        <f>InsurerSize(#REF!)</f>
        <v>#VALUE!</v>
      </c>
      <c r="AE4523" s="4" t="e">
        <f t="shared" si="82"/>
        <v>#VALUE!</v>
      </c>
    </row>
    <row r="4524" spans="8:31" x14ac:dyDescent="0.2">
      <c r="H4524" s="5"/>
      <c r="I4524" s="5"/>
      <c r="J4524" s="5"/>
      <c r="K4524" s="5"/>
      <c r="L4524" s="5"/>
      <c r="M4524" s="5"/>
      <c r="N4524" s="5"/>
      <c r="O4524" s="5"/>
      <c r="P4524" s="5"/>
      <c r="Q4524" s="5"/>
      <c r="R4524" s="5"/>
      <c r="S4524" s="5"/>
      <c r="T4524" s="5"/>
      <c r="U4524" s="5"/>
      <c r="V4524" s="5"/>
      <c r="W4524" s="5"/>
      <c r="X4524" s="5"/>
      <c r="Y4524" s="5"/>
      <c r="Z4524" s="5"/>
      <c r="AA4524" s="5"/>
      <c r="AC4524" t="e">
        <f ca="1">RANK(AB4524,OFFSET($AB$2,0,0,#REF!,1))</f>
        <v>#REF!</v>
      </c>
      <c r="AD4524" s="4" t="e">
        <f>InsurerSize(#REF!)</f>
        <v>#VALUE!</v>
      </c>
      <c r="AE4524" s="4" t="e">
        <f t="shared" si="82"/>
        <v>#VALUE!</v>
      </c>
    </row>
    <row r="4525" spans="8:31" x14ac:dyDescent="0.2">
      <c r="H4525" s="5"/>
      <c r="I4525" s="5"/>
      <c r="J4525" s="5"/>
      <c r="K4525" s="5"/>
      <c r="L4525" s="5"/>
      <c r="M4525" s="5"/>
      <c r="N4525" s="5"/>
      <c r="O4525" s="5"/>
      <c r="P4525" s="5"/>
      <c r="Q4525" s="5"/>
      <c r="R4525" s="5"/>
      <c r="S4525" s="5"/>
      <c r="T4525" s="5"/>
      <c r="U4525" s="5"/>
      <c r="V4525" s="5"/>
      <c r="W4525" s="5"/>
      <c r="X4525" s="5"/>
      <c r="Y4525" s="5"/>
      <c r="Z4525" s="5"/>
      <c r="AA4525" s="5"/>
      <c r="AC4525" t="e">
        <f ca="1">RANK(AB4525,OFFSET($AB$2,0,0,#REF!,1))</f>
        <v>#REF!</v>
      </c>
      <c r="AD4525" s="4" t="e">
        <f>InsurerSize(#REF!)</f>
        <v>#VALUE!</v>
      </c>
      <c r="AE4525" s="4" t="e">
        <f t="shared" si="82"/>
        <v>#VALUE!</v>
      </c>
    </row>
    <row r="4526" spans="8:31" x14ac:dyDescent="0.2">
      <c r="H4526" s="5"/>
      <c r="I4526" s="5"/>
      <c r="J4526" s="5"/>
      <c r="K4526" s="5"/>
      <c r="L4526" s="5"/>
      <c r="M4526" s="5"/>
      <c r="N4526" s="5"/>
      <c r="O4526" s="5"/>
      <c r="P4526" s="5"/>
      <c r="Q4526" s="5"/>
      <c r="R4526" s="5"/>
      <c r="S4526" s="5"/>
      <c r="T4526" s="5"/>
      <c r="U4526" s="5"/>
      <c r="V4526" s="5"/>
      <c r="W4526" s="5"/>
      <c r="X4526" s="5"/>
      <c r="Y4526" s="5"/>
      <c r="Z4526" s="5"/>
      <c r="AA4526" s="5"/>
      <c r="AC4526" t="e">
        <f ca="1">RANK(AB4526,OFFSET($AB$2,0,0,#REF!,1))</f>
        <v>#REF!</v>
      </c>
      <c r="AD4526" s="4" t="e">
        <f>InsurerSize(#REF!)</f>
        <v>#VALUE!</v>
      </c>
      <c r="AE4526" s="4" t="e">
        <f t="shared" si="82"/>
        <v>#VALUE!</v>
      </c>
    </row>
    <row r="4527" spans="8:31" x14ac:dyDescent="0.2">
      <c r="H4527" s="5"/>
      <c r="I4527" s="5"/>
      <c r="J4527" s="5"/>
      <c r="K4527" s="5"/>
      <c r="L4527" s="5"/>
      <c r="M4527" s="5"/>
      <c r="N4527" s="5"/>
      <c r="O4527" s="5"/>
      <c r="P4527" s="5"/>
      <c r="Q4527" s="5"/>
      <c r="R4527" s="5"/>
      <c r="S4527" s="5"/>
      <c r="T4527" s="5"/>
      <c r="U4527" s="5"/>
      <c r="V4527" s="5"/>
      <c r="W4527" s="5"/>
      <c r="X4527" s="5"/>
      <c r="Y4527" s="5"/>
      <c r="Z4527" s="5"/>
      <c r="AA4527" s="5"/>
      <c r="AC4527" t="e">
        <f ca="1">RANK(AB4527,OFFSET($AB$2,0,0,#REF!,1))</f>
        <v>#REF!</v>
      </c>
      <c r="AD4527" s="4" t="e">
        <f>InsurerSize(#REF!)</f>
        <v>#VALUE!</v>
      </c>
      <c r="AE4527" s="4" t="e">
        <f t="shared" si="82"/>
        <v>#VALUE!</v>
      </c>
    </row>
    <row r="4528" spans="8:31" x14ac:dyDescent="0.2">
      <c r="H4528" s="5"/>
      <c r="I4528" s="5"/>
      <c r="J4528" s="5"/>
      <c r="K4528" s="5"/>
      <c r="L4528" s="5"/>
      <c r="M4528" s="5"/>
      <c r="N4528" s="5"/>
      <c r="O4528" s="5"/>
      <c r="P4528" s="5"/>
      <c r="Q4528" s="5"/>
      <c r="R4528" s="5"/>
      <c r="S4528" s="5"/>
      <c r="T4528" s="5"/>
      <c r="U4528" s="5"/>
      <c r="V4528" s="5"/>
      <c r="W4528" s="5"/>
      <c r="X4528" s="5"/>
      <c r="Y4528" s="5"/>
      <c r="Z4528" s="5"/>
      <c r="AA4528" s="5"/>
      <c r="AC4528" t="e">
        <f ca="1">RANK(AB4528,OFFSET($AB$2,0,0,#REF!,1))</f>
        <v>#REF!</v>
      </c>
      <c r="AD4528" s="4" t="e">
        <f>InsurerSize(#REF!)</f>
        <v>#VALUE!</v>
      </c>
      <c r="AE4528" s="4" t="e">
        <f t="shared" si="82"/>
        <v>#VALUE!</v>
      </c>
    </row>
    <row r="4529" spans="8:31" x14ac:dyDescent="0.2">
      <c r="H4529" s="5"/>
      <c r="I4529" s="5"/>
      <c r="J4529" s="5"/>
      <c r="K4529" s="5"/>
      <c r="L4529" s="5"/>
      <c r="M4529" s="5"/>
      <c r="N4529" s="5"/>
      <c r="O4529" s="5"/>
      <c r="P4529" s="5"/>
      <c r="Q4529" s="5"/>
      <c r="R4529" s="5"/>
      <c r="S4529" s="5"/>
      <c r="T4529" s="5"/>
      <c r="U4529" s="5"/>
      <c r="V4529" s="5"/>
      <c r="W4529" s="5"/>
      <c r="X4529" s="5"/>
      <c r="Y4529" s="5"/>
      <c r="Z4529" s="5"/>
      <c r="AA4529" s="5"/>
      <c r="AC4529" t="e">
        <f ca="1">RANK(AB4529,OFFSET($AB$2,0,0,#REF!,1))</f>
        <v>#REF!</v>
      </c>
      <c r="AD4529" s="4" t="e">
        <f>InsurerSize(#REF!)</f>
        <v>#VALUE!</v>
      </c>
      <c r="AE4529" s="4" t="e">
        <f t="shared" si="82"/>
        <v>#VALUE!</v>
      </c>
    </row>
    <row r="4530" spans="8:31" x14ac:dyDescent="0.2">
      <c r="H4530" s="5"/>
      <c r="I4530" s="5"/>
      <c r="J4530" s="5"/>
      <c r="K4530" s="5"/>
      <c r="L4530" s="5"/>
      <c r="M4530" s="5"/>
      <c r="N4530" s="5"/>
      <c r="O4530" s="5"/>
      <c r="P4530" s="5"/>
      <c r="Q4530" s="5"/>
      <c r="R4530" s="5"/>
      <c r="S4530" s="5"/>
      <c r="T4530" s="5"/>
      <c r="U4530" s="5"/>
      <c r="V4530" s="5"/>
      <c r="W4530" s="5"/>
      <c r="X4530" s="5"/>
      <c r="Y4530" s="5"/>
      <c r="Z4530" s="5"/>
      <c r="AA4530" s="5"/>
      <c r="AC4530" t="e">
        <f ca="1">RANK(AB4530,OFFSET($AB$2,0,0,#REF!,1))</f>
        <v>#REF!</v>
      </c>
      <c r="AD4530" s="4" t="e">
        <f>InsurerSize(#REF!)</f>
        <v>#VALUE!</v>
      </c>
      <c r="AE4530" s="4" t="e">
        <f t="shared" si="82"/>
        <v>#VALUE!</v>
      </c>
    </row>
    <row r="4531" spans="8:31" x14ac:dyDescent="0.2">
      <c r="H4531" s="5"/>
      <c r="I4531" s="5"/>
      <c r="J4531" s="5"/>
      <c r="K4531" s="5"/>
      <c r="L4531" s="5"/>
      <c r="M4531" s="5"/>
      <c r="N4531" s="5"/>
      <c r="O4531" s="5"/>
      <c r="P4531" s="5"/>
      <c r="Q4531" s="5"/>
      <c r="R4531" s="5"/>
      <c r="S4531" s="5"/>
      <c r="T4531" s="5"/>
      <c r="U4531" s="5"/>
      <c r="V4531" s="5"/>
      <c r="W4531" s="5"/>
      <c r="X4531" s="5"/>
      <c r="Y4531" s="5"/>
      <c r="Z4531" s="5"/>
      <c r="AA4531" s="5"/>
      <c r="AC4531" t="e">
        <f ca="1">RANK(AB4531,OFFSET($AB$2,0,0,#REF!,1))</f>
        <v>#REF!</v>
      </c>
      <c r="AD4531" s="4" t="e">
        <f>InsurerSize(#REF!)</f>
        <v>#VALUE!</v>
      </c>
      <c r="AE4531" s="4" t="e">
        <f t="shared" si="82"/>
        <v>#VALUE!</v>
      </c>
    </row>
    <row r="4532" spans="8:31" x14ac:dyDescent="0.2">
      <c r="H4532" s="5"/>
      <c r="I4532" s="5"/>
      <c r="J4532" s="5"/>
      <c r="K4532" s="5"/>
      <c r="L4532" s="5"/>
      <c r="M4532" s="5"/>
      <c r="N4532" s="5"/>
      <c r="O4532" s="5"/>
      <c r="P4532" s="5"/>
      <c r="Q4532" s="5"/>
      <c r="R4532" s="5"/>
      <c r="S4532" s="5"/>
      <c r="T4532" s="5"/>
      <c r="U4532" s="5"/>
      <c r="V4532" s="5"/>
      <c r="W4532" s="5"/>
      <c r="X4532" s="5"/>
      <c r="Y4532" s="5"/>
      <c r="Z4532" s="5"/>
      <c r="AA4532" s="5"/>
      <c r="AC4532" t="e">
        <f ca="1">RANK(AB4532,OFFSET($AB$2,0,0,#REF!,1))</f>
        <v>#REF!</v>
      </c>
      <c r="AD4532" s="4" t="e">
        <f>InsurerSize(#REF!)</f>
        <v>#VALUE!</v>
      </c>
      <c r="AE4532" s="4" t="e">
        <f t="shared" si="82"/>
        <v>#VALUE!</v>
      </c>
    </row>
    <row r="4533" spans="8:31" x14ac:dyDescent="0.2">
      <c r="H4533" s="5"/>
      <c r="I4533" s="5"/>
      <c r="J4533" s="5"/>
      <c r="K4533" s="5"/>
      <c r="L4533" s="5"/>
      <c r="M4533" s="5"/>
      <c r="N4533" s="5"/>
      <c r="O4533" s="5"/>
      <c r="P4533" s="5"/>
      <c r="Q4533" s="5"/>
      <c r="R4533" s="5"/>
      <c r="S4533" s="5"/>
      <c r="T4533" s="5"/>
      <c r="U4533" s="5"/>
      <c r="V4533" s="5"/>
      <c r="W4533" s="5"/>
      <c r="X4533" s="5"/>
      <c r="Y4533" s="5"/>
      <c r="Z4533" s="5"/>
      <c r="AA4533" s="5"/>
      <c r="AC4533" t="e">
        <f ca="1">RANK(AB4533,OFFSET($AB$2,0,0,#REF!,1))</f>
        <v>#REF!</v>
      </c>
      <c r="AD4533" s="4" t="e">
        <f>InsurerSize(#REF!)</f>
        <v>#VALUE!</v>
      </c>
      <c r="AE4533" s="4" t="e">
        <f t="shared" si="82"/>
        <v>#VALUE!</v>
      </c>
    </row>
    <row r="4534" spans="8:31" x14ac:dyDescent="0.2">
      <c r="H4534" s="5"/>
      <c r="I4534" s="5"/>
      <c r="J4534" s="5"/>
      <c r="K4534" s="5"/>
      <c r="L4534" s="5"/>
      <c r="M4534" s="5"/>
      <c r="N4534" s="5"/>
      <c r="O4534" s="5"/>
      <c r="P4534" s="5"/>
      <c r="Q4534" s="5"/>
      <c r="R4534" s="5"/>
      <c r="S4534" s="5"/>
      <c r="T4534" s="5"/>
      <c r="U4534" s="5"/>
      <c r="V4534" s="5"/>
      <c r="W4534" s="5"/>
      <c r="X4534" s="5"/>
      <c r="Y4534" s="5"/>
      <c r="Z4534" s="5"/>
      <c r="AA4534" s="5"/>
      <c r="AC4534" t="e">
        <f ca="1">RANK(AB4534,OFFSET($AB$2,0,0,#REF!,1))</f>
        <v>#REF!</v>
      </c>
      <c r="AD4534" s="4" t="e">
        <f>InsurerSize(#REF!)</f>
        <v>#VALUE!</v>
      </c>
      <c r="AE4534" s="4" t="e">
        <f t="shared" si="82"/>
        <v>#VALUE!</v>
      </c>
    </row>
    <row r="4535" spans="8:31" x14ac:dyDescent="0.2">
      <c r="H4535" s="5"/>
      <c r="I4535" s="5"/>
      <c r="J4535" s="5"/>
      <c r="K4535" s="5"/>
      <c r="L4535" s="5"/>
      <c r="M4535" s="5"/>
      <c r="N4535" s="5"/>
      <c r="O4535" s="5"/>
      <c r="P4535" s="5"/>
      <c r="Q4535" s="5"/>
      <c r="R4535" s="5"/>
      <c r="S4535" s="5"/>
      <c r="T4535" s="5"/>
      <c r="U4535" s="5"/>
      <c r="V4535" s="5"/>
      <c r="W4535" s="5"/>
      <c r="X4535" s="5"/>
      <c r="Y4535" s="5"/>
      <c r="Z4535" s="5"/>
      <c r="AA4535" s="5"/>
      <c r="AC4535" t="e">
        <f ca="1">RANK(AB4535,OFFSET($AB$2,0,0,#REF!,1))</f>
        <v>#REF!</v>
      </c>
      <c r="AD4535" s="4" t="e">
        <f>InsurerSize(#REF!)</f>
        <v>#VALUE!</v>
      </c>
      <c r="AE4535" s="4" t="e">
        <f t="shared" si="82"/>
        <v>#VALUE!</v>
      </c>
    </row>
    <row r="4536" spans="8:31" x14ac:dyDescent="0.2">
      <c r="H4536" s="5"/>
      <c r="I4536" s="5"/>
      <c r="J4536" s="5"/>
      <c r="K4536" s="5"/>
      <c r="L4536" s="5"/>
      <c r="M4536" s="5"/>
      <c r="N4536" s="5"/>
      <c r="O4536" s="5"/>
      <c r="P4536" s="5"/>
      <c r="Q4536" s="5"/>
      <c r="R4536" s="5"/>
      <c r="S4536" s="5"/>
      <c r="T4536" s="5"/>
      <c r="U4536" s="5"/>
      <c r="V4536" s="5"/>
      <c r="W4536" s="5"/>
      <c r="X4536" s="5"/>
      <c r="Y4536" s="5"/>
      <c r="Z4536" s="5"/>
      <c r="AA4536" s="5"/>
      <c r="AC4536" t="e">
        <f ca="1">RANK(AB4536,OFFSET($AB$2,0,0,#REF!,1))</f>
        <v>#REF!</v>
      </c>
      <c r="AD4536" s="4" t="e">
        <f>InsurerSize(#REF!)</f>
        <v>#VALUE!</v>
      </c>
      <c r="AE4536" s="4" t="e">
        <f t="shared" si="82"/>
        <v>#VALUE!</v>
      </c>
    </row>
    <row r="4537" spans="8:31" x14ac:dyDescent="0.2">
      <c r="H4537" s="5"/>
      <c r="I4537" s="5"/>
      <c r="J4537" s="5"/>
      <c r="K4537" s="5"/>
      <c r="L4537" s="5"/>
      <c r="M4537" s="5"/>
      <c r="N4537" s="5"/>
      <c r="O4537" s="5"/>
      <c r="P4537" s="5"/>
      <c r="Q4537" s="5"/>
      <c r="R4537" s="5"/>
      <c r="S4537" s="5"/>
      <c r="T4537" s="5"/>
      <c r="U4537" s="5"/>
      <c r="V4537" s="5"/>
      <c r="W4537" s="5"/>
      <c r="X4537" s="5"/>
      <c r="Y4537" s="5"/>
      <c r="Z4537" s="5"/>
      <c r="AA4537" s="5"/>
      <c r="AC4537" t="e">
        <f ca="1">RANK(AB4537,OFFSET($AB$2,0,0,#REF!,1))</f>
        <v>#REF!</v>
      </c>
      <c r="AD4537" s="4" t="e">
        <f>InsurerSize(#REF!)</f>
        <v>#VALUE!</v>
      </c>
      <c r="AE4537" s="4" t="e">
        <f t="shared" si="82"/>
        <v>#VALUE!</v>
      </c>
    </row>
    <row r="4538" spans="8:31" x14ac:dyDescent="0.2">
      <c r="H4538" s="5"/>
      <c r="I4538" s="5"/>
      <c r="J4538" s="5"/>
      <c r="K4538" s="5"/>
      <c r="L4538" s="5"/>
      <c r="M4538" s="5"/>
      <c r="N4538" s="5"/>
      <c r="O4538" s="5"/>
      <c r="P4538" s="5"/>
      <c r="Q4538" s="5"/>
      <c r="R4538" s="5"/>
      <c r="S4538" s="5"/>
      <c r="T4538" s="5"/>
      <c r="U4538" s="5"/>
      <c r="V4538" s="5"/>
      <c r="W4538" s="5"/>
      <c r="X4538" s="5"/>
      <c r="Y4538" s="5"/>
      <c r="Z4538" s="5"/>
      <c r="AA4538" s="5"/>
      <c r="AC4538" t="e">
        <f ca="1">RANK(AB4538,OFFSET($AB$2,0,0,#REF!,1))</f>
        <v>#REF!</v>
      </c>
      <c r="AD4538" s="4" t="e">
        <f>InsurerSize(#REF!)</f>
        <v>#VALUE!</v>
      </c>
      <c r="AE4538" s="4" t="e">
        <f t="shared" si="82"/>
        <v>#VALUE!</v>
      </c>
    </row>
    <row r="4539" spans="8:31" x14ac:dyDescent="0.2">
      <c r="H4539" s="5"/>
      <c r="I4539" s="5"/>
      <c r="J4539" s="5"/>
      <c r="K4539" s="5"/>
      <c r="L4539" s="5"/>
      <c r="M4539" s="5"/>
      <c r="N4539" s="5"/>
      <c r="O4539" s="5"/>
      <c r="P4539" s="5"/>
      <c r="Q4539" s="5"/>
      <c r="R4539" s="5"/>
      <c r="S4539" s="5"/>
      <c r="T4539" s="5"/>
      <c r="U4539" s="5"/>
      <c r="V4539" s="5"/>
      <c r="W4539" s="5"/>
      <c r="X4539" s="5"/>
      <c r="Y4539" s="5"/>
      <c r="Z4539" s="5"/>
      <c r="AA4539" s="5"/>
      <c r="AC4539" t="e">
        <f ca="1">RANK(AB4539,OFFSET($AB$2,0,0,#REF!,1))</f>
        <v>#REF!</v>
      </c>
      <c r="AD4539" s="4" t="e">
        <f>InsurerSize(#REF!)</f>
        <v>#VALUE!</v>
      </c>
      <c r="AE4539" s="4" t="e">
        <f t="shared" si="82"/>
        <v>#VALUE!</v>
      </c>
    </row>
    <row r="4540" spans="8:31" x14ac:dyDescent="0.2">
      <c r="H4540" s="5"/>
      <c r="I4540" s="5"/>
      <c r="J4540" s="5"/>
      <c r="K4540" s="5"/>
      <c r="L4540" s="5"/>
      <c r="M4540" s="5"/>
      <c r="N4540" s="5"/>
      <c r="O4540" s="5"/>
      <c r="P4540" s="5"/>
      <c r="Q4540" s="5"/>
      <c r="R4540" s="5"/>
      <c r="S4540" s="5"/>
      <c r="T4540" s="5"/>
      <c r="U4540" s="5"/>
      <c r="V4540" s="5"/>
      <c r="W4540" s="5"/>
      <c r="X4540" s="5"/>
      <c r="Y4540" s="5"/>
      <c r="Z4540" s="5"/>
      <c r="AA4540" s="5"/>
      <c r="AC4540" t="e">
        <f ca="1">RANK(AB4540,OFFSET($AB$2,0,0,#REF!,1))</f>
        <v>#REF!</v>
      </c>
      <c r="AD4540" s="4" t="e">
        <f>InsurerSize(#REF!)</f>
        <v>#VALUE!</v>
      </c>
      <c r="AE4540" s="4" t="e">
        <f t="shared" si="82"/>
        <v>#VALUE!</v>
      </c>
    </row>
    <row r="4541" spans="8:31" x14ac:dyDescent="0.2">
      <c r="H4541" s="5"/>
      <c r="I4541" s="5"/>
      <c r="J4541" s="5"/>
      <c r="K4541" s="5"/>
      <c r="L4541" s="5"/>
      <c r="M4541" s="5"/>
      <c r="N4541" s="5"/>
      <c r="O4541" s="5"/>
      <c r="P4541" s="5"/>
      <c r="Q4541" s="5"/>
      <c r="R4541" s="5"/>
      <c r="S4541" s="5"/>
      <c r="T4541" s="5"/>
      <c r="U4541" s="5"/>
      <c r="V4541" s="5"/>
      <c r="W4541" s="5"/>
      <c r="X4541" s="5"/>
      <c r="Y4541" s="5"/>
      <c r="Z4541" s="5"/>
      <c r="AA4541" s="5"/>
      <c r="AC4541" t="e">
        <f ca="1">RANK(AB4541,OFFSET($AB$2,0,0,#REF!,1))</f>
        <v>#REF!</v>
      </c>
      <c r="AD4541" s="4" t="e">
        <f>InsurerSize(#REF!)</f>
        <v>#VALUE!</v>
      </c>
      <c r="AE4541" s="4" t="e">
        <f t="shared" si="82"/>
        <v>#VALUE!</v>
      </c>
    </row>
    <row r="4542" spans="8:31" x14ac:dyDescent="0.2">
      <c r="H4542" s="5"/>
      <c r="I4542" s="5"/>
      <c r="J4542" s="5"/>
      <c r="K4542" s="5"/>
      <c r="L4542" s="5"/>
      <c r="M4542" s="5"/>
      <c r="N4542" s="5"/>
      <c r="O4542" s="5"/>
      <c r="P4542" s="5"/>
      <c r="Q4542" s="5"/>
      <c r="R4542" s="5"/>
      <c r="S4542" s="5"/>
      <c r="T4542" s="5"/>
      <c r="U4542" s="5"/>
      <c r="V4542" s="5"/>
      <c r="W4542" s="5"/>
      <c r="X4542" s="5"/>
      <c r="Y4542" s="5"/>
      <c r="Z4542" s="5"/>
      <c r="AA4542" s="5"/>
      <c r="AC4542" t="e">
        <f ca="1">RANK(AB4542,OFFSET($AB$2,0,0,#REF!,1))</f>
        <v>#REF!</v>
      </c>
      <c r="AD4542" s="4" t="e">
        <f>InsurerSize(#REF!)</f>
        <v>#VALUE!</v>
      </c>
      <c r="AE4542" s="4" t="e">
        <f t="shared" si="82"/>
        <v>#VALUE!</v>
      </c>
    </row>
    <row r="4543" spans="8:31" x14ac:dyDescent="0.2">
      <c r="H4543" s="5"/>
      <c r="I4543" s="5"/>
      <c r="J4543" s="5"/>
      <c r="K4543" s="5"/>
      <c r="L4543" s="5"/>
      <c r="M4543" s="5"/>
      <c r="N4543" s="5"/>
      <c r="O4543" s="5"/>
      <c r="P4543" s="5"/>
      <c r="Q4543" s="5"/>
      <c r="R4543" s="5"/>
      <c r="S4543" s="5"/>
      <c r="T4543" s="5"/>
      <c r="U4543" s="5"/>
      <c r="V4543" s="5"/>
      <c r="W4543" s="5"/>
      <c r="X4543" s="5"/>
      <c r="Y4543" s="5"/>
      <c r="Z4543" s="5"/>
      <c r="AA4543" s="5"/>
      <c r="AC4543" t="e">
        <f ca="1">RANK(AB4543,OFFSET($AB$2,0,0,#REF!,1))</f>
        <v>#REF!</v>
      </c>
      <c r="AD4543" s="4" t="e">
        <f>InsurerSize(#REF!)</f>
        <v>#VALUE!</v>
      </c>
      <c r="AE4543" s="4" t="e">
        <f t="shared" si="82"/>
        <v>#VALUE!</v>
      </c>
    </row>
    <row r="4544" spans="8:31" x14ac:dyDescent="0.2">
      <c r="H4544" s="5"/>
      <c r="I4544" s="5"/>
      <c r="J4544" s="5"/>
      <c r="K4544" s="5"/>
      <c r="L4544" s="5"/>
      <c r="M4544" s="5"/>
      <c r="N4544" s="5"/>
      <c r="O4544" s="5"/>
      <c r="P4544" s="5"/>
      <c r="Q4544" s="5"/>
      <c r="R4544" s="5"/>
      <c r="S4544" s="5"/>
      <c r="T4544" s="5"/>
      <c r="U4544" s="5"/>
      <c r="V4544" s="5"/>
      <c r="W4544" s="5"/>
      <c r="X4544" s="5"/>
      <c r="Y4544" s="5"/>
      <c r="Z4544" s="5"/>
      <c r="AA4544" s="5"/>
      <c r="AC4544" t="e">
        <f ca="1">RANK(AB4544,OFFSET($AB$2,0,0,#REF!,1))</f>
        <v>#REF!</v>
      </c>
      <c r="AD4544" s="4" t="e">
        <f>InsurerSize(#REF!)</f>
        <v>#VALUE!</v>
      </c>
      <c r="AE4544" s="4" t="e">
        <f t="shared" si="82"/>
        <v>#VALUE!</v>
      </c>
    </row>
    <row r="4545" spans="8:31" x14ac:dyDescent="0.2">
      <c r="H4545" s="5"/>
      <c r="I4545" s="5"/>
      <c r="J4545" s="5"/>
      <c r="K4545" s="5"/>
      <c r="L4545" s="5"/>
      <c r="M4545" s="5"/>
      <c r="N4545" s="5"/>
      <c r="O4545" s="5"/>
      <c r="P4545" s="5"/>
      <c r="Q4545" s="5"/>
      <c r="R4545" s="5"/>
      <c r="S4545" s="5"/>
      <c r="T4545" s="5"/>
      <c r="U4545" s="5"/>
      <c r="V4545" s="5"/>
      <c r="W4545" s="5"/>
      <c r="X4545" s="5"/>
      <c r="Y4545" s="5"/>
      <c r="Z4545" s="5"/>
      <c r="AA4545" s="5"/>
      <c r="AC4545" t="e">
        <f ca="1">RANK(AB4545,OFFSET($AB$2,0,0,#REF!,1))</f>
        <v>#REF!</v>
      </c>
      <c r="AD4545" s="4" t="e">
        <f>InsurerSize(#REF!)</f>
        <v>#VALUE!</v>
      </c>
      <c r="AE4545" s="4" t="e">
        <f t="shared" si="82"/>
        <v>#VALUE!</v>
      </c>
    </row>
    <row r="4546" spans="8:31" x14ac:dyDescent="0.2">
      <c r="H4546" s="5"/>
      <c r="I4546" s="5"/>
      <c r="J4546" s="5"/>
      <c r="K4546" s="5"/>
      <c r="L4546" s="5"/>
      <c r="M4546" s="5"/>
      <c r="N4546" s="5"/>
      <c r="O4546" s="5"/>
      <c r="P4546" s="5"/>
      <c r="Q4546" s="5"/>
      <c r="R4546" s="5"/>
      <c r="S4546" s="5"/>
      <c r="T4546" s="5"/>
      <c r="U4546" s="5"/>
      <c r="V4546" s="5"/>
      <c r="W4546" s="5"/>
      <c r="X4546" s="5"/>
      <c r="Y4546" s="5"/>
      <c r="Z4546" s="5"/>
      <c r="AA4546" s="5"/>
      <c r="AC4546" t="e">
        <f ca="1">RANK(AB4546,OFFSET($AB$2,0,0,#REF!,1))</f>
        <v>#REF!</v>
      </c>
      <c r="AD4546" s="4" t="e">
        <f>InsurerSize(#REF!)</f>
        <v>#VALUE!</v>
      </c>
      <c r="AE4546" s="4" t="e">
        <f t="shared" ref="AE4546:AE4558" si="83">A4546&amp;AD4546</f>
        <v>#VALUE!</v>
      </c>
    </row>
    <row r="4547" spans="8:31" x14ac:dyDescent="0.2">
      <c r="H4547" s="5"/>
      <c r="I4547" s="5"/>
      <c r="J4547" s="5"/>
      <c r="K4547" s="5"/>
      <c r="L4547" s="5"/>
      <c r="M4547" s="5"/>
      <c r="N4547" s="5"/>
      <c r="O4547" s="5"/>
      <c r="P4547" s="5"/>
      <c r="Q4547" s="5"/>
      <c r="R4547" s="5"/>
      <c r="S4547" s="5"/>
      <c r="T4547" s="5"/>
      <c r="U4547" s="5"/>
      <c r="V4547" s="5"/>
      <c r="W4547" s="5"/>
      <c r="X4547" s="5"/>
      <c r="Y4547" s="5"/>
      <c r="Z4547" s="5"/>
      <c r="AA4547" s="5"/>
      <c r="AC4547" t="e">
        <f ca="1">RANK(AB4547,OFFSET($AB$2,0,0,#REF!,1))</f>
        <v>#REF!</v>
      </c>
      <c r="AD4547" s="4" t="e">
        <f>InsurerSize(#REF!)</f>
        <v>#VALUE!</v>
      </c>
      <c r="AE4547" s="4" t="e">
        <f t="shared" si="83"/>
        <v>#VALUE!</v>
      </c>
    </row>
    <row r="4548" spans="8:31" x14ac:dyDescent="0.2">
      <c r="H4548" s="5"/>
      <c r="I4548" s="5"/>
      <c r="J4548" s="5"/>
      <c r="K4548" s="5"/>
      <c r="L4548" s="5"/>
      <c r="M4548" s="5"/>
      <c r="N4548" s="5"/>
      <c r="O4548" s="5"/>
      <c r="P4548" s="5"/>
      <c r="Q4548" s="5"/>
      <c r="R4548" s="5"/>
      <c r="S4548" s="5"/>
      <c r="T4548" s="5"/>
      <c r="U4548" s="5"/>
      <c r="V4548" s="5"/>
      <c r="W4548" s="5"/>
      <c r="X4548" s="5"/>
      <c r="Y4548" s="5"/>
      <c r="Z4548" s="5"/>
      <c r="AA4548" s="5"/>
      <c r="AC4548" t="e">
        <f ca="1">RANK(AB4548,OFFSET($AB$2,0,0,#REF!,1))</f>
        <v>#REF!</v>
      </c>
      <c r="AD4548" s="4" t="e">
        <f>InsurerSize(#REF!)</f>
        <v>#VALUE!</v>
      </c>
      <c r="AE4548" s="4" t="e">
        <f t="shared" si="83"/>
        <v>#VALUE!</v>
      </c>
    </row>
    <row r="4549" spans="8:31" x14ac:dyDescent="0.2">
      <c r="H4549" s="5"/>
      <c r="I4549" s="5"/>
      <c r="J4549" s="5"/>
      <c r="K4549" s="5"/>
      <c r="L4549" s="5"/>
      <c r="M4549" s="5"/>
      <c r="N4549" s="5"/>
      <c r="O4549" s="5"/>
      <c r="P4549" s="5"/>
      <c r="Q4549" s="5"/>
      <c r="R4549" s="5"/>
      <c r="S4549" s="5"/>
      <c r="T4549" s="5"/>
      <c r="U4549" s="5"/>
      <c r="V4549" s="5"/>
      <c r="W4549" s="5"/>
      <c r="X4549" s="5"/>
      <c r="Y4549" s="5"/>
      <c r="Z4549" s="5"/>
      <c r="AA4549" s="5"/>
      <c r="AC4549" t="e">
        <f ca="1">RANK(AB4549,OFFSET($AB$2,0,0,#REF!,1))</f>
        <v>#REF!</v>
      </c>
      <c r="AD4549" s="4" t="e">
        <f>InsurerSize(#REF!)</f>
        <v>#VALUE!</v>
      </c>
      <c r="AE4549" s="4" t="e">
        <f t="shared" si="83"/>
        <v>#VALUE!</v>
      </c>
    </row>
    <row r="4550" spans="8:31" x14ac:dyDescent="0.2">
      <c r="H4550" s="5"/>
      <c r="I4550" s="5"/>
      <c r="J4550" s="5"/>
      <c r="K4550" s="5"/>
      <c r="L4550" s="5"/>
      <c r="M4550" s="5"/>
      <c r="N4550" s="5"/>
      <c r="O4550" s="5"/>
      <c r="P4550" s="5"/>
      <c r="Q4550" s="5"/>
      <c r="R4550" s="5"/>
      <c r="S4550" s="5"/>
      <c r="T4550" s="5"/>
      <c r="U4550" s="5"/>
      <c r="V4550" s="5"/>
      <c r="W4550" s="5"/>
      <c r="X4550" s="5"/>
      <c r="Y4550" s="5"/>
      <c r="Z4550" s="5"/>
      <c r="AA4550" s="5"/>
      <c r="AC4550" t="e">
        <f ca="1">RANK(AB4550,OFFSET($AB$2,0,0,#REF!,1))</f>
        <v>#REF!</v>
      </c>
      <c r="AD4550" s="4" t="e">
        <f>InsurerSize(#REF!)</f>
        <v>#VALUE!</v>
      </c>
      <c r="AE4550" s="4" t="e">
        <f t="shared" si="83"/>
        <v>#VALUE!</v>
      </c>
    </row>
    <row r="4551" spans="8:31" x14ac:dyDescent="0.2">
      <c r="H4551" s="5"/>
      <c r="I4551" s="5"/>
      <c r="J4551" s="5"/>
      <c r="K4551" s="5"/>
      <c r="L4551" s="5"/>
      <c r="M4551" s="5"/>
      <c r="N4551" s="5"/>
      <c r="O4551" s="5"/>
      <c r="P4551" s="5"/>
      <c r="Q4551" s="5"/>
      <c r="R4551" s="5"/>
      <c r="S4551" s="5"/>
      <c r="T4551" s="5"/>
      <c r="U4551" s="5"/>
      <c r="V4551" s="5"/>
      <c r="W4551" s="5"/>
      <c r="X4551" s="5"/>
      <c r="Y4551" s="5"/>
      <c r="Z4551" s="5"/>
      <c r="AA4551" s="5"/>
      <c r="AC4551" t="e">
        <f ca="1">RANK(AB4551,OFFSET($AB$2,0,0,#REF!,1))</f>
        <v>#REF!</v>
      </c>
      <c r="AD4551" s="4" t="e">
        <f>InsurerSize(#REF!)</f>
        <v>#VALUE!</v>
      </c>
      <c r="AE4551" s="4" t="e">
        <f t="shared" si="83"/>
        <v>#VALUE!</v>
      </c>
    </row>
    <row r="4552" spans="8:31" x14ac:dyDescent="0.2">
      <c r="H4552" s="5"/>
      <c r="I4552" s="5"/>
      <c r="J4552" s="5"/>
      <c r="K4552" s="5"/>
      <c r="L4552" s="5"/>
      <c r="M4552" s="5"/>
      <c r="N4552" s="5"/>
      <c r="O4552" s="5"/>
      <c r="P4552" s="5"/>
      <c r="Q4552" s="5"/>
      <c r="R4552" s="5"/>
      <c r="S4552" s="5"/>
      <c r="T4552" s="5"/>
      <c r="U4552" s="5"/>
      <c r="V4552" s="5"/>
      <c r="W4552" s="5"/>
      <c r="X4552" s="5"/>
      <c r="Y4552" s="5"/>
      <c r="Z4552" s="5"/>
      <c r="AA4552" s="5"/>
      <c r="AC4552" t="e">
        <f ca="1">RANK(AB4552,OFFSET($AB$2,0,0,#REF!,1))</f>
        <v>#REF!</v>
      </c>
      <c r="AD4552" s="4" t="e">
        <f>InsurerSize(#REF!)</f>
        <v>#VALUE!</v>
      </c>
      <c r="AE4552" s="4" t="e">
        <f t="shared" si="83"/>
        <v>#VALUE!</v>
      </c>
    </row>
    <row r="4553" spans="8:31" x14ac:dyDescent="0.2">
      <c r="H4553" s="5"/>
      <c r="I4553" s="5"/>
      <c r="J4553" s="5"/>
      <c r="K4553" s="5"/>
      <c r="L4553" s="5"/>
      <c r="M4553" s="5"/>
      <c r="N4553" s="5"/>
      <c r="O4553" s="5"/>
      <c r="P4553" s="5"/>
      <c r="Q4553" s="5"/>
      <c r="R4553" s="5"/>
      <c r="S4553" s="5"/>
      <c r="T4553" s="5"/>
      <c r="U4553" s="5"/>
      <c r="V4553" s="5"/>
      <c r="W4553" s="5"/>
      <c r="X4553" s="5"/>
      <c r="Y4553" s="5"/>
      <c r="Z4553" s="5"/>
      <c r="AA4553" s="5"/>
      <c r="AC4553" t="e">
        <f ca="1">RANK(AB4553,OFFSET($AB$2,0,0,#REF!,1))</f>
        <v>#REF!</v>
      </c>
      <c r="AD4553" s="4" t="e">
        <f>InsurerSize(#REF!)</f>
        <v>#VALUE!</v>
      </c>
      <c r="AE4553" s="4" t="e">
        <f t="shared" si="83"/>
        <v>#VALUE!</v>
      </c>
    </row>
    <row r="4554" spans="8:31" x14ac:dyDescent="0.2">
      <c r="H4554" s="5"/>
      <c r="I4554" s="5"/>
      <c r="J4554" s="5"/>
      <c r="K4554" s="5"/>
      <c r="L4554" s="5"/>
      <c r="M4554" s="5"/>
      <c r="N4554" s="5"/>
      <c r="O4554" s="5"/>
      <c r="P4554" s="5"/>
      <c r="Q4554" s="5"/>
      <c r="R4554" s="5"/>
      <c r="S4554" s="5"/>
      <c r="T4554" s="5"/>
      <c r="U4554" s="5"/>
      <c r="V4554" s="5"/>
      <c r="W4554" s="5"/>
      <c r="X4554" s="5"/>
      <c r="Y4554" s="5"/>
      <c r="Z4554" s="5"/>
      <c r="AA4554" s="5"/>
      <c r="AC4554" t="e">
        <f ca="1">RANK(AB4554,OFFSET($AB$2,0,0,#REF!,1))</f>
        <v>#REF!</v>
      </c>
      <c r="AD4554" s="4" t="e">
        <f>InsurerSize(#REF!)</f>
        <v>#VALUE!</v>
      </c>
      <c r="AE4554" s="4" t="e">
        <f t="shared" si="83"/>
        <v>#VALUE!</v>
      </c>
    </row>
    <row r="4555" spans="8:31" x14ac:dyDescent="0.2">
      <c r="H4555" s="5"/>
      <c r="I4555" s="5"/>
      <c r="J4555" s="5"/>
      <c r="K4555" s="5"/>
      <c r="L4555" s="5"/>
      <c r="M4555" s="5"/>
      <c r="N4555" s="5"/>
      <c r="O4555" s="5"/>
      <c r="P4555" s="5"/>
      <c r="Q4555" s="5"/>
      <c r="R4555" s="5"/>
      <c r="S4555" s="5"/>
      <c r="T4555" s="5"/>
      <c r="U4555" s="5"/>
      <c r="V4555" s="5"/>
      <c r="W4555" s="5"/>
      <c r="X4555" s="5"/>
      <c r="Y4555" s="5"/>
      <c r="Z4555" s="5"/>
      <c r="AA4555" s="5"/>
      <c r="AC4555" t="e">
        <f ca="1">RANK(AB4555,OFFSET($AB$2,0,0,#REF!,1))</f>
        <v>#REF!</v>
      </c>
      <c r="AD4555" s="4" t="e">
        <f>InsurerSize(#REF!)</f>
        <v>#VALUE!</v>
      </c>
      <c r="AE4555" s="4" t="e">
        <f t="shared" si="83"/>
        <v>#VALUE!</v>
      </c>
    </row>
    <row r="4556" spans="8:31" x14ac:dyDescent="0.2">
      <c r="H4556" s="5"/>
      <c r="I4556" s="5"/>
      <c r="J4556" s="5"/>
      <c r="K4556" s="5"/>
      <c r="L4556" s="5"/>
      <c r="M4556" s="5"/>
      <c r="N4556" s="5"/>
      <c r="O4556" s="5"/>
      <c r="P4556" s="5"/>
      <c r="Q4556" s="5"/>
      <c r="R4556" s="5"/>
      <c r="S4556" s="5"/>
      <c r="T4556" s="5"/>
      <c r="U4556" s="5"/>
      <c r="V4556" s="5"/>
      <c r="W4556" s="5"/>
      <c r="X4556" s="5"/>
      <c r="Y4556" s="5"/>
      <c r="Z4556" s="5"/>
      <c r="AA4556" s="5"/>
      <c r="AC4556" t="e">
        <f ca="1">RANK(AB4556,OFFSET($AB$2,0,0,#REF!,1))</f>
        <v>#REF!</v>
      </c>
      <c r="AD4556" s="4" t="e">
        <f>InsurerSize(#REF!)</f>
        <v>#VALUE!</v>
      </c>
      <c r="AE4556" s="4" t="e">
        <f t="shared" si="83"/>
        <v>#VALUE!</v>
      </c>
    </row>
    <row r="4557" spans="8:31" x14ac:dyDescent="0.2">
      <c r="H4557" s="5"/>
      <c r="I4557" s="5"/>
      <c r="J4557" s="5"/>
      <c r="K4557" s="5"/>
      <c r="L4557" s="5"/>
      <c r="M4557" s="5"/>
      <c r="N4557" s="5"/>
      <c r="O4557" s="5"/>
      <c r="P4557" s="5"/>
      <c r="Q4557" s="5"/>
      <c r="R4557" s="5"/>
      <c r="S4557" s="5"/>
      <c r="T4557" s="5"/>
      <c r="U4557" s="5"/>
      <c r="V4557" s="5"/>
      <c r="W4557" s="5"/>
      <c r="X4557" s="5"/>
      <c r="Y4557" s="5"/>
      <c r="Z4557" s="5"/>
      <c r="AA4557" s="5"/>
      <c r="AC4557" t="e">
        <f ca="1">RANK(AB4557,OFFSET($AB$2,0,0,#REF!,1))</f>
        <v>#REF!</v>
      </c>
      <c r="AD4557" s="4" t="e">
        <f>InsurerSize(#REF!)</f>
        <v>#VALUE!</v>
      </c>
      <c r="AE4557" s="4" t="e">
        <f t="shared" si="83"/>
        <v>#VALUE!</v>
      </c>
    </row>
    <row r="4558" spans="8:31" x14ac:dyDescent="0.2">
      <c r="H4558" s="5"/>
      <c r="I4558" s="5"/>
      <c r="J4558" s="5"/>
      <c r="K4558" s="5"/>
      <c r="L4558" s="5"/>
      <c r="M4558" s="5"/>
      <c r="N4558" s="5"/>
      <c r="O4558" s="5"/>
      <c r="P4558" s="5"/>
      <c r="Q4558" s="5"/>
      <c r="R4558" s="5"/>
      <c r="S4558" s="5"/>
      <c r="T4558" s="5"/>
      <c r="U4558" s="5"/>
      <c r="V4558" s="5"/>
      <c r="W4558" s="5"/>
      <c r="X4558" s="5"/>
      <c r="Y4558" s="5"/>
      <c r="Z4558" s="5"/>
      <c r="AA4558" s="5"/>
      <c r="AC4558" t="e">
        <f ca="1">RANK(AB4558,OFFSET($AB$2,0,0,#REF!,1))</f>
        <v>#REF!</v>
      </c>
      <c r="AD4558" s="4" t="e">
        <f>InsurerSize(#REF!)</f>
        <v>#VALUE!</v>
      </c>
      <c r="AE4558" s="4" t="e">
        <f t="shared" si="83"/>
        <v>#VALUE!</v>
      </c>
    </row>
    <row r="4559" spans="8:31" x14ac:dyDescent="0.2">
      <c r="H4559" s="5"/>
      <c r="I4559" s="5"/>
      <c r="J4559" s="5"/>
      <c r="K4559" s="5"/>
      <c r="L4559" s="5"/>
      <c r="M4559" s="5"/>
      <c r="N4559" s="5"/>
      <c r="O4559" s="5"/>
      <c r="P4559" s="5"/>
      <c r="Q4559" s="5"/>
      <c r="R4559" s="5"/>
      <c r="S4559" s="5"/>
      <c r="T4559" s="5"/>
      <c r="U4559" s="5"/>
      <c r="V4559" s="5"/>
      <c r="W4559" s="5"/>
      <c r="X4559" s="5"/>
      <c r="Y4559" s="5"/>
      <c r="Z4559" s="5"/>
      <c r="AA4559" s="5"/>
      <c r="AD4559" s="4"/>
      <c r="AE4559" s="4"/>
    </row>
    <row r="4560" spans="8:31" x14ac:dyDescent="0.2">
      <c r="H4560" s="5"/>
      <c r="I4560" s="5"/>
      <c r="J4560" s="5"/>
      <c r="K4560" s="5"/>
      <c r="L4560" s="5"/>
      <c r="M4560" s="5"/>
      <c r="N4560" s="5"/>
      <c r="O4560" s="5"/>
      <c r="P4560" s="5"/>
      <c r="Q4560" s="5"/>
      <c r="R4560" s="5"/>
      <c r="S4560" s="5"/>
      <c r="T4560" s="5"/>
      <c r="U4560" s="5"/>
      <c r="V4560" s="5"/>
      <c r="W4560" s="5"/>
      <c r="X4560" s="5"/>
      <c r="Y4560" s="5"/>
      <c r="Z4560" s="5"/>
      <c r="AA4560" s="5"/>
      <c r="AD4560" s="4"/>
      <c r="AE4560" s="4"/>
    </row>
    <row r="4561" spans="8:31" x14ac:dyDescent="0.2">
      <c r="H4561" s="5"/>
      <c r="I4561" s="5"/>
      <c r="J4561" s="5"/>
      <c r="K4561" s="5"/>
      <c r="L4561" s="5"/>
      <c r="M4561" s="5"/>
      <c r="N4561" s="5"/>
      <c r="O4561" s="5"/>
      <c r="P4561" s="5"/>
      <c r="Q4561" s="5"/>
      <c r="R4561" s="5"/>
      <c r="S4561" s="5"/>
      <c r="T4561" s="5"/>
      <c r="U4561" s="5"/>
      <c r="V4561" s="5"/>
      <c r="W4561" s="5"/>
      <c r="X4561" s="5"/>
      <c r="Y4561" s="5"/>
      <c r="Z4561" s="5"/>
      <c r="AA4561" s="5"/>
      <c r="AD4561" s="4"/>
      <c r="AE4561" s="4"/>
    </row>
    <row r="4562" spans="8:31" x14ac:dyDescent="0.2">
      <c r="H4562" s="5"/>
      <c r="I4562" s="5"/>
      <c r="J4562" s="5"/>
      <c r="K4562" s="5"/>
      <c r="L4562" s="5"/>
      <c r="M4562" s="5"/>
      <c r="N4562" s="5"/>
      <c r="O4562" s="5"/>
      <c r="P4562" s="5"/>
      <c r="Q4562" s="5"/>
      <c r="R4562" s="5"/>
      <c r="S4562" s="5"/>
      <c r="T4562" s="5"/>
      <c r="U4562" s="5"/>
      <c r="V4562" s="5"/>
      <c r="W4562" s="5"/>
      <c r="X4562" s="5"/>
      <c r="Y4562" s="5"/>
      <c r="Z4562" s="5"/>
      <c r="AA4562" s="5"/>
      <c r="AD4562" s="4"/>
      <c r="AE4562" s="4"/>
    </row>
    <row r="4563" spans="8:31" x14ac:dyDescent="0.2">
      <c r="H4563" s="5"/>
      <c r="I4563" s="5"/>
      <c r="J4563" s="5"/>
      <c r="K4563" s="5"/>
      <c r="L4563" s="5"/>
      <c r="M4563" s="5"/>
      <c r="N4563" s="5"/>
      <c r="O4563" s="5"/>
      <c r="P4563" s="5"/>
      <c r="Q4563" s="5"/>
      <c r="R4563" s="5"/>
      <c r="S4563" s="5"/>
      <c r="T4563" s="5"/>
      <c r="U4563" s="5"/>
      <c r="V4563" s="5"/>
      <c r="W4563" s="5"/>
      <c r="X4563" s="5"/>
      <c r="Y4563" s="5"/>
      <c r="Z4563" s="5"/>
      <c r="AA4563" s="5"/>
      <c r="AD4563" s="4"/>
      <c r="AE4563" s="4"/>
    </row>
    <row r="4564" spans="8:31" x14ac:dyDescent="0.2">
      <c r="H4564" s="5"/>
      <c r="I4564" s="5"/>
      <c r="J4564" s="5"/>
      <c r="K4564" s="5"/>
      <c r="L4564" s="5"/>
      <c r="M4564" s="5"/>
      <c r="N4564" s="5"/>
      <c r="O4564" s="5"/>
      <c r="P4564" s="5"/>
      <c r="Q4564" s="5"/>
      <c r="R4564" s="5"/>
      <c r="S4564" s="5"/>
      <c r="T4564" s="5"/>
      <c r="U4564" s="5"/>
      <c r="V4564" s="5"/>
      <c r="W4564" s="5"/>
      <c r="X4564" s="5"/>
      <c r="Y4564" s="5"/>
      <c r="Z4564" s="5"/>
      <c r="AA4564" s="5"/>
      <c r="AD4564" s="4"/>
      <c r="AE4564" s="4"/>
    </row>
    <row r="4565" spans="8:31" x14ac:dyDescent="0.2">
      <c r="H4565" s="5"/>
      <c r="I4565" s="5"/>
      <c r="J4565" s="5"/>
      <c r="K4565" s="5"/>
      <c r="L4565" s="5"/>
      <c r="M4565" s="5"/>
      <c r="N4565" s="5"/>
      <c r="O4565" s="5"/>
      <c r="P4565" s="5"/>
      <c r="Q4565" s="5"/>
      <c r="R4565" s="5"/>
      <c r="S4565" s="5"/>
      <c r="T4565" s="5"/>
      <c r="U4565" s="5"/>
      <c r="V4565" s="5"/>
      <c r="W4565" s="5"/>
      <c r="X4565" s="5"/>
      <c r="Y4565" s="5"/>
      <c r="Z4565" s="5"/>
      <c r="AA4565" s="5"/>
      <c r="AD4565" s="4"/>
      <c r="AE4565" s="4"/>
    </row>
    <row r="4566" spans="8:31" x14ac:dyDescent="0.2">
      <c r="H4566" s="5"/>
      <c r="I4566" s="5"/>
      <c r="J4566" s="5"/>
      <c r="K4566" s="5"/>
      <c r="L4566" s="5"/>
      <c r="M4566" s="5"/>
      <c r="N4566" s="5"/>
      <c r="O4566" s="5"/>
      <c r="P4566" s="5"/>
      <c r="Q4566" s="5"/>
      <c r="R4566" s="5"/>
      <c r="S4566" s="5"/>
      <c r="T4566" s="5"/>
      <c r="U4566" s="5"/>
      <c r="V4566" s="5"/>
      <c r="W4566" s="5"/>
      <c r="X4566" s="5"/>
      <c r="Y4566" s="5"/>
      <c r="Z4566" s="5"/>
      <c r="AA4566" s="5"/>
      <c r="AD4566" s="4"/>
      <c r="AE4566" s="4"/>
    </row>
    <row r="4567" spans="8:31" x14ac:dyDescent="0.2">
      <c r="H4567" s="5"/>
      <c r="I4567" s="5"/>
      <c r="J4567" s="5"/>
      <c r="K4567" s="5"/>
      <c r="L4567" s="5"/>
      <c r="M4567" s="5"/>
      <c r="N4567" s="5"/>
      <c r="O4567" s="5"/>
      <c r="P4567" s="5"/>
      <c r="Q4567" s="5"/>
      <c r="R4567" s="5"/>
      <c r="S4567" s="5"/>
      <c r="T4567" s="5"/>
      <c r="U4567" s="5"/>
      <c r="V4567" s="5"/>
      <c r="W4567" s="5"/>
      <c r="X4567" s="5"/>
      <c r="Y4567" s="5"/>
      <c r="Z4567" s="5"/>
      <c r="AA4567" s="5"/>
      <c r="AD4567" s="4"/>
      <c r="AE4567" s="4"/>
    </row>
    <row r="4568" spans="8:31" x14ac:dyDescent="0.2">
      <c r="H4568" s="5"/>
      <c r="I4568" s="5"/>
      <c r="J4568" s="5"/>
      <c r="K4568" s="5"/>
      <c r="L4568" s="5"/>
      <c r="M4568" s="5"/>
      <c r="N4568" s="5"/>
      <c r="O4568" s="5"/>
      <c r="P4568" s="5"/>
      <c r="Q4568" s="5"/>
      <c r="R4568" s="5"/>
      <c r="S4568" s="5"/>
      <c r="T4568" s="5"/>
      <c r="U4568" s="5"/>
      <c r="V4568" s="5"/>
      <c r="W4568" s="5"/>
      <c r="X4568" s="5"/>
      <c r="Y4568" s="5"/>
      <c r="Z4568" s="5"/>
      <c r="AA4568" s="5"/>
      <c r="AD4568" s="4"/>
      <c r="AE4568" s="4"/>
    </row>
    <row r="4569" spans="8:31" x14ac:dyDescent="0.2">
      <c r="H4569" s="5"/>
      <c r="I4569" s="5"/>
      <c r="J4569" s="5"/>
      <c r="K4569" s="5"/>
      <c r="L4569" s="5"/>
      <c r="M4569" s="5"/>
      <c r="N4569" s="5"/>
      <c r="O4569" s="5"/>
      <c r="P4569" s="5"/>
      <c r="Q4569" s="5"/>
      <c r="R4569" s="5"/>
      <c r="S4569" s="5"/>
      <c r="T4569" s="5"/>
      <c r="U4569" s="5"/>
      <c r="V4569" s="5"/>
      <c r="W4569" s="5"/>
      <c r="X4569" s="5"/>
      <c r="Y4569" s="5"/>
      <c r="Z4569" s="5"/>
      <c r="AA4569" s="5"/>
      <c r="AD4569" s="4"/>
      <c r="AE4569" s="4"/>
    </row>
    <row r="4570" spans="8:31" x14ac:dyDescent="0.2">
      <c r="H4570" s="5"/>
      <c r="I4570" s="5"/>
      <c r="J4570" s="5"/>
      <c r="K4570" s="5"/>
      <c r="L4570" s="5"/>
      <c r="M4570" s="5"/>
      <c r="N4570" s="5"/>
      <c r="O4570" s="5"/>
      <c r="P4570" s="5"/>
      <c r="Q4570" s="5"/>
      <c r="R4570" s="5"/>
      <c r="S4570" s="5"/>
      <c r="T4570" s="5"/>
      <c r="U4570" s="5"/>
      <c r="V4570" s="5"/>
      <c r="W4570" s="5"/>
      <c r="X4570" s="5"/>
      <c r="Y4570" s="5"/>
      <c r="Z4570" s="5"/>
      <c r="AA4570" s="5"/>
      <c r="AD4570" s="4"/>
      <c r="AE4570" s="4"/>
    </row>
    <row r="4571" spans="8:31" x14ac:dyDescent="0.2">
      <c r="H4571" s="5"/>
      <c r="I4571" s="5"/>
      <c r="J4571" s="5"/>
      <c r="K4571" s="5"/>
      <c r="L4571" s="5"/>
      <c r="M4571" s="5"/>
      <c r="N4571" s="5"/>
      <c r="O4571" s="5"/>
      <c r="P4571" s="5"/>
      <c r="Q4571" s="5"/>
      <c r="R4571" s="5"/>
      <c r="S4571" s="5"/>
      <c r="T4571" s="5"/>
      <c r="U4571" s="5"/>
      <c r="V4571" s="5"/>
      <c r="W4571" s="5"/>
      <c r="X4571" s="5"/>
      <c r="Y4571" s="5"/>
      <c r="Z4571" s="5"/>
      <c r="AA4571" s="5"/>
      <c r="AD4571" s="4"/>
      <c r="AE4571" s="4"/>
    </row>
    <row r="4572" spans="8:31" x14ac:dyDescent="0.2">
      <c r="H4572" s="5"/>
      <c r="I4572" s="5"/>
      <c r="J4572" s="5"/>
      <c r="K4572" s="5"/>
      <c r="L4572" s="5"/>
      <c r="M4572" s="5"/>
      <c r="N4572" s="5"/>
      <c r="O4572" s="5"/>
      <c r="P4572" s="5"/>
      <c r="Q4572" s="5"/>
      <c r="R4572" s="5"/>
      <c r="S4572" s="5"/>
      <c r="T4572" s="5"/>
      <c r="U4572" s="5"/>
      <c r="V4572" s="5"/>
      <c r="W4572" s="5"/>
      <c r="X4572" s="5"/>
      <c r="Y4572" s="5"/>
      <c r="Z4572" s="5"/>
      <c r="AA4572" s="5"/>
      <c r="AD4572" s="4"/>
      <c r="AE4572" s="4"/>
    </row>
    <row r="4573" spans="8:31" x14ac:dyDescent="0.2">
      <c r="H4573" s="5"/>
      <c r="I4573" s="5"/>
      <c r="J4573" s="5"/>
      <c r="K4573" s="5"/>
      <c r="L4573" s="5"/>
      <c r="M4573" s="5"/>
      <c r="N4573" s="5"/>
      <c r="O4573" s="5"/>
      <c r="P4573" s="5"/>
      <c r="Q4573" s="5"/>
      <c r="R4573" s="5"/>
      <c r="S4573" s="5"/>
      <c r="T4573" s="5"/>
      <c r="U4573" s="5"/>
      <c r="V4573" s="5"/>
      <c r="W4573" s="5"/>
      <c r="X4573" s="5"/>
      <c r="Y4573" s="5"/>
      <c r="Z4573" s="5"/>
      <c r="AA4573" s="5"/>
      <c r="AD4573" s="4"/>
      <c r="AE4573" s="4"/>
    </row>
    <row r="4574" spans="8:31" x14ac:dyDescent="0.2">
      <c r="H4574" s="5"/>
      <c r="I4574" s="5"/>
      <c r="J4574" s="5"/>
      <c r="K4574" s="5"/>
      <c r="L4574" s="5"/>
      <c r="M4574" s="5"/>
      <c r="N4574" s="5"/>
      <c r="O4574" s="5"/>
      <c r="P4574" s="5"/>
      <c r="Q4574" s="5"/>
      <c r="R4574" s="5"/>
      <c r="S4574" s="5"/>
      <c r="T4574" s="5"/>
      <c r="U4574" s="5"/>
      <c r="V4574" s="5"/>
      <c r="W4574" s="5"/>
      <c r="X4574" s="5"/>
      <c r="Y4574" s="5"/>
      <c r="Z4574" s="5"/>
      <c r="AA4574" s="5"/>
      <c r="AD4574" s="4"/>
      <c r="AE4574" s="4"/>
    </row>
    <row r="4575" spans="8:31" x14ac:dyDescent="0.2">
      <c r="H4575" s="5"/>
      <c r="I4575" s="5"/>
      <c r="J4575" s="5"/>
      <c r="K4575" s="5"/>
      <c r="L4575" s="5"/>
      <c r="M4575" s="5"/>
      <c r="N4575" s="5"/>
      <c r="O4575" s="5"/>
      <c r="P4575" s="5"/>
      <c r="Q4575" s="5"/>
      <c r="R4575" s="5"/>
      <c r="S4575" s="5"/>
      <c r="T4575" s="5"/>
      <c r="U4575" s="5"/>
      <c r="V4575" s="5"/>
      <c r="W4575" s="5"/>
      <c r="X4575" s="5"/>
      <c r="Y4575" s="5"/>
      <c r="Z4575" s="5"/>
      <c r="AA4575" s="5"/>
      <c r="AD4575" s="4"/>
      <c r="AE4575" s="4"/>
    </row>
    <row r="4576" spans="8:31" x14ac:dyDescent="0.2">
      <c r="H4576" s="5"/>
      <c r="I4576" s="5"/>
      <c r="J4576" s="5"/>
      <c r="K4576" s="5"/>
      <c r="L4576" s="5"/>
      <c r="M4576" s="5"/>
      <c r="N4576" s="5"/>
      <c r="O4576" s="5"/>
      <c r="P4576" s="5"/>
      <c r="Q4576" s="5"/>
      <c r="R4576" s="5"/>
      <c r="S4576" s="5"/>
      <c r="T4576" s="5"/>
      <c r="U4576" s="5"/>
      <c r="V4576" s="5"/>
      <c r="W4576" s="5"/>
      <c r="X4576" s="5"/>
      <c r="Y4576" s="5"/>
      <c r="Z4576" s="5"/>
      <c r="AA4576" s="5"/>
      <c r="AD4576" s="4"/>
      <c r="AE4576" s="4"/>
    </row>
    <row r="4577" spans="8:31" x14ac:dyDescent="0.2">
      <c r="H4577" s="5"/>
      <c r="I4577" s="5"/>
      <c r="J4577" s="5"/>
      <c r="K4577" s="5"/>
      <c r="L4577" s="5"/>
      <c r="M4577" s="5"/>
      <c r="N4577" s="5"/>
      <c r="O4577" s="5"/>
      <c r="P4577" s="5"/>
      <c r="Q4577" s="5"/>
      <c r="R4577" s="5"/>
      <c r="S4577" s="5"/>
      <c r="T4577" s="5"/>
      <c r="U4577" s="5"/>
      <c r="V4577" s="5"/>
      <c r="W4577" s="5"/>
      <c r="X4577" s="5"/>
      <c r="Y4577" s="5"/>
      <c r="Z4577" s="5"/>
      <c r="AA4577" s="5"/>
      <c r="AD4577" s="4"/>
      <c r="AE4577" s="4"/>
    </row>
    <row r="4578" spans="8:31" x14ac:dyDescent="0.2">
      <c r="H4578" s="5"/>
      <c r="I4578" s="5"/>
      <c r="J4578" s="5"/>
      <c r="K4578" s="5"/>
      <c r="L4578" s="5"/>
      <c r="M4578" s="5"/>
      <c r="N4578" s="5"/>
      <c r="O4578" s="5"/>
      <c r="P4578" s="5"/>
      <c r="Q4578" s="5"/>
      <c r="R4578" s="5"/>
      <c r="S4578" s="5"/>
      <c r="T4578" s="5"/>
      <c r="U4578" s="5"/>
      <c r="V4578" s="5"/>
      <c r="W4578" s="5"/>
      <c r="X4578" s="5"/>
      <c r="Y4578" s="5"/>
      <c r="Z4578" s="5"/>
      <c r="AA4578" s="5"/>
      <c r="AD4578" s="4"/>
      <c r="AE4578" s="4"/>
    </row>
    <row r="4579" spans="8:31" x14ac:dyDescent="0.2">
      <c r="H4579" s="5"/>
      <c r="I4579" s="5"/>
      <c r="J4579" s="5"/>
      <c r="K4579" s="5"/>
      <c r="L4579" s="5"/>
      <c r="M4579" s="5"/>
      <c r="N4579" s="5"/>
      <c r="O4579" s="5"/>
      <c r="P4579" s="5"/>
      <c r="Q4579" s="5"/>
      <c r="R4579" s="5"/>
      <c r="S4579" s="5"/>
      <c r="T4579" s="5"/>
      <c r="U4579" s="5"/>
      <c r="V4579" s="5"/>
      <c r="W4579" s="5"/>
      <c r="X4579" s="5"/>
      <c r="Y4579" s="5"/>
      <c r="Z4579" s="5"/>
      <c r="AA4579" s="5"/>
      <c r="AD4579" s="4"/>
      <c r="AE4579" s="4"/>
    </row>
    <row r="4580" spans="8:31" x14ac:dyDescent="0.2">
      <c r="H4580" s="5"/>
      <c r="I4580" s="5"/>
      <c r="J4580" s="5"/>
      <c r="K4580" s="5"/>
      <c r="L4580" s="5"/>
      <c r="M4580" s="5"/>
      <c r="N4580" s="5"/>
      <c r="O4580" s="5"/>
      <c r="P4580" s="5"/>
      <c r="Q4580" s="5"/>
      <c r="R4580" s="5"/>
      <c r="S4580" s="5"/>
      <c r="T4580" s="5"/>
      <c r="U4580" s="5"/>
      <c r="V4580" s="5"/>
      <c r="W4580" s="5"/>
      <c r="X4580" s="5"/>
      <c r="Y4580" s="5"/>
      <c r="Z4580" s="5"/>
      <c r="AA4580" s="5"/>
      <c r="AD4580" s="4"/>
      <c r="AE4580" s="4"/>
    </row>
    <row r="4581" spans="8:31" x14ac:dyDescent="0.2">
      <c r="H4581" s="5"/>
      <c r="I4581" s="5"/>
      <c r="J4581" s="5"/>
      <c r="K4581" s="5"/>
      <c r="L4581" s="5"/>
      <c r="M4581" s="5"/>
      <c r="N4581" s="5"/>
      <c r="O4581" s="5"/>
      <c r="P4581" s="5"/>
      <c r="Q4581" s="5"/>
      <c r="R4581" s="5"/>
      <c r="S4581" s="5"/>
      <c r="T4581" s="5"/>
      <c r="U4581" s="5"/>
      <c r="V4581" s="5"/>
      <c r="W4581" s="5"/>
      <c r="X4581" s="5"/>
      <c r="Y4581" s="5"/>
      <c r="Z4581" s="5"/>
      <c r="AA4581" s="5"/>
      <c r="AD4581" s="4"/>
      <c r="AE4581" s="4"/>
    </row>
    <row r="4582" spans="8:31" x14ac:dyDescent="0.2">
      <c r="H4582" s="5"/>
      <c r="I4582" s="5"/>
      <c r="J4582" s="5"/>
      <c r="K4582" s="5"/>
      <c r="L4582" s="5"/>
      <c r="M4582" s="5"/>
      <c r="N4582" s="5"/>
      <c r="O4582" s="5"/>
      <c r="P4582" s="5"/>
      <c r="Q4582" s="5"/>
      <c r="R4582" s="5"/>
      <c r="S4582" s="5"/>
      <c r="T4582" s="5"/>
      <c r="U4582" s="5"/>
      <c r="V4582" s="5"/>
      <c r="W4582" s="5"/>
      <c r="X4582" s="5"/>
      <c r="Y4582" s="5"/>
      <c r="Z4582" s="5"/>
      <c r="AA4582" s="5"/>
      <c r="AD4582" s="4"/>
      <c r="AE4582" s="4"/>
    </row>
    <row r="4583" spans="8:31" x14ac:dyDescent="0.2">
      <c r="H4583" s="5"/>
      <c r="I4583" s="5"/>
      <c r="J4583" s="5"/>
      <c r="K4583" s="5"/>
      <c r="L4583" s="5"/>
      <c r="M4583" s="5"/>
      <c r="N4583" s="5"/>
      <c r="O4583" s="5"/>
      <c r="P4583" s="5"/>
      <c r="Q4583" s="5"/>
      <c r="R4583" s="5"/>
      <c r="S4583" s="5"/>
      <c r="T4583" s="5"/>
      <c r="U4583" s="5"/>
      <c r="V4583" s="5"/>
      <c r="W4583" s="5"/>
      <c r="X4583" s="5"/>
      <c r="Y4583" s="5"/>
      <c r="Z4583" s="5"/>
      <c r="AA4583" s="5"/>
      <c r="AD4583" s="4"/>
      <c r="AE4583" s="4"/>
    </row>
    <row r="4584" spans="8:31" x14ac:dyDescent="0.2">
      <c r="H4584" s="5"/>
      <c r="I4584" s="5"/>
      <c r="J4584" s="5"/>
      <c r="K4584" s="5"/>
      <c r="L4584" s="5"/>
      <c r="M4584" s="5"/>
      <c r="N4584" s="5"/>
      <c r="O4584" s="5"/>
      <c r="P4584" s="5"/>
      <c r="Q4584" s="5"/>
      <c r="R4584" s="5"/>
      <c r="S4584" s="5"/>
      <c r="T4584" s="5"/>
      <c r="U4584" s="5"/>
      <c r="V4584" s="5"/>
      <c r="W4584" s="5"/>
      <c r="X4584" s="5"/>
      <c r="Y4584" s="5"/>
      <c r="Z4584" s="5"/>
      <c r="AA4584" s="5"/>
      <c r="AD4584" s="4"/>
      <c r="AE4584" s="4"/>
    </row>
    <row r="4585" spans="8:31" x14ac:dyDescent="0.2">
      <c r="I4585" s="5"/>
      <c r="Z4585" s="5"/>
      <c r="AA4585" s="5"/>
      <c r="AD4585" s="4"/>
      <c r="AE4585" s="4"/>
    </row>
    <row r="4586" spans="8:31" x14ac:dyDescent="0.2">
      <c r="I4586" s="5"/>
      <c r="Z4586" s="5"/>
      <c r="AA4586" s="5"/>
      <c r="AD4586" s="4"/>
      <c r="AE4586" s="4"/>
    </row>
    <row r="4587" spans="8:31" x14ac:dyDescent="0.2">
      <c r="I4587" s="5"/>
      <c r="Z4587" s="5"/>
      <c r="AA4587" s="5"/>
      <c r="AD4587" s="4"/>
      <c r="AE4587" s="4"/>
    </row>
    <row r="4588" spans="8:31" x14ac:dyDescent="0.2">
      <c r="I4588" s="5"/>
      <c r="Z4588" s="5"/>
      <c r="AA4588" s="5"/>
      <c r="AD4588" s="4"/>
      <c r="AE4588" s="4"/>
    </row>
    <row r="4589" spans="8:31" x14ac:dyDescent="0.2">
      <c r="I4589" s="5"/>
      <c r="Z4589" s="5"/>
      <c r="AA4589" s="5"/>
      <c r="AD4589" s="4"/>
      <c r="AE4589" s="4"/>
    </row>
    <row r="4590" spans="8:31" x14ac:dyDescent="0.2">
      <c r="I4590" s="5"/>
      <c r="Z4590" s="5"/>
      <c r="AA4590" s="5"/>
      <c r="AD4590" s="4"/>
      <c r="AE4590" s="4"/>
    </row>
    <row r="4591" spans="8:31" x14ac:dyDescent="0.2">
      <c r="I4591" s="5"/>
      <c r="Z4591" s="5"/>
      <c r="AA4591" s="5"/>
      <c r="AD4591" s="4"/>
      <c r="AE4591" s="4"/>
    </row>
    <row r="4592" spans="8:31" x14ac:dyDescent="0.2">
      <c r="I4592" s="5"/>
      <c r="Z4592" s="5"/>
      <c r="AA4592" s="5"/>
      <c r="AD4592" s="4"/>
      <c r="AE4592" s="4"/>
    </row>
    <row r="4593" spans="9:31" x14ac:dyDescent="0.2">
      <c r="I4593" s="5"/>
      <c r="Z4593" s="5"/>
      <c r="AA4593" s="5"/>
      <c r="AD4593" s="4"/>
      <c r="AE4593" s="4"/>
    </row>
    <row r="4594" spans="9:31" x14ac:dyDescent="0.2">
      <c r="I4594" s="5"/>
      <c r="Z4594" s="5"/>
      <c r="AA4594" s="5"/>
      <c r="AD4594" s="4"/>
      <c r="AE4594" s="4"/>
    </row>
    <row r="4595" spans="9:31" x14ac:dyDescent="0.2">
      <c r="I4595" s="5"/>
      <c r="Z4595" s="5"/>
      <c r="AA4595" s="5"/>
      <c r="AD4595" s="4"/>
      <c r="AE4595" s="4"/>
    </row>
    <row r="4596" spans="9:31" x14ac:dyDescent="0.2">
      <c r="I4596" s="5"/>
      <c r="Z4596" s="5"/>
      <c r="AA4596" s="5"/>
      <c r="AD4596" s="4"/>
      <c r="AE4596" s="4"/>
    </row>
    <row r="4597" spans="9:31" x14ac:dyDescent="0.2">
      <c r="I4597" s="5"/>
      <c r="Z4597" s="5"/>
      <c r="AA4597" s="5"/>
      <c r="AD4597" s="4"/>
      <c r="AE4597" s="4"/>
    </row>
    <row r="4598" spans="9:31" x14ac:dyDescent="0.2">
      <c r="I4598" s="5"/>
      <c r="Z4598" s="5"/>
      <c r="AA4598" s="5"/>
      <c r="AD4598" s="4"/>
      <c r="AE4598" s="4"/>
    </row>
    <row r="4599" spans="9:31" x14ac:dyDescent="0.2">
      <c r="I4599" s="5"/>
      <c r="Z4599" s="5"/>
      <c r="AA4599" s="5"/>
      <c r="AD4599" s="4"/>
      <c r="AE4599" s="4"/>
    </row>
    <row r="4600" spans="9:31" x14ac:dyDescent="0.2">
      <c r="I4600" s="5"/>
      <c r="Z4600" s="5"/>
      <c r="AA4600" s="5"/>
      <c r="AD4600" s="4"/>
      <c r="AE4600" s="4"/>
    </row>
    <row r="4601" spans="9:31" x14ac:dyDescent="0.2">
      <c r="I4601" s="5"/>
      <c r="Z4601" s="5"/>
      <c r="AA4601" s="5"/>
      <c r="AD4601" s="4"/>
      <c r="AE4601" s="4"/>
    </row>
    <row r="4602" spans="9:31" x14ac:dyDescent="0.2">
      <c r="I4602" s="5"/>
      <c r="Z4602" s="5"/>
      <c r="AA4602" s="5"/>
      <c r="AD4602" s="4"/>
      <c r="AE4602" s="4"/>
    </row>
    <row r="4603" spans="9:31" x14ac:dyDescent="0.2">
      <c r="I4603" s="5"/>
      <c r="Z4603" s="5"/>
      <c r="AA4603" s="5"/>
      <c r="AD4603" s="4"/>
      <c r="AE4603" s="4"/>
    </row>
    <row r="4604" spans="9:31" x14ac:dyDescent="0.2">
      <c r="I4604" s="5"/>
      <c r="Z4604" s="5"/>
      <c r="AA4604" s="5"/>
      <c r="AD4604" s="4"/>
      <c r="AE4604" s="4"/>
    </row>
    <row r="4605" spans="9:31" x14ac:dyDescent="0.2">
      <c r="I4605" s="5"/>
      <c r="Z4605" s="5"/>
      <c r="AA4605" s="5"/>
      <c r="AD4605" s="4"/>
      <c r="AE4605" s="4"/>
    </row>
    <row r="4606" spans="9:31" x14ac:dyDescent="0.2">
      <c r="I4606" s="5"/>
      <c r="Z4606" s="5"/>
      <c r="AA4606" s="5"/>
      <c r="AD4606" s="4"/>
      <c r="AE4606" s="4"/>
    </row>
    <row r="4607" spans="9:31" x14ac:dyDescent="0.2">
      <c r="I4607" s="5"/>
      <c r="Z4607" s="5"/>
      <c r="AA4607" s="5"/>
      <c r="AD4607" s="4"/>
      <c r="AE4607" s="4"/>
    </row>
    <row r="4608" spans="9:31" x14ac:dyDescent="0.2">
      <c r="I4608" s="5"/>
      <c r="Z4608" s="5"/>
      <c r="AA4608" s="5"/>
      <c r="AD4608" s="4"/>
      <c r="AE4608" s="4"/>
    </row>
    <row r="4609" spans="9:31" x14ac:dyDescent="0.2">
      <c r="I4609" s="5"/>
      <c r="Z4609" s="5"/>
      <c r="AA4609" s="5"/>
      <c r="AD4609" s="4"/>
      <c r="AE4609" s="4"/>
    </row>
    <row r="4610" spans="9:31" x14ac:dyDescent="0.2">
      <c r="I4610" s="5"/>
      <c r="Z4610" s="5"/>
      <c r="AA4610" s="5"/>
      <c r="AD4610" s="4"/>
      <c r="AE4610" s="4"/>
    </row>
    <row r="4611" spans="9:31" x14ac:dyDescent="0.2">
      <c r="I4611" s="5"/>
      <c r="Z4611" s="5"/>
      <c r="AA4611" s="5"/>
      <c r="AD4611" s="4"/>
      <c r="AE4611" s="4"/>
    </row>
    <row r="4612" spans="9:31" x14ac:dyDescent="0.2">
      <c r="I4612" s="5"/>
      <c r="Z4612" s="5"/>
      <c r="AA4612" s="5"/>
      <c r="AD4612" s="4"/>
      <c r="AE4612" s="4"/>
    </row>
    <row r="4613" spans="9:31" x14ac:dyDescent="0.2">
      <c r="I4613" s="5"/>
      <c r="Z4613" s="5"/>
      <c r="AA4613" s="5"/>
      <c r="AD4613" s="4"/>
      <c r="AE4613" s="4"/>
    </row>
    <row r="4614" spans="9:31" x14ac:dyDescent="0.2">
      <c r="I4614" s="5"/>
      <c r="Z4614" s="5"/>
      <c r="AA4614" s="5"/>
      <c r="AD4614" s="4"/>
      <c r="AE4614" s="4"/>
    </row>
    <row r="4615" spans="9:31" x14ac:dyDescent="0.2">
      <c r="I4615" s="5"/>
      <c r="Z4615" s="5"/>
      <c r="AA4615" s="5"/>
      <c r="AD4615" s="4"/>
      <c r="AE4615" s="4"/>
    </row>
    <row r="4616" spans="9:31" x14ac:dyDescent="0.2">
      <c r="I4616" s="5"/>
      <c r="Z4616" s="5"/>
      <c r="AA4616" s="5"/>
      <c r="AD4616" s="4"/>
      <c r="AE4616" s="4"/>
    </row>
    <row r="4617" spans="9:31" x14ac:dyDescent="0.2">
      <c r="I4617" s="5"/>
      <c r="Z4617" s="5"/>
      <c r="AA4617" s="5"/>
      <c r="AD4617" s="4"/>
      <c r="AE4617" s="4"/>
    </row>
    <row r="4618" spans="9:31" x14ac:dyDescent="0.2">
      <c r="I4618" s="5"/>
      <c r="Z4618" s="5"/>
      <c r="AA4618" s="5"/>
      <c r="AD4618" s="4"/>
      <c r="AE4618" s="4"/>
    </row>
    <row r="4619" spans="9:31" x14ac:dyDescent="0.2">
      <c r="I4619" s="5"/>
      <c r="Z4619" s="5"/>
      <c r="AA4619" s="5"/>
      <c r="AD4619" s="4"/>
      <c r="AE4619" s="4"/>
    </row>
    <row r="4620" spans="9:31" x14ac:dyDescent="0.2">
      <c r="I4620" s="5"/>
      <c r="Z4620" s="5"/>
      <c r="AA4620" s="5"/>
      <c r="AD4620" s="4"/>
      <c r="AE4620" s="4"/>
    </row>
    <row r="4621" spans="9:31" x14ac:dyDescent="0.2">
      <c r="I4621" s="5"/>
      <c r="Z4621" s="5"/>
      <c r="AA4621" s="5"/>
      <c r="AD4621" s="4"/>
      <c r="AE4621" s="4"/>
    </row>
    <row r="4622" spans="9:31" x14ac:dyDescent="0.2">
      <c r="I4622" s="5"/>
      <c r="Z4622" s="5"/>
      <c r="AA4622" s="5"/>
      <c r="AD4622" s="4"/>
      <c r="AE4622" s="4"/>
    </row>
    <row r="4623" spans="9:31" x14ac:dyDescent="0.2">
      <c r="I4623" s="5"/>
      <c r="Z4623" s="5"/>
      <c r="AA4623" s="5"/>
      <c r="AD4623" s="4"/>
      <c r="AE4623" s="4"/>
    </row>
    <row r="4624" spans="9:31" x14ac:dyDescent="0.2">
      <c r="I4624" s="5"/>
      <c r="Z4624" s="5"/>
      <c r="AA4624" s="5"/>
      <c r="AD4624" s="4"/>
      <c r="AE4624" s="4"/>
    </row>
    <row r="4625" spans="9:31" x14ac:dyDescent="0.2">
      <c r="I4625" s="5"/>
      <c r="Z4625" s="5"/>
      <c r="AA4625" s="5"/>
      <c r="AD4625" s="4"/>
      <c r="AE4625" s="4"/>
    </row>
    <row r="4626" spans="9:31" x14ac:dyDescent="0.2">
      <c r="I4626" s="5"/>
      <c r="Z4626" s="5"/>
      <c r="AA4626" s="5"/>
      <c r="AD4626" s="4"/>
      <c r="AE4626" s="4"/>
    </row>
    <row r="4627" spans="9:31" x14ac:dyDescent="0.2">
      <c r="I4627" s="5"/>
      <c r="Z4627" s="5"/>
      <c r="AA4627" s="5"/>
      <c r="AD4627" s="4"/>
      <c r="AE4627" s="4"/>
    </row>
    <row r="4628" spans="9:31" x14ac:dyDescent="0.2">
      <c r="I4628" s="5"/>
      <c r="Z4628" s="5"/>
      <c r="AA4628" s="5"/>
      <c r="AD4628" s="4"/>
      <c r="AE4628" s="4"/>
    </row>
    <row r="4629" spans="9:31" x14ac:dyDescent="0.2">
      <c r="I4629" s="5"/>
      <c r="Z4629" s="5"/>
      <c r="AA4629" s="5"/>
      <c r="AD4629" s="4"/>
      <c r="AE4629" s="4"/>
    </row>
    <row r="4630" spans="9:31" x14ac:dyDescent="0.2">
      <c r="I4630" s="5"/>
      <c r="Z4630" s="5"/>
      <c r="AA4630" s="5"/>
      <c r="AD4630" s="4"/>
      <c r="AE4630" s="4"/>
    </row>
    <row r="4631" spans="9:31" x14ac:dyDescent="0.2">
      <c r="I4631" s="5"/>
      <c r="Z4631" s="5"/>
      <c r="AA4631" s="5"/>
      <c r="AD4631" s="4"/>
      <c r="AE4631" s="4"/>
    </row>
    <row r="4632" spans="9:31" x14ac:dyDescent="0.2">
      <c r="I4632" s="5"/>
      <c r="Z4632" s="5"/>
      <c r="AA4632" s="5"/>
      <c r="AD4632" s="4"/>
      <c r="AE4632" s="4"/>
    </row>
    <row r="4633" spans="9:31" x14ac:dyDescent="0.2">
      <c r="I4633" s="5"/>
    </row>
    <row r="4634" spans="9:31" x14ac:dyDescent="0.2">
      <c r="I4634" s="5"/>
    </row>
    <row r="4635" spans="9:31" x14ac:dyDescent="0.2">
      <c r="I4635" s="5"/>
    </row>
    <row r="4636" spans="9:31" x14ac:dyDescent="0.2">
      <c r="I4636" s="5"/>
    </row>
    <row r="4637" spans="9:31" x14ac:dyDescent="0.2">
      <c r="I4637" s="5"/>
    </row>
    <row r="4638" spans="9:31" x14ac:dyDescent="0.2">
      <c r="I4638" s="5"/>
    </row>
    <row r="4639" spans="9:31" x14ac:dyDescent="0.2">
      <c r="I4639" s="5"/>
    </row>
    <row r="4640" spans="9:31" x14ac:dyDescent="0.2">
      <c r="I4640" s="5"/>
    </row>
    <row r="4641" spans="9:9" x14ac:dyDescent="0.2">
      <c r="I4641" s="5"/>
    </row>
    <row r="4642" spans="9:9" x14ac:dyDescent="0.2">
      <c r="I4642" s="5"/>
    </row>
    <row r="4643" spans="9:9" x14ac:dyDescent="0.2">
      <c r="I4643" s="5"/>
    </row>
    <row r="4644" spans="9:9" x14ac:dyDescent="0.2">
      <c r="I4644" s="5"/>
    </row>
    <row r="4645" spans="9:9" x14ac:dyDescent="0.2">
      <c r="I4645" s="5"/>
    </row>
    <row r="4646" spans="9:9" x14ac:dyDescent="0.2">
      <c r="I4646" s="5"/>
    </row>
    <row r="4647" spans="9:9" x14ac:dyDescent="0.2">
      <c r="I4647" s="5"/>
    </row>
    <row r="4648" spans="9:9" x14ac:dyDescent="0.2">
      <c r="I4648" s="5"/>
    </row>
    <row r="4649" spans="9:9" x14ac:dyDescent="0.2">
      <c r="I4649" s="5"/>
    </row>
    <row r="4650" spans="9:9" x14ac:dyDescent="0.2">
      <c r="I4650" s="5"/>
    </row>
    <row r="4651" spans="9:9" x14ac:dyDescent="0.2">
      <c r="I4651" s="5"/>
    </row>
    <row r="4652" spans="9:9" x14ac:dyDescent="0.2">
      <c r="I4652" s="5"/>
    </row>
    <row r="4653" spans="9:9" x14ac:dyDescent="0.2">
      <c r="I4653" s="5"/>
    </row>
    <row r="4654" spans="9:9" x14ac:dyDescent="0.2">
      <c r="I4654" s="5"/>
    </row>
    <row r="4655" spans="9:9" x14ac:dyDescent="0.2">
      <c r="I4655" s="5"/>
    </row>
    <row r="4656" spans="9:9" x14ac:dyDescent="0.2">
      <c r="I4656" s="5"/>
    </row>
    <row r="4657" spans="9:9" x14ac:dyDescent="0.2">
      <c r="I4657" s="5"/>
    </row>
    <row r="4658" spans="9:9" x14ac:dyDescent="0.2">
      <c r="I4658" s="5"/>
    </row>
    <row r="4659" spans="9:9" x14ac:dyDescent="0.2">
      <c r="I4659" s="5"/>
    </row>
    <row r="4660" spans="9:9" x14ac:dyDescent="0.2">
      <c r="I4660" s="5"/>
    </row>
    <row r="4661" spans="9:9" x14ac:dyDescent="0.2">
      <c r="I4661" s="5"/>
    </row>
    <row r="4662" spans="9:9" x14ac:dyDescent="0.2">
      <c r="I4662" s="5"/>
    </row>
    <row r="4663" spans="9:9" x14ac:dyDescent="0.2">
      <c r="I4663" s="5"/>
    </row>
    <row r="4664" spans="9:9" x14ac:dyDescent="0.2">
      <c r="I4664" s="5"/>
    </row>
    <row r="4665" spans="9:9" x14ac:dyDescent="0.2">
      <c r="I4665" s="5"/>
    </row>
    <row r="4666" spans="9:9" x14ac:dyDescent="0.2">
      <c r="I4666" s="5"/>
    </row>
    <row r="4667" spans="9:9" x14ac:dyDescent="0.2">
      <c r="I4667" s="5"/>
    </row>
    <row r="4668" spans="9:9" x14ac:dyDescent="0.2">
      <c r="I4668" s="5"/>
    </row>
    <row r="4669" spans="9:9" x14ac:dyDescent="0.2">
      <c r="I4669" s="5"/>
    </row>
    <row r="4670" spans="9:9" x14ac:dyDescent="0.2">
      <c r="I4670" s="5"/>
    </row>
    <row r="4671" spans="9:9" x14ac:dyDescent="0.2">
      <c r="I4671" s="5"/>
    </row>
    <row r="4672" spans="9:9" x14ac:dyDescent="0.2">
      <c r="I4672" s="5"/>
    </row>
    <row r="4673" spans="9:9" x14ac:dyDescent="0.2">
      <c r="I4673" s="5"/>
    </row>
    <row r="4674" spans="9:9" x14ac:dyDescent="0.2">
      <c r="I4674" s="5"/>
    </row>
    <row r="4675" spans="9:9" x14ac:dyDescent="0.2">
      <c r="I4675" s="5"/>
    </row>
    <row r="4676" spans="9:9" x14ac:dyDescent="0.2">
      <c r="I4676" s="5"/>
    </row>
    <row r="4677" spans="9:9" x14ac:dyDescent="0.2">
      <c r="I4677" s="5"/>
    </row>
    <row r="4678" spans="9:9" x14ac:dyDescent="0.2">
      <c r="I4678" s="5"/>
    </row>
    <row r="4679" spans="9:9" x14ac:dyDescent="0.2">
      <c r="I4679" s="5"/>
    </row>
    <row r="4680" spans="9:9" x14ac:dyDescent="0.2">
      <c r="I4680" s="5"/>
    </row>
    <row r="4681" spans="9:9" x14ac:dyDescent="0.2">
      <c r="I4681" s="5"/>
    </row>
    <row r="4682" spans="9:9" x14ac:dyDescent="0.2">
      <c r="I4682" s="5"/>
    </row>
    <row r="4683" spans="9:9" x14ac:dyDescent="0.2">
      <c r="I4683" s="5"/>
    </row>
    <row r="4684" spans="9:9" x14ac:dyDescent="0.2">
      <c r="I4684" s="5"/>
    </row>
    <row r="4685" spans="9:9" x14ac:dyDescent="0.2">
      <c r="I4685" s="5"/>
    </row>
    <row r="4686" spans="9:9" x14ac:dyDescent="0.2">
      <c r="I4686" s="5"/>
    </row>
    <row r="4687" spans="9:9" x14ac:dyDescent="0.2">
      <c r="I4687" s="5"/>
    </row>
    <row r="4688" spans="9:9" x14ac:dyDescent="0.2">
      <c r="I4688" s="5"/>
    </row>
    <row r="4689" spans="9:9" x14ac:dyDescent="0.2">
      <c r="I4689" s="5"/>
    </row>
    <row r="4690" spans="9:9" x14ac:dyDescent="0.2">
      <c r="I4690" s="5"/>
    </row>
    <row r="4691" spans="9:9" x14ac:dyDescent="0.2">
      <c r="I4691" s="5"/>
    </row>
    <row r="4692" spans="9:9" x14ac:dyDescent="0.2">
      <c r="I4692" s="5"/>
    </row>
    <row r="4693" spans="9:9" x14ac:dyDescent="0.2">
      <c r="I4693" s="5"/>
    </row>
    <row r="4694" spans="9:9" x14ac:dyDescent="0.2">
      <c r="I4694" s="5"/>
    </row>
    <row r="4695" spans="9:9" x14ac:dyDescent="0.2">
      <c r="I4695" s="5"/>
    </row>
    <row r="4696" spans="9:9" x14ac:dyDescent="0.2">
      <c r="I4696" s="5"/>
    </row>
    <row r="4697" spans="9:9" x14ac:dyDescent="0.2">
      <c r="I4697" s="5"/>
    </row>
    <row r="4698" spans="9:9" x14ac:dyDescent="0.2">
      <c r="I4698" s="5"/>
    </row>
    <row r="4699" spans="9:9" x14ac:dyDescent="0.2">
      <c r="I4699" s="5"/>
    </row>
    <row r="4700" spans="9:9" x14ac:dyDescent="0.2">
      <c r="I4700" s="5"/>
    </row>
    <row r="4701" spans="9:9" x14ac:dyDescent="0.2">
      <c r="I4701" s="5"/>
    </row>
    <row r="4702" spans="9:9" x14ac:dyDescent="0.2">
      <c r="I4702" s="5"/>
    </row>
    <row r="4703" spans="9:9" x14ac:dyDescent="0.2">
      <c r="I4703" s="5"/>
    </row>
    <row r="4704" spans="9:9" x14ac:dyDescent="0.2">
      <c r="I4704" s="5"/>
    </row>
    <row r="4705" spans="9:9" x14ac:dyDescent="0.2">
      <c r="I4705" s="5"/>
    </row>
    <row r="4706" spans="9:9" x14ac:dyDescent="0.2">
      <c r="I4706" s="5"/>
    </row>
    <row r="4707" spans="9:9" x14ac:dyDescent="0.2">
      <c r="I4707" s="5"/>
    </row>
    <row r="4708" spans="9:9" x14ac:dyDescent="0.2">
      <c r="I4708" s="5"/>
    </row>
    <row r="4709" spans="9:9" x14ac:dyDescent="0.2">
      <c r="I4709" s="5"/>
    </row>
    <row r="4710" spans="9:9" x14ac:dyDescent="0.2">
      <c r="I4710" s="5"/>
    </row>
    <row r="4711" spans="9:9" x14ac:dyDescent="0.2">
      <c r="I4711" s="5"/>
    </row>
    <row r="4712" spans="9:9" x14ac:dyDescent="0.2">
      <c r="I4712" s="5"/>
    </row>
    <row r="4713" spans="9:9" x14ac:dyDescent="0.2">
      <c r="I4713" s="5"/>
    </row>
    <row r="4714" spans="9:9" x14ac:dyDescent="0.2">
      <c r="I4714" s="5"/>
    </row>
    <row r="4715" spans="9:9" x14ac:dyDescent="0.2">
      <c r="I4715" s="5"/>
    </row>
    <row r="4716" spans="9:9" x14ac:dyDescent="0.2">
      <c r="I4716" s="5"/>
    </row>
    <row r="4717" spans="9:9" x14ac:dyDescent="0.2">
      <c r="I4717" s="5"/>
    </row>
    <row r="4718" spans="9:9" x14ac:dyDescent="0.2">
      <c r="I4718" s="5"/>
    </row>
    <row r="4719" spans="9:9" x14ac:dyDescent="0.2">
      <c r="I4719" s="5"/>
    </row>
    <row r="4720" spans="9:9" x14ac:dyDescent="0.2">
      <c r="I4720" s="5"/>
    </row>
    <row r="4721" spans="9:9" x14ac:dyDescent="0.2">
      <c r="I4721" s="5"/>
    </row>
    <row r="4722" spans="9:9" x14ac:dyDescent="0.2">
      <c r="I4722" s="5"/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3" r:id="rId4" name="CommandButton3">
          <controlPr defaultSize="0" autoLine="0" r:id="rId5">
            <anchor moveWithCells="1">
              <from>
                <xdr:col>8</xdr:col>
                <xdr:colOff>1333500</xdr:colOff>
                <xdr:row>0</xdr:row>
                <xdr:rowOff>38100</xdr:rowOff>
              </from>
              <to>
                <xdr:col>10</xdr:col>
                <xdr:colOff>0</xdr:colOff>
                <xdr:row>0</xdr:row>
                <xdr:rowOff>361950</xdr:rowOff>
              </to>
            </anchor>
          </controlPr>
        </control>
      </mc:Choice>
      <mc:Fallback>
        <control shapeId="2053" r:id="rId4" name="CommandButton3"/>
      </mc:Fallback>
    </mc:AlternateContent>
    <mc:AlternateContent xmlns:mc="http://schemas.openxmlformats.org/markup-compatibility/2006">
      <mc:Choice Requires="x14">
        <control shapeId="2052" r:id="rId6" name="CommandButton2">
          <controlPr defaultSize="0" autoLine="0" r:id="rId7">
            <anchor moveWithCells="1">
              <from>
                <xdr:col>6</xdr:col>
                <xdr:colOff>314325</xdr:colOff>
                <xdr:row>0</xdr:row>
                <xdr:rowOff>0</xdr:rowOff>
              </from>
              <to>
                <xdr:col>6</xdr:col>
                <xdr:colOff>1733550</xdr:colOff>
                <xdr:row>0</xdr:row>
                <xdr:rowOff>371475</xdr:rowOff>
              </to>
            </anchor>
          </controlPr>
        </control>
      </mc:Choice>
      <mc:Fallback>
        <control shapeId="2052" r:id="rId6" name="CommandButton2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r:id="rId9">
            <anchor moveWithCells="1">
              <from>
                <xdr:col>3</xdr:col>
                <xdr:colOff>923925</xdr:colOff>
                <xdr:row>0</xdr:row>
                <xdr:rowOff>76200</xdr:rowOff>
              </from>
              <to>
                <xdr:col>3</xdr:col>
                <xdr:colOff>2343150</xdr:colOff>
                <xdr:row>0</xdr:row>
                <xdr:rowOff>447675</xdr:rowOff>
              </to>
            </anchor>
          </controlPr>
        </control>
      </mc:Choice>
      <mc:Fallback>
        <control shapeId="2051" r:id="rId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00B050"/>
  </sheetPr>
  <dimension ref="B1:AG100"/>
  <sheetViews>
    <sheetView topLeftCell="I1" workbookViewId="0">
      <selection activeCell="P10" sqref="P10"/>
    </sheetView>
  </sheetViews>
  <sheetFormatPr defaultRowHeight="12.75" x14ac:dyDescent="0.2"/>
  <cols>
    <col min="2" max="2" width="19" customWidth="1"/>
    <col min="3" max="3" width="21.85546875" customWidth="1"/>
    <col min="4" max="4" width="54.7109375" customWidth="1"/>
  </cols>
  <sheetData>
    <row r="1" spans="2:33" x14ac:dyDescent="0.2">
      <c r="B1" s="44" t="s">
        <v>160</v>
      </c>
      <c r="C1" s="45">
        <v>41541.510972222219</v>
      </c>
      <c r="D1" s="45"/>
      <c r="G1" s="3"/>
      <c r="H1" s="3"/>
      <c r="I1" s="3"/>
    </row>
    <row r="2" spans="2:33" x14ac:dyDescent="0.2">
      <c r="B2" s="44" t="s">
        <v>161</v>
      </c>
      <c r="C2" s="45"/>
      <c r="G2" s="3"/>
      <c r="H2" s="3"/>
      <c r="I2" s="3"/>
      <c r="J2" s="7" t="s">
        <v>173</v>
      </c>
      <c r="K2" s="7" t="s">
        <v>174</v>
      </c>
      <c r="L2" s="7" t="s">
        <v>175</v>
      </c>
      <c r="M2" s="7" t="s">
        <v>176</v>
      </c>
      <c r="N2" s="7" t="s">
        <v>177</v>
      </c>
      <c r="O2" s="7" t="s">
        <v>178</v>
      </c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</row>
    <row r="3" spans="2:33" x14ac:dyDescent="0.2">
      <c r="B3" s="44" t="s">
        <v>162</v>
      </c>
      <c r="C3" s="45"/>
      <c r="G3" s="3"/>
      <c r="H3" s="3"/>
      <c r="I3" s="3"/>
      <c r="J3" s="60">
        <f ca="1">INDIRECT(J2&amp;"!AM1")</f>
        <v>0</v>
      </c>
      <c r="K3" s="60">
        <f t="shared" ref="K3" ca="1" si="0">INDIRECT(K2&amp;"!AM1")</f>
        <v>0</v>
      </c>
      <c r="L3" s="60" t="e">
        <f>#REF!</f>
        <v>#REF!</v>
      </c>
      <c r="M3" s="60" t="e">
        <f>#REF!</f>
        <v>#REF!</v>
      </c>
      <c r="N3" s="60" t="e">
        <f>#REF!</f>
        <v>#REF!</v>
      </c>
      <c r="O3" s="60" t="e">
        <f>#REF!</f>
        <v>#REF!</v>
      </c>
    </row>
    <row r="4" spans="2:33" x14ac:dyDescent="0.2">
      <c r="B4" s="44" t="s">
        <v>163</v>
      </c>
      <c r="G4" s="3"/>
      <c r="H4" s="3"/>
      <c r="I4" s="3"/>
      <c r="J4">
        <f ca="1">ASS!AM1</f>
        <v>0</v>
      </c>
    </row>
    <row r="5" spans="2:33" x14ac:dyDescent="0.2">
      <c r="B5" s="17" t="s">
        <v>60</v>
      </c>
      <c r="C5" s="18" t="s">
        <v>61</v>
      </c>
      <c r="D5" s="18" t="s">
        <v>62</v>
      </c>
      <c r="G5" s="3"/>
      <c r="H5" s="3"/>
      <c r="I5" s="3"/>
    </row>
    <row r="6" spans="2:33" x14ac:dyDescent="0.2">
      <c r="B6" s="19" t="s">
        <v>63</v>
      </c>
      <c r="C6" s="20" t="s">
        <v>64</v>
      </c>
      <c r="D6" s="21" t="s">
        <v>65</v>
      </c>
      <c r="G6" s="3"/>
      <c r="H6" s="3"/>
      <c r="I6" s="3"/>
      <c r="M6" s="7" t="s">
        <v>194</v>
      </c>
      <c r="N6" s="7" t="str">
        <f>M6</f>
        <v>AM1</v>
      </c>
      <c r="O6" s="7" t="s">
        <v>192</v>
      </c>
      <c r="P6" s="7" t="str">
        <f>O6</f>
        <v>AM2</v>
      </c>
      <c r="Q6" s="7" t="s">
        <v>197</v>
      </c>
      <c r="R6" s="7" t="str">
        <f>Q6</f>
        <v>AM3</v>
      </c>
      <c r="S6" s="7" t="s">
        <v>198</v>
      </c>
      <c r="T6" s="7" t="str">
        <f>S6</f>
        <v>AM4</v>
      </c>
      <c r="U6" s="7" t="s">
        <v>199</v>
      </c>
      <c r="V6" s="7" t="str">
        <f>U6</f>
        <v>AM5</v>
      </c>
      <c r="W6" s="7" t="s">
        <v>200</v>
      </c>
      <c r="X6" s="7" t="str">
        <f>W6</f>
        <v>AM6</v>
      </c>
      <c r="Y6" s="7" t="s">
        <v>201</v>
      </c>
      <c r="Z6" s="7" t="str">
        <f>Y6</f>
        <v>AM7</v>
      </c>
      <c r="AA6" s="7"/>
    </row>
    <row r="7" spans="2:33" x14ac:dyDescent="0.2">
      <c r="B7" s="19" t="s">
        <v>66</v>
      </c>
      <c r="C7" s="20" t="s">
        <v>67</v>
      </c>
      <c r="D7" s="21" t="s">
        <v>68</v>
      </c>
      <c r="G7" s="3"/>
      <c r="H7" s="3"/>
      <c r="I7" s="66" t="s">
        <v>191</v>
      </c>
      <c r="J7" s="65" t="s">
        <v>194</v>
      </c>
      <c r="O7" s="68" t="s">
        <v>11</v>
      </c>
      <c r="P7" s="69"/>
      <c r="Q7" s="68" t="s">
        <v>12</v>
      </c>
      <c r="R7" s="69"/>
      <c r="S7" s="68" t="s">
        <v>13</v>
      </c>
      <c r="T7" s="69"/>
      <c r="U7" s="68" t="s">
        <v>10</v>
      </c>
      <c r="V7" s="69"/>
      <c r="W7" s="68" t="s">
        <v>14</v>
      </c>
      <c r="X7" s="69"/>
      <c r="Y7" s="68" t="s">
        <v>195</v>
      </c>
      <c r="Z7" s="69"/>
      <c r="AA7" s="7"/>
    </row>
    <row r="8" spans="2:33" x14ac:dyDescent="0.2">
      <c r="B8" s="22" t="s">
        <v>69</v>
      </c>
      <c r="C8" s="20" t="s">
        <v>70</v>
      </c>
      <c r="D8" s="20" t="s">
        <v>71</v>
      </c>
      <c r="G8" s="3"/>
      <c r="H8" s="3"/>
      <c r="I8" s="66" t="s">
        <v>193</v>
      </c>
      <c r="J8" s="65">
        <v>2</v>
      </c>
      <c r="N8" s="60" t="s">
        <v>196</v>
      </c>
      <c r="AA8" s="7"/>
    </row>
    <row r="9" spans="2:33" x14ac:dyDescent="0.2">
      <c r="B9" s="22" t="s">
        <v>72</v>
      </c>
      <c r="C9" s="21" t="s">
        <v>73</v>
      </c>
      <c r="D9" s="21" t="s">
        <v>71</v>
      </c>
      <c r="G9" s="3"/>
      <c r="H9" s="3"/>
      <c r="I9" s="3"/>
      <c r="J9" s="67" t="str">
        <f>IF(J8=1,"ASS",IF(J8=2,"LIA","N/A"))</f>
        <v>LIA</v>
      </c>
      <c r="K9" s="8" t="s">
        <v>190</v>
      </c>
      <c r="M9" s="7" t="s">
        <v>173</v>
      </c>
      <c r="N9" s="7" t="s">
        <v>174</v>
      </c>
      <c r="O9" s="7" t="s">
        <v>173</v>
      </c>
      <c r="P9" s="7" t="s">
        <v>174</v>
      </c>
      <c r="Q9" s="7" t="s">
        <v>173</v>
      </c>
      <c r="R9" s="7" t="s">
        <v>174</v>
      </c>
      <c r="S9" s="7" t="s">
        <v>173</v>
      </c>
      <c r="T9" s="7" t="s">
        <v>174</v>
      </c>
      <c r="U9" s="7" t="s">
        <v>173</v>
      </c>
      <c r="V9" s="7" t="s">
        <v>174</v>
      </c>
      <c r="W9" s="7" t="s">
        <v>173</v>
      </c>
      <c r="X9" s="7" t="s">
        <v>174</v>
      </c>
      <c r="Y9" s="7" t="s">
        <v>173</v>
      </c>
      <c r="Z9" s="7" t="s">
        <v>174</v>
      </c>
    </row>
    <row r="10" spans="2:33" x14ac:dyDescent="0.2">
      <c r="B10" s="22" t="s">
        <v>74</v>
      </c>
      <c r="C10" s="21" t="s">
        <v>74</v>
      </c>
      <c r="D10" s="21" t="s">
        <v>114</v>
      </c>
      <c r="E10" s="23" t="s">
        <v>76</v>
      </c>
      <c r="G10" s="3"/>
      <c r="H10" s="24"/>
      <c r="I10" s="64" t="s">
        <v>179</v>
      </c>
      <c r="J10" s="8" t="e">
        <f ca="1">INDIRECT("'"&amp;$I10&amp;"-"&amp;J$9&amp;"'!"&amp;J$7)</f>
        <v>#REF!</v>
      </c>
      <c r="M10" t="e">
        <f ca="1">INDIRECT("'"&amp;$I10&amp;"-"&amp;M$9&amp;"'!"&amp;M$6)</f>
        <v>#REF!</v>
      </c>
      <c r="N10" t="e">
        <f ca="1">INDIRECT("'"&amp;$I10&amp;"-"&amp;N$9&amp;"'!"&amp;N$6)</f>
        <v>#REF!</v>
      </c>
      <c r="O10" s="70" t="e">
        <f t="shared" ref="O10:Z10" ca="1" si="1">INDIRECT("'"&amp;$I10&amp;"-"&amp;O$9&amp;"'!"&amp;O$6)</f>
        <v>#REF!</v>
      </c>
      <c r="P10" s="70" t="e">
        <f t="shared" ca="1" si="1"/>
        <v>#REF!</v>
      </c>
      <c r="Q10" s="70" t="e">
        <f t="shared" ca="1" si="1"/>
        <v>#REF!</v>
      </c>
      <c r="R10" s="70" t="e">
        <f t="shared" ca="1" si="1"/>
        <v>#REF!</v>
      </c>
      <c r="S10" s="70" t="e">
        <f t="shared" ca="1" si="1"/>
        <v>#REF!</v>
      </c>
      <c r="T10" s="70" t="e">
        <f t="shared" ca="1" si="1"/>
        <v>#REF!</v>
      </c>
      <c r="U10" s="70" t="e">
        <f t="shared" ca="1" si="1"/>
        <v>#REF!</v>
      </c>
      <c r="V10" s="70" t="e">
        <f t="shared" ca="1" si="1"/>
        <v>#REF!</v>
      </c>
      <c r="W10" s="70" t="e">
        <f t="shared" ca="1" si="1"/>
        <v>#REF!</v>
      </c>
      <c r="X10" s="70" t="e">
        <f t="shared" ca="1" si="1"/>
        <v>#REF!</v>
      </c>
      <c r="Y10" s="70" t="e">
        <f t="shared" ca="1" si="1"/>
        <v>#REF!</v>
      </c>
      <c r="Z10" t="e">
        <f t="shared" ca="1" si="1"/>
        <v>#REF!</v>
      </c>
    </row>
    <row r="11" spans="2:33" x14ac:dyDescent="0.2">
      <c r="B11" s="19" t="s">
        <v>77</v>
      </c>
      <c r="C11" s="21" t="s">
        <v>77</v>
      </c>
      <c r="D11" s="21" t="s">
        <v>114</v>
      </c>
      <c r="G11" s="3"/>
      <c r="H11" s="24"/>
      <c r="I11" s="64" t="s">
        <v>180</v>
      </c>
      <c r="J11" s="8" t="e">
        <f t="shared" ref="J11:J20" ca="1" si="2">INDIRECT("'"&amp;$I11&amp;"-"&amp;J$9&amp;"'!"&amp;J$7)</f>
        <v>#REF!</v>
      </c>
      <c r="M11" t="e">
        <f ca="1">INDIRECT("'"&amp;$I11&amp;"-"&amp;M$9&amp;"'!"&amp;$J$7)</f>
        <v>#REF!</v>
      </c>
      <c r="N11" t="e">
        <f ca="1">INDIRECT("'"&amp;$I11&amp;"-"&amp;N$9&amp;"'!"&amp;$J$7)</f>
        <v>#REF!</v>
      </c>
      <c r="O11" t="e">
        <f t="shared" ref="O11:Y11" ca="1" si="3">INDIRECT("'"&amp;$I11&amp;"-"&amp;O$9&amp;"'!"&amp;$J$7)</f>
        <v>#REF!</v>
      </c>
      <c r="P11" t="e">
        <f t="shared" ca="1" si="3"/>
        <v>#REF!</v>
      </c>
      <c r="Q11" t="e">
        <f t="shared" ca="1" si="3"/>
        <v>#REF!</v>
      </c>
      <c r="R11" t="e">
        <f t="shared" ca="1" si="3"/>
        <v>#REF!</v>
      </c>
      <c r="S11" t="e">
        <f t="shared" ca="1" si="3"/>
        <v>#REF!</v>
      </c>
      <c r="T11" t="e">
        <f t="shared" ca="1" si="3"/>
        <v>#REF!</v>
      </c>
      <c r="U11" t="e">
        <f t="shared" ca="1" si="3"/>
        <v>#REF!</v>
      </c>
      <c r="V11" t="e">
        <f t="shared" ca="1" si="3"/>
        <v>#REF!</v>
      </c>
      <c r="W11" t="e">
        <f t="shared" ca="1" si="3"/>
        <v>#REF!</v>
      </c>
      <c r="X11" t="e">
        <f t="shared" ca="1" si="3"/>
        <v>#REF!</v>
      </c>
      <c r="Y11" t="e">
        <f t="shared" ca="1" si="3"/>
        <v>#REF!</v>
      </c>
    </row>
    <row r="12" spans="2:33" x14ac:dyDescent="0.2">
      <c r="B12" s="19" t="s">
        <v>78</v>
      </c>
      <c r="C12" s="21" t="s">
        <v>78</v>
      </c>
      <c r="D12" s="21" t="s">
        <v>114</v>
      </c>
      <c r="I12" s="8" t="s">
        <v>181</v>
      </c>
      <c r="J12" s="8" t="e">
        <f t="shared" ca="1" si="2"/>
        <v>#REF!</v>
      </c>
      <c r="M12" t="e">
        <f t="shared" ref="M12:N20" ca="1" si="4">INDIRECT("'"&amp;$I12&amp;"-"&amp;M$9&amp;"'!"&amp;$J$7)</f>
        <v>#REF!</v>
      </c>
      <c r="N12" t="e">
        <f t="shared" ca="1" si="4"/>
        <v>#REF!</v>
      </c>
    </row>
    <row r="13" spans="2:33" x14ac:dyDescent="0.2">
      <c r="B13" s="19" t="s">
        <v>79</v>
      </c>
      <c r="C13" s="21" t="s">
        <v>79</v>
      </c>
      <c r="D13" s="21" t="s">
        <v>114</v>
      </c>
      <c r="I13" s="8" t="s">
        <v>182</v>
      </c>
      <c r="J13" s="8" t="e">
        <f t="shared" ca="1" si="2"/>
        <v>#REF!</v>
      </c>
      <c r="M13" t="e">
        <f t="shared" ca="1" si="4"/>
        <v>#REF!</v>
      </c>
      <c r="N13" t="e">
        <f t="shared" ca="1" si="4"/>
        <v>#REF!</v>
      </c>
    </row>
    <row r="14" spans="2:33" x14ac:dyDescent="0.2">
      <c r="B14" s="19" t="s">
        <v>80</v>
      </c>
      <c r="C14" s="21" t="s">
        <v>81</v>
      </c>
      <c r="D14" s="21" t="s">
        <v>75</v>
      </c>
      <c r="E14" s="25" t="s">
        <v>82</v>
      </c>
      <c r="I14" s="8" t="s">
        <v>183</v>
      </c>
      <c r="J14" s="8" t="e">
        <f t="shared" ca="1" si="2"/>
        <v>#REF!</v>
      </c>
      <c r="M14" t="e">
        <f t="shared" ca="1" si="4"/>
        <v>#REF!</v>
      </c>
      <c r="N14" t="e">
        <f t="shared" ca="1" si="4"/>
        <v>#REF!</v>
      </c>
    </row>
    <row r="15" spans="2:33" x14ac:dyDescent="0.2">
      <c r="B15" s="19" t="s">
        <v>83</v>
      </c>
      <c r="C15" s="21" t="s">
        <v>84</v>
      </c>
      <c r="D15" s="21" t="s">
        <v>75</v>
      </c>
      <c r="E15" s="25" t="s">
        <v>82</v>
      </c>
      <c r="I15" s="8" t="s">
        <v>184</v>
      </c>
      <c r="J15" s="8" t="e">
        <f t="shared" ca="1" si="2"/>
        <v>#REF!</v>
      </c>
      <c r="M15" t="e">
        <f t="shared" ca="1" si="4"/>
        <v>#REF!</v>
      </c>
      <c r="N15" t="e">
        <f t="shared" ca="1" si="4"/>
        <v>#REF!</v>
      </c>
    </row>
    <row r="16" spans="2:33" x14ac:dyDescent="0.2">
      <c r="B16" s="19" t="s">
        <v>85</v>
      </c>
      <c r="C16" s="21" t="s">
        <v>86</v>
      </c>
      <c r="D16" s="21" t="s">
        <v>75</v>
      </c>
      <c r="I16" s="8" t="s">
        <v>185</v>
      </c>
      <c r="J16" s="8" t="e">
        <f t="shared" ca="1" si="2"/>
        <v>#REF!</v>
      </c>
      <c r="M16" t="e">
        <f t="shared" ca="1" si="4"/>
        <v>#REF!</v>
      </c>
      <c r="N16" t="e">
        <f t="shared" ca="1" si="4"/>
        <v>#REF!</v>
      </c>
    </row>
    <row r="17" spans="2:14" x14ac:dyDescent="0.2">
      <c r="B17" s="22" t="s">
        <v>87</v>
      </c>
      <c r="C17" s="21" t="s">
        <v>88</v>
      </c>
      <c r="D17" s="21" t="s">
        <v>89</v>
      </c>
      <c r="I17" s="8" t="s">
        <v>186</v>
      </c>
      <c r="J17" s="8" t="e">
        <f t="shared" ca="1" si="2"/>
        <v>#REF!</v>
      </c>
      <c r="M17" t="e">
        <f t="shared" ca="1" si="4"/>
        <v>#REF!</v>
      </c>
      <c r="N17" t="e">
        <f t="shared" ca="1" si="4"/>
        <v>#REF!</v>
      </c>
    </row>
    <row r="18" spans="2:14" x14ac:dyDescent="0.2">
      <c r="B18" s="22" t="s">
        <v>90</v>
      </c>
      <c r="C18" s="21" t="s">
        <v>88</v>
      </c>
      <c r="D18" s="21" t="s">
        <v>91</v>
      </c>
      <c r="E18" s="25" t="s">
        <v>92</v>
      </c>
      <c r="I18" s="8" t="s">
        <v>187</v>
      </c>
      <c r="J18" s="8" t="e">
        <f t="shared" ca="1" si="2"/>
        <v>#REF!</v>
      </c>
      <c r="M18" t="e">
        <f t="shared" ca="1" si="4"/>
        <v>#REF!</v>
      </c>
      <c r="N18" t="e">
        <f t="shared" ca="1" si="4"/>
        <v>#REF!</v>
      </c>
    </row>
    <row r="19" spans="2:14" x14ac:dyDescent="0.2">
      <c r="B19" s="22" t="s">
        <v>93</v>
      </c>
      <c r="C19" s="21" t="s">
        <v>88</v>
      </c>
      <c r="D19" s="21" t="s">
        <v>94</v>
      </c>
      <c r="E19" s="25" t="s">
        <v>95</v>
      </c>
      <c r="I19" s="8" t="s">
        <v>188</v>
      </c>
      <c r="J19" s="8" t="e">
        <f t="shared" ca="1" si="2"/>
        <v>#REF!</v>
      </c>
      <c r="M19" t="e">
        <f t="shared" ca="1" si="4"/>
        <v>#REF!</v>
      </c>
      <c r="N19" t="e">
        <f t="shared" ca="1" si="4"/>
        <v>#REF!</v>
      </c>
    </row>
    <row r="20" spans="2:14" x14ac:dyDescent="0.2">
      <c r="B20" s="22" t="s">
        <v>96</v>
      </c>
      <c r="C20" s="21" t="s">
        <v>88</v>
      </c>
      <c r="D20" s="21" t="s">
        <v>97</v>
      </c>
      <c r="I20" s="8" t="s">
        <v>189</v>
      </c>
      <c r="J20" s="8" t="e">
        <f t="shared" ca="1" si="2"/>
        <v>#REF!</v>
      </c>
      <c r="M20" t="e">
        <f t="shared" ca="1" si="4"/>
        <v>#REF!</v>
      </c>
      <c r="N20" t="e">
        <f t="shared" ca="1" si="4"/>
        <v>#REF!</v>
      </c>
    </row>
    <row r="21" spans="2:14" x14ac:dyDescent="0.2">
      <c r="B21" s="22" t="s">
        <v>98</v>
      </c>
      <c r="C21" s="21" t="s">
        <v>88</v>
      </c>
      <c r="D21" s="21" t="s">
        <v>99</v>
      </c>
    </row>
    <row r="22" spans="2:14" x14ac:dyDescent="0.2">
      <c r="B22" s="22" t="s">
        <v>100</v>
      </c>
      <c r="C22" s="21" t="s">
        <v>101</v>
      </c>
      <c r="D22" s="21" t="s">
        <v>102</v>
      </c>
    </row>
    <row r="23" spans="2:14" x14ac:dyDescent="0.2">
      <c r="B23" s="22" t="s">
        <v>103</v>
      </c>
      <c r="C23" s="21" t="s">
        <v>101</v>
      </c>
      <c r="D23" s="21" t="s">
        <v>102</v>
      </c>
    </row>
    <row r="24" spans="2:14" x14ac:dyDescent="0.2">
      <c r="B24" s="22" t="s">
        <v>104</v>
      </c>
      <c r="C24" s="21" t="s">
        <v>101</v>
      </c>
      <c r="D24" s="21" t="s">
        <v>102</v>
      </c>
    </row>
    <row r="25" spans="2:14" x14ac:dyDescent="0.2">
      <c r="B25" s="22" t="s">
        <v>105</v>
      </c>
      <c r="C25" s="21" t="s">
        <v>101</v>
      </c>
      <c r="D25" s="21" t="s">
        <v>102</v>
      </c>
    </row>
    <row r="26" spans="2:14" x14ac:dyDescent="0.2">
      <c r="B26" s="22" t="s">
        <v>106</v>
      </c>
      <c r="C26" s="21" t="s">
        <v>101</v>
      </c>
      <c r="D26" s="21" t="s">
        <v>102</v>
      </c>
    </row>
    <row r="27" spans="2:14" x14ac:dyDescent="0.2">
      <c r="B27" s="19" t="s">
        <v>107</v>
      </c>
      <c r="C27" s="21" t="s">
        <v>108</v>
      </c>
      <c r="D27" s="21" t="s">
        <v>109</v>
      </c>
    </row>
    <row r="28" spans="2:14" x14ac:dyDescent="0.2">
      <c r="B28" s="19" t="s">
        <v>110</v>
      </c>
      <c r="C28" s="21" t="s">
        <v>108</v>
      </c>
      <c r="D28" s="21" t="s">
        <v>109</v>
      </c>
    </row>
    <row r="29" spans="2:14" x14ac:dyDescent="0.2">
      <c r="B29" s="19" t="s">
        <v>111</v>
      </c>
      <c r="C29" s="21" t="s">
        <v>108</v>
      </c>
      <c r="D29" s="21" t="s">
        <v>109</v>
      </c>
    </row>
    <row r="30" spans="2:14" x14ac:dyDescent="0.2">
      <c r="B30" s="19" t="s">
        <v>112</v>
      </c>
      <c r="C30" s="21" t="s">
        <v>108</v>
      </c>
      <c r="D30" s="21" t="s">
        <v>109</v>
      </c>
    </row>
    <row r="31" spans="2:14" x14ac:dyDescent="0.2">
      <c r="B31" s="19" t="s">
        <v>113</v>
      </c>
      <c r="C31" s="21" t="s">
        <v>108</v>
      </c>
      <c r="D31" s="21" t="s">
        <v>109</v>
      </c>
    </row>
    <row r="32" spans="2:14" x14ac:dyDescent="0.2">
      <c r="B32" s="22" t="s">
        <v>166</v>
      </c>
      <c r="C32" s="21" t="s">
        <v>166</v>
      </c>
      <c r="D32" s="21" t="s">
        <v>114</v>
      </c>
    </row>
    <row r="33" spans="2:4" x14ac:dyDescent="0.2">
      <c r="B33" s="19"/>
      <c r="C33" s="20"/>
      <c r="D33" s="20"/>
    </row>
    <row r="34" spans="2:4" x14ac:dyDescent="0.2">
      <c r="B34" s="19"/>
      <c r="C34" s="20"/>
      <c r="D34" s="20"/>
    </row>
    <row r="35" spans="2:4" x14ac:dyDescent="0.2">
      <c r="B35" s="19"/>
      <c r="C35" s="20"/>
      <c r="D35" s="20"/>
    </row>
    <row r="36" spans="2:4" x14ac:dyDescent="0.2">
      <c r="B36" s="19"/>
      <c r="C36" s="20"/>
      <c r="D36" s="20"/>
    </row>
    <row r="37" spans="2:4" x14ac:dyDescent="0.2">
      <c r="B37" s="19"/>
      <c r="C37" s="20"/>
      <c r="D37" s="20"/>
    </row>
    <row r="38" spans="2:4" x14ac:dyDescent="0.2">
      <c r="B38" s="19"/>
      <c r="C38" s="20"/>
      <c r="D38" s="20"/>
    </row>
    <row r="39" spans="2:4" x14ac:dyDescent="0.2">
      <c r="B39" s="19"/>
      <c r="C39" s="20"/>
      <c r="D39" s="20"/>
    </row>
    <row r="40" spans="2:4" x14ac:dyDescent="0.2">
      <c r="B40" s="19"/>
      <c r="C40" s="20"/>
      <c r="D40" s="20"/>
    </row>
    <row r="41" spans="2:4" x14ac:dyDescent="0.2">
      <c r="B41" s="19"/>
      <c r="C41" s="20"/>
      <c r="D41" s="20"/>
    </row>
    <row r="42" spans="2:4" x14ac:dyDescent="0.2">
      <c r="B42" s="19"/>
      <c r="C42" s="20"/>
      <c r="D42" s="20"/>
    </row>
    <row r="43" spans="2:4" x14ac:dyDescent="0.2">
      <c r="B43" s="19"/>
      <c r="C43" s="20"/>
      <c r="D43" s="20"/>
    </row>
    <row r="44" spans="2:4" x14ac:dyDescent="0.2">
      <c r="B44" s="19"/>
      <c r="C44" s="20"/>
      <c r="D44" s="20"/>
    </row>
    <row r="45" spans="2:4" x14ac:dyDescent="0.2">
      <c r="B45" s="22"/>
      <c r="C45" s="20"/>
      <c r="D45" s="20"/>
    </row>
    <row r="46" spans="2:4" x14ac:dyDescent="0.2">
      <c r="B46" s="22"/>
      <c r="C46" s="20"/>
      <c r="D46" s="20"/>
    </row>
    <row r="47" spans="2:4" x14ac:dyDescent="0.2">
      <c r="B47" s="22"/>
      <c r="C47" s="20"/>
      <c r="D47" s="20"/>
    </row>
    <row r="48" spans="2:4" x14ac:dyDescent="0.2">
      <c r="B48" s="22"/>
      <c r="C48" s="20"/>
      <c r="D48" s="20"/>
    </row>
    <row r="49" spans="2:4" x14ac:dyDescent="0.2">
      <c r="B49" s="22"/>
      <c r="C49" s="20"/>
      <c r="D49" s="20"/>
    </row>
    <row r="50" spans="2:4" x14ac:dyDescent="0.2">
      <c r="B50" s="22"/>
      <c r="C50" s="20"/>
      <c r="D50" s="20"/>
    </row>
    <row r="51" spans="2:4" x14ac:dyDescent="0.2">
      <c r="B51" s="22"/>
      <c r="C51" s="20"/>
      <c r="D51" s="20"/>
    </row>
    <row r="52" spans="2:4" x14ac:dyDescent="0.2">
      <c r="B52" s="22"/>
      <c r="C52" s="20"/>
      <c r="D52" s="20"/>
    </row>
    <row r="53" spans="2:4" x14ac:dyDescent="0.2">
      <c r="B53" s="22"/>
      <c r="C53" s="20"/>
      <c r="D53" s="20"/>
    </row>
    <row r="54" spans="2:4" x14ac:dyDescent="0.2">
      <c r="B54" s="22"/>
      <c r="C54" s="20"/>
      <c r="D54" s="20"/>
    </row>
    <row r="55" spans="2:4" x14ac:dyDescent="0.2">
      <c r="B55" s="22"/>
      <c r="C55" s="20"/>
      <c r="D55" s="20"/>
    </row>
    <row r="56" spans="2:4" x14ac:dyDescent="0.2">
      <c r="B56" s="22"/>
      <c r="C56" s="20"/>
      <c r="D56" s="20"/>
    </row>
    <row r="57" spans="2:4" x14ac:dyDescent="0.2">
      <c r="B57" s="22"/>
      <c r="C57" s="20"/>
      <c r="D57" s="20"/>
    </row>
    <row r="58" spans="2:4" x14ac:dyDescent="0.2">
      <c r="B58" s="22"/>
      <c r="C58" s="20"/>
      <c r="D58" s="20"/>
    </row>
    <row r="59" spans="2:4" x14ac:dyDescent="0.2">
      <c r="B59" s="22"/>
      <c r="C59" s="20"/>
      <c r="D59" s="20"/>
    </row>
    <row r="60" spans="2:4" x14ac:dyDescent="0.2">
      <c r="B60" s="22"/>
      <c r="C60" s="20"/>
      <c r="D60" s="20"/>
    </row>
    <row r="61" spans="2:4" x14ac:dyDescent="0.2">
      <c r="B61" s="22"/>
      <c r="C61" s="20"/>
      <c r="D61" s="20"/>
    </row>
    <row r="62" spans="2:4" x14ac:dyDescent="0.2">
      <c r="B62" s="22"/>
      <c r="C62" s="20"/>
      <c r="D62" s="20"/>
    </row>
    <row r="63" spans="2:4" x14ac:dyDescent="0.2">
      <c r="B63" s="22"/>
      <c r="C63" s="20"/>
      <c r="D63" s="20"/>
    </row>
    <row r="64" spans="2:4" x14ac:dyDescent="0.2">
      <c r="B64" s="22"/>
      <c r="C64" s="20"/>
      <c r="D64" s="20"/>
    </row>
    <row r="65" spans="2:4" x14ac:dyDescent="0.2">
      <c r="B65" s="22"/>
      <c r="C65" s="20"/>
      <c r="D65" s="20"/>
    </row>
    <row r="66" spans="2:4" x14ac:dyDescent="0.2">
      <c r="B66" s="22"/>
      <c r="C66" s="20"/>
      <c r="D66" s="20"/>
    </row>
    <row r="67" spans="2:4" x14ac:dyDescent="0.2">
      <c r="B67" s="22"/>
      <c r="C67" s="20"/>
      <c r="D67" s="20"/>
    </row>
    <row r="68" spans="2:4" x14ac:dyDescent="0.2">
      <c r="B68" s="22"/>
      <c r="C68" s="20"/>
      <c r="D68" s="20"/>
    </row>
    <row r="69" spans="2:4" x14ac:dyDescent="0.2">
      <c r="B69" s="22"/>
      <c r="C69" s="20"/>
      <c r="D69" s="20"/>
    </row>
    <row r="70" spans="2:4" x14ac:dyDescent="0.2">
      <c r="B70" s="22"/>
      <c r="C70" s="20"/>
      <c r="D70" s="20"/>
    </row>
    <row r="71" spans="2:4" x14ac:dyDescent="0.2">
      <c r="B71" s="22"/>
      <c r="C71" s="20"/>
      <c r="D71" s="20"/>
    </row>
    <row r="72" spans="2:4" x14ac:dyDescent="0.2">
      <c r="B72" s="22"/>
      <c r="C72" s="20"/>
      <c r="D72" s="20"/>
    </row>
    <row r="73" spans="2:4" x14ac:dyDescent="0.2">
      <c r="B73" s="22"/>
      <c r="C73" s="20"/>
      <c r="D73" s="20"/>
    </row>
    <row r="74" spans="2:4" x14ac:dyDescent="0.2">
      <c r="B74" s="22"/>
      <c r="C74" s="20"/>
      <c r="D74" s="20"/>
    </row>
    <row r="75" spans="2:4" x14ac:dyDescent="0.2">
      <c r="B75" s="22"/>
      <c r="C75" s="20"/>
      <c r="D75" s="20"/>
    </row>
    <row r="76" spans="2:4" x14ac:dyDescent="0.2">
      <c r="B76" s="22"/>
      <c r="C76" s="20"/>
      <c r="D76" s="20"/>
    </row>
    <row r="77" spans="2:4" x14ac:dyDescent="0.2">
      <c r="B77" s="22"/>
      <c r="C77" s="20"/>
      <c r="D77" s="20"/>
    </row>
    <row r="78" spans="2:4" x14ac:dyDescent="0.2">
      <c r="B78" s="22"/>
      <c r="C78" s="20"/>
      <c r="D78" s="20"/>
    </row>
    <row r="79" spans="2:4" x14ac:dyDescent="0.2">
      <c r="B79" s="22"/>
      <c r="C79" s="20"/>
      <c r="D79" s="20"/>
    </row>
    <row r="80" spans="2:4" x14ac:dyDescent="0.2">
      <c r="B80" s="22"/>
      <c r="C80" s="20"/>
      <c r="D80" s="20"/>
    </row>
    <row r="81" spans="2:4" x14ac:dyDescent="0.2">
      <c r="B81" s="22"/>
      <c r="C81" s="20"/>
      <c r="D81" s="20"/>
    </row>
    <row r="82" spans="2:4" x14ac:dyDescent="0.2">
      <c r="B82" s="22"/>
      <c r="C82" s="20"/>
      <c r="D82" s="20"/>
    </row>
    <row r="83" spans="2:4" x14ac:dyDescent="0.2">
      <c r="B83" s="22"/>
      <c r="C83" s="20"/>
      <c r="D83" s="20"/>
    </row>
    <row r="84" spans="2:4" x14ac:dyDescent="0.2">
      <c r="B84" s="22"/>
      <c r="C84" s="20"/>
      <c r="D84" s="20"/>
    </row>
    <row r="85" spans="2:4" x14ac:dyDescent="0.2">
      <c r="B85" s="22"/>
      <c r="C85" s="20"/>
      <c r="D85" s="20"/>
    </row>
    <row r="86" spans="2:4" x14ac:dyDescent="0.2">
      <c r="B86" s="22"/>
      <c r="C86" s="20"/>
      <c r="D86" s="20"/>
    </row>
    <row r="87" spans="2:4" x14ac:dyDescent="0.2">
      <c r="B87" s="22"/>
      <c r="C87" s="20"/>
      <c r="D87" s="20"/>
    </row>
    <row r="88" spans="2:4" x14ac:dyDescent="0.2">
      <c r="B88" s="22"/>
      <c r="C88" s="20"/>
      <c r="D88" s="20"/>
    </row>
    <row r="89" spans="2:4" x14ac:dyDescent="0.2">
      <c r="B89" s="22"/>
      <c r="C89" s="20"/>
      <c r="D89" s="20"/>
    </row>
    <row r="90" spans="2:4" x14ac:dyDescent="0.2">
      <c r="B90" s="22"/>
      <c r="C90" s="20"/>
      <c r="D90" s="20"/>
    </row>
    <row r="91" spans="2:4" x14ac:dyDescent="0.2">
      <c r="B91" s="22"/>
      <c r="C91" s="20"/>
      <c r="D91" s="20"/>
    </row>
    <row r="92" spans="2:4" x14ac:dyDescent="0.2">
      <c r="B92" s="22"/>
      <c r="C92" s="20"/>
      <c r="D92" s="20"/>
    </row>
    <row r="93" spans="2:4" x14ac:dyDescent="0.2">
      <c r="B93" s="22"/>
      <c r="C93" s="20"/>
      <c r="D93" s="20"/>
    </row>
    <row r="94" spans="2:4" x14ac:dyDescent="0.2">
      <c r="B94" s="22"/>
      <c r="C94" s="20"/>
      <c r="D94" s="20"/>
    </row>
    <row r="95" spans="2:4" x14ac:dyDescent="0.2">
      <c r="B95" s="22"/>
      <c r="C95" s="20"/>
      <c r="D95" s="20"/>
    </row>
    <row r="96" spans="2:4" x14ac:dyDescent="0.2">
      <c r="B96" s="22"/>
      <c r="C96" s="20"/>
      <c r="D96" s="20"/>
    </row>
    <row r="97" spans="2:4" x14ac:dyDescent="0.2">
      <c r="B97" s="22"/>
      <c r="C97" s="20"/>
      <c r="D97" s="20"/>
    </row>
    <row r="98" spans="2:4" x14ac:dyDescent="0.2">
      <c r="B98" s="22"/>
      <c r="C98" s="20"/>
      <c r="D98" s="20"/>
    </row>
    <row r="99" spans="2:4" x14ac:dyDescent="0.2">
      <c r="B99" s="22"/>
      <c r="C99" s="20"/>
      <c r="D99" s="20"/>
    </row>
    <row r="100" spans="2:4" x14ac:dyDescent="0.2">
      <c r="B100" s="22"/>
      <c r="C100" s="20"/>
      <c r="D100" s="2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ASS</vt:lpstr>
      <vt:lpstr>LIA</vt:lpstr>
      <vt:lpstr>InsurerInfo</vt:lpstr>
      <vt:lpstr>Locations</vt:lpstr>
      <vt:lpstr>InsurerInfo!Criteria</vt:lpstr>
      <vt:lpstr>InsurerInfo!Extract</vt:lpstr>
    </vt:vector>
  </TitlesOfParts>
  <Company>NAIC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CFahey</dc:creator>
  <cp:lastModifiedBy>Chris Fahey</cp:lastModifiedBy>
  <dcterms:created xsi:type="dcterms:W3CDTF">2010-11-03T18:02:19Z</dcterms:created>
  <dcterms:modified xsi:type="dcterms:W3CDTF">2013-09-25T15:56:46Z</dcterms:modified>
</cp:coreProperties>
</file>